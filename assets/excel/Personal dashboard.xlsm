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Z:\Dashboard Excel\"/>
    </mc:Choice>
  </mc:AlternateContent>
  <xr:revisionPtr revIDLastSave="0" documentId="13_ncr:1_{F723CF4A-6004-4E96-8AD5-817909B59AA1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Dashboard" sheetId="5" r:id="rId1"/>
    <sheet name="Pivot Table" sheetId="7" r:id="rId2"/>
    <sheet name="Data" sheetId="1" r:id="rId3"/>
    <sheet name="Rejected (Ctrl+Shift+R)" sheetId="2" r:id="rId4"/>
    <sheet name="Not Submitted (Ctrl+Shift+R)" sheetId="3" r:id="rId5"/>
  </sheets>
  <definedNames>
    <definedName name="_xlnm._FilterDatabase" localSheetId="2" hidden="1">Data!$A$1:$P$1205</definedName>
    <definedName name="_xlnm._FilterDatabase" localSheetId="3" hidden="1">'Rejected (Ctrl+Shift+R)'!#REF!</definedName>
    <definedName name="_xlcn.WorksheetConnection_Personaldashboard1.xlsmTable11" hidden="1">Table1[]</definedName>
  </definedNames>
  <calcPr calcId="191029" iterateDelta="1E-4"/>
  <pivotCaches>
    <pivotCache cacheId="322" r:id="rId6"/>
    <pivotCache cacheId="325" r:id="rId7"/>
    <pivotCache cacheId="328" r:id="rId8"/>
    <pivotCache cacheId="333" r:id="rId9"/>
    <pivotCache cacheId="337" r:id="rId10"/>
  </pivotCaches>
  <extLst>
    <ext xmlns:x15="http://schemas.microsoft.com/office/spreadsheetml/2010/11/main" uri="{FCE2AD5D-F65C-4FA6-A056-5C36A1767C68}">
      <x15:dataModel>
        <x15:modelTables>
          <x15:modelTable id="Table1" name="Table1" connection="WorksheetConnection_Personal dashboard1.xlsm!Table1"/>
          <x15:modelTable id="Calendar" name="Calendar" connection="Connection"/>
        </x15:modelTables>
        <x15:modelRelationships>
          <x15:modelRelationship fromTable="Table1" fromColumn="Last Submission Date" toTable="Calendar" toColumn="Date"/>
        </x15:modelRelationships>
      </x15:dataModel>
    </ext>
  </extLst>
</workbook>
</file>

<file path=xl/calcChain.xml><?xml version="1.0" encoding="utf-8"?>
<calcChain xmlns="http://schemas.openxmlformats.org/spreadsheetml/2006/main">
  <c r="K12" i="5" l="1"/>
  <c r="L12" i="5"/>
  <c r="L10" i="5"/>
  <c r="L11" i="5"/>
  <c r="K10" i="5"/>
  <c r="K11" i="5"/>
  <c r="K6" i="5"/>
  <c r="L6" i="5"/>
  <c r="K7" i="5"/>
  <c r="L7" i="5"/>
  <c r="K8" i="5"/>
  <c r="L8" i="5"/>
  <c r="K9" i="5"/>
  <c r="L9" i="5"/>
  <c r="K5" i="5"/>
  <c r="L5" i="5"/>
  <c r="L1026" i="1"/>
  <c r="O1026" i="1" s="1"/>
  <c r="H1026" i="1"/>
  <c r="E1026" i="1"/>
  <c r="L1025" i="1"/>
  <c r="O1025" i="1" s="1"/>
  <c r="H1025" i="1"/>
  <c r="E1025" i="1"/>
  <c r="L1205" i="1"/>
  <c r="O1205" i="1" s="1"/>
  <c r="H1205" i="1"/>
  <c r="E1205" i="1"/>
  <c r="L1204" i="1"/>
  <c r="O1204" i="1" s="1"/>
  <c r="H1204" i="1"/>
  <c r="E1204" i="1"/>
  <c r="L1203" i="1"/>
  <c r="O1203" i="1" s="1"/>
  <c r="H1203" i="1"/>
  <c r="E1203" i="1"/>
  <c r="L1202" i="1"/>
  <c r="O1202" i="1" s="1"/>
  <c r="H1202" i="1"/>
  <c r="E1202" i="1"/>
  <c r="L1024" i="1"/>
  <c r="O1024" i="1" s="1"/>
  <c r="H1024" i="1"/>
  <c r="E1024" i="1"/>
  <c r="L1023" i="1"/>
  <c r="O1023" i="1" s="1"/>
  <c r="H1023" i="1"/>
  <c r="E1023" i="1"/>
  <c r="L1032" i="1"/>
  <c r="O1032" i="1" s="1"/>
  <c r="H1032" i="1"/>
  <c r="E1032" i="1"/>
  <c r="L1031" i="1"/>
  <c r="O1031" i="1" s="1"/>
  <c r="H1031" i="1"/>
  <c r="E1031" i="1"/>
  <c r="L1022" i="1"/>
  <c r="O1022" i="1" s="1"/>
  <c r="H1022" i="1"/>
  <c r="E1022" i="1"/>
  <c r="L1015" i="1"/>
  <c r="O1015" i="1" s="1"/>
  <c r="H1015" i="1"/>
  <c r="E1015" i="1"/>
  <c r="L1021" i="1"/>
  <c r="O1021" i="1" s="1"/>
  <c r="H1021" i="1"/>
  <c r="E1021" i="1"/>
  <c r="L1020" i="1"/>
  <c r="O1020" i="1" s="1"/>
  <c r="H1020" i="1"/>
  <c r="E1020" i="1"/>
  <c r="L1201" i="1"/>
  <c r="O1201" i="1" s="1"/>
  <c r="H1201" i="1"/>
  <c r="E1201" i="1"/>
  <c r="L1019" i="1"/>
  <c r="O1019" i="1" s="1"/>
  <c r="H1019" i="1"/>
  <c r="E1019" i="1"/>
  <c r="L1200" i="1"/>
  <c r="O1200" i="1" s="1"/>
  <c r="H1200" i="1"/>
  <c r="E1200" i="1"/>
  <c r="L1199" i="1"/>
  <c r="O1199" i="1" s="1"/>
  <c r="H1199" i="1"/>
  <c r="E1199" i="1"/>
  <c r="L1030" i="1"/>
  <c r="O1030" i="1" s="1"/>
  <c r="H1030" i="1"/>
  <c r="E1030" i="1"/>
  <c r="L999" i="1"/>
  <c r="O999" i="1" s="1"/>
  <c r="H999" i="1"/>
  <c r="E999" i="1"/>
  <c r="L998" i="1"/>
  <c r="O998" i="1" s="1"/>
  <c r="H998" i="1"/>
  <c r="E998" i="1"/>
  <c r="L985" i="1"/>
  <c r="O985" i="1" s="1"/>
  <c r="H985" i="1"/>
  <c r="E985" i="1"/>
  <c r="L997" i="1"/>
  <c r="O997" i="1" s="1"/>
  <c r="H997" i="1"/>
  <c r="E997" i="1"/>
  <c r="L996" i="1"/>
  <c r="O996" i="1" s="1"/>
  <c r="H996" i="1"/>
  <c r="E996" i="1"/>
  <c r="L995" i="1"/>
  <c r="O995" i="1" s="1"/>
  <c r="H995" i="1"/>
  <c r="E995" i="1"/>
  <c r="L1008" i="1"/>
  <c r="O1008" i="1" s="1"/>
  <c r="H1008" i="1"/>
  <c r="E1008" i="1"/>
  <c r="L1029" i="1"/>
  <c r="O1029" i="1" s="1"/>
  <c r="H1029" i="1"/>
  <c r="E1029" i="1"/>
  <c r="L984" i="1"/>
  <c r="O984" i="1" s="1"/>
  <c r="H984" i="1"/>
  <c r="E984" i="1"/>
  <c r="L994" i="1"/>
  <c r="O994" i="1" s="1"/>
  <c r="H994" i="1"/>
  <c r="E994" i="1"/>
  <c r="L983" i="1"/>
  <c r="O983" i="1" s="1"/>
  <c r="H983" i="1"/>
  <c r="E983" i="1"/>
  <c r="L982" i="1"/>
  <c r="O982" i="1" s="1"/>
  <c r="H982" i="1"/>
  <c r="E982" i="1"/>
  <c r="L981" i="1"/>
  <c r="O981" i="1" s="1"/>
  <c r="H981" i="1"/>
  <c r="E981" i="1"/>
  <c r="L993" i="1"/>
  <c r="O993" i="1" s="1"/>
  <c r="H993" i="1"/>
  <c r="E993" i="1"/>
  <c r="L1012" i="1"/>
  <c r="O1012" i="1" s="1"/>
  <c r="H1012" i="1"/>
  <c r="E1012" i="1"/>
  <c r="L992" i="1"/>
  <c r="O992" i="1" s="1"/>
  <c r="H992" i="1"/>
  <c r="E992" i="1"/>
  <c r="L980" i="1"/>
  <c r="O980" i="1" s="1"/>
  <c r="H980" i="1"/>
  <c r="E980" i="1"/>
  <c r="L991" i="1"/>
  <c r="O991" i="1" s="1"/>
  <c r="H991" i="1"/>
  <c r="E991" i="1"/>
  <c r="L990" i="1"/>
  <c r="O990" i="1" s="1"/>
  <c r="H990" i="1"/>
  <c r="E990" i="1"/>
  <c r="L989" i="1"/>
  <c r="O989" i="1" s="1"/>
  <c r="H989" i="1"/>
  <c r="E989" i="1"/>
  <c r="L979" i="1"/>
  <c r="O979" i="1" s="1"/>
  <c r="H979" i="1"/>
  <c r="E979" i="1"/>
  <c r="L988" i="1"/>
  <c r="O988" i="1" s="1"/>
  <c r="H988" i="1"/>
  <c r="E988" i="1"/>
  <c r="L1018" i="1"/>
  <c r="O1018" i="1" s="1"/>
  <c r="H1018" i="1"/>
  <c r="E1018" i="1"/>
  <c r="L987" i="1"/>
  <c r="O987" i="1" s="1"/>
  <c r="H987" i="1"/>
  <c r="E987" i="1"/>
  <c r="L1017" i="1"/>
  <c r="O1017" i="1" s="1"/>
  <c r="H1017" i="1"/>
  <c r="E1017" i="1"/>
  <c r="L1028" i="1"/>
  <c r="O1028" i="1" s="1"/>
  <c r="H1028" i="1"/>
  <c r="E1028" i="1"/>
  <c r="L1197" i="1"/>
  <c r="O1197" i="1" s="1"/>
  <c r="H1197" i="1"/>
  <c r="E1197" i="1"/>
  <c r="L1196" i="1"/>
  <c r="O1196" i="1" s="1"/>
  <c r="H1196" i="1"/>
  <c r="E1196" i="1"/>
  <c r="L1007" i="1"/>
  <c r="O1007" i="1" s="1"/>
  <c r="H1007" i="1"/>
  <c r="E1007" i="1"/>
  <c r="L1195" i="1"/>
  <c r="O1195" i="1" s="1"/>
  <c r="H1195" i="1"/>
  <c r="E1195" i="1"/>
  <c r="L1006" i="1"/>
  <c r="O1006" i="1" s="1"/>
  <c r="H1006" i="1"/>
  <c r="E1006" i="1"/>
  <c r="L1005" i="1"/>
  <c r="O1005" i="1" s="1"/>
  <c r="H1005" i="1"/>
  <c r="E1005" i="1"/>
  <c r="L986" i="1"/>
  <c r="O986" i="1" s="1"/>
  <c r="H986" i="1"/>
  <c r="E986" i="1"/>
  <c r="L975" i="1"/>
  <c r="O975" i="1" s="1"/>
  <c r="H975" i="1"/>
  <c r="E975" i="1"/>
  <c r="L974" i="1"/>
  <c r="O974" i="1" s="1"/>
  <c r="H974" i="1"/>
  <c r="E974" i="1"/>
  <c r="L1193" i="1"/>
  <c r="O1193" i="1" s="1"/>
  <c r="H1193" i="1"/>
  <c r="E1193" i="1"/>
  <c r="L1192" i="1"/>
  <c r="O1192" i="1" s="1"/>
  <c r="H1192" i="1"/>
  <c r="E1192" i="1"/>
  <c r="L973" i="1"/>
  <c r="O973" i="1" s="1"/>
  <c r="H973" i="1"/>
  <c r="E973" i="1"/>
  <c r="L1191" i="1"/>
  <c r="O1191" i="1" s="1"/>
  <c r="H1191" i="1"/>
  <c r="E1191" i="1"/>
  <c r="L1190" i="1"/>
  <c r="O1190" i="1" s="1"/>
  <c r="H1190" i="1"/>
  <c r="E1190" i="1"/>
  <c r="L1189" i="1"/>
  <c r="O1189" i="1" s="1"/>
  <c r="H1189" i="1"/>
  <c r="E1189" i="1"/>
  <c r="L972" i="1"/>
  <c r="O972" i="1" s="1"/>
  <c r="H972" i="1"/>
  <c r="E972" i="1"/>
  <c r="L1188" i="1"/>
  <c r="O1188" i="1" s="1"/>
  <c r="H1188" i="1"/>
  <c r="E1188" i="1"/>
  <c r="L971" i="1"/>
  <c r="O971" i="1" s="1"/>
  <c r="H971" i="1"/>
  <c r="E971" i="1"/>
  <c r="L970" i="1"/>
  <c r="O970" i="1" s="1"/>
  <c r="H970" i="1"/>
  <c r="E970" i="1"/>
  <c r="L1187" i="1"/>
  <c r="O1187" i="1" s="1"/>
  <c r="H1187" i="1"/>
  <c r="E1187" i="1"/>
  <c r="L1186" i="1"/>
  <c r="O1186" i="1" s="1"/>
  <c r="H1186" i="1"/>
  <c r="E1186" i="1"/>
  <c r="L969" i="1"/>
  <c r="O969" i="1" s="1"/>
  <c r="H969" i="1"/>
  <c r="E969" i="1"/>
  <c r="L968" i="1"/>
  <c r="O968" i="1" s="1"/>
  <c r="H968" i="1"/>
  <c r="E968" i="1"/>
  <c r="L967" i="1"/>
  <c r="O967" i="1" s="1"/>
  <c r="H967" i="1"/>
  <c r="E967" i="1"/>
  <c r="L1185" i="1"/>
  <c r="O1185" i="1" s="1"/>
  <c r="H1185" i="1"/>
  <c r="E1185" i="1"/>
  <c r="L978" i="1"/>
  <c r="O978" i="1" s="1"/>
  <c r="H978" i="1"/>
  <c r="E978" i="1"/>
  <c r="L956" i="1"/>
  <c r="O956" i="1" s="1"/>
  <c r="H956" i="1"/>
  <c r="E956" i="1"/>
  <c r="L955" i="1"/>
  <c r="O955" i="1" s="1"/>
  <c r="H955" i="1"/>
  <c r="E955" i="1"/>
  <c r="L954" i="1"/>
  <c r="O954" i="1" s="1"/>
  <c r="H954" i="1"/>
  <c r="E954" i="1"/>
  <c r="L966" i="1"/>
  <c r="O966" i="1" s="1"/>
  <c r="H966" i="1"/>
  <c r="E966" i="1"/>
  <c r="L953" i="1"/>
  <c r="O953" i="1" s="1"/>
  <c r="H953" i="1"/>
  <c r="E953" i="1"/>
  <c r="L965" i="1"/>
  <c r="O965" i="1" s="1"/>
  <c r="H965" i="1"/>
  <c r="E965" i="1"/>
  <c r="L1014" i="1"/>
  <c r="O1014" i="1" s="1"/>
  <c r="H1014" i="1"/>
  <c r="E1014" i="1"/>
  <c r="L964" i="1"/>
  <c r="O964" i="1" s="1"/>
  <c r="H964" i="1"/>
  <c r="E964" i="1"/>
  <c r="L1027" i="1"/>
  <c r="O1027" i="1" s="1"/>
  <c r="H1027" i="1"/>
  <c r="E1027" i="1"/>
  <c r="L952" i="1"/>
  <c r="O952" i="1" s="1"/>
  <c r="H952" i="1"/>
  <c r="E952" i="1"/>
  <c r="L1013" i="1"/>
  <c r="O1013" i="1" s="1"/>
  <c r="H1013" i="1"/>
  <c r="E1013" i="1"/>
  <c r="L963" i="1"/>
  <c r="O963" i="1" s="1"/>
  <c r="H963" i="1"/>
  <c r="E963" i="1"/>
  <c r="L951" i="1"/>
  <c r="O951" i="1" s="1"/>
  <c r="H951" i="1"/>
  <c r="E951" i="1"/>
  <c r="L977" i="1"/>
  <c r="O977" i="1" s="1"/>
  <c r="H977" i="1"/>
  <c r="E977" i="1"/>
  <c r="L962" i="1"/>
  <c r="O962" i="1" s="1"/>
  <c r="H962" i="1"/>
  <c r="E962" i="1"/>
  <c r="L961" i="1"/>
  <c r="O961" i="1" s="1"/>
  <c r="H961" i="1"/>
  <c r="E961" i="1"/>
  <c r="L960" i="1"/>
  <c r="O960" i="1" s="1"/>
  <c r="H960" i="1"/>
  <c r="E960" i="1"/>
  <c r="L1184" i="1"/>
  <c r="O1184" i="1" s="1"/>
  <c r="H1184" i="1"/>
  <c r="E1184" i="1"/>
  <c r="L948" i="1"/>
  <c r="O948" i="1" s="1"/>
  <c r="H948" i="1"/>
  <c r="E948" i="1"/>
  <c r="L947" i="1"/>
  <c r="O947" i="1" s="1"/>
  <c r="H947" i="1"/>
  <c r="E947" i="1"/>
  <c r="L946" i="1"/>
  <c r="O946" i="1" s="1"/>
  <c r="H946" i="1"/>
  <c r="E946" i="1"/>
  <c r="L945" i="1"/>
  <c r="O945" i="1" s="1"/>
  <c r="H945" i="1"/>
  <c r="E945" i="1"/>
  <c r="L944" i="1"/>
  <c r="O944" i="1" s="1"/>
  <c r="H944" i="1"/>
  <c r="E944" i="1"/>
  <c r="L943" i="1"/>
  <c r="O943" i="1" s="1"/>
  <c r="H943" i="1"/>
  <c r="E943" i="1"/>
  <c r="L1011" i="1"/>
  <c r="O1011" i="1" s="1"/>
  <c r="H1011" i="1"/>
  <c r="E1011" i="1"/>
  <c r="L942" i="1"/>
  <c r="O942" i="1" s="1"/>
  <c r="H942" i="1"/>
  <c r="E942" i="1"/>
  <c r="L941" i="1"/>
  <c r="O941" i="1" s="1"/>
  <c r="H941" i="1"/>
  <c r="E941" i="1"/>
  <c r="L940" i="1"/>
  <c r="O940" i="1" s="1"/>
  <c r="H940" i="1"/>
  <c r="E940" i="1"/>
  <c r="L939" i="1"/>
  <c r="O939" i="1" s="1"/>
  <c r="H939" i="1"/>
  <c r="E939" i="1"/>
  <c r="L938" i="1"/>
  <c r="O938" i="1" s="1"/>
  <c r="H938" i="1"/>
  <c r="E938" i="1"/>
  <c r="L937" i="1"/>
  <c r="O937" i="1" s="1"/>
  <c r="H937" i="1"/>
  <c r="E937" i="1"/>
  <c r="L1010" i="1"/>
  <c r="O1010" i="1" s="1"/>
  <c r="H1010" i="1"/>
  <c r="E1010" i="1"/>
  <c r="L936" i="1"/>
  <c r="O936" i="1" s="1"/>
  <c r="H936" i="1"/>
  <c r="E936" i="1"/>
  <c r="L1183" i="1"/>
  <c r="O1183" i="1" s="1"/>
  <c r="H1183" i="1"/>
  <c r="E1183" i="1"/>
  <c r="L935" i="1"/>
  <c r="O935" i="1" s="1"/>
  <c r="H935" i="1"/>
  <c r="E935" i="1"/>
  <c r="L934" i="1"/>
  <c r="O934" i="1" s="1"/>
  <c r="H934" i="1"/>
  <c r="E934" i="1"/>
  <c r="L933" i="1"/>
  <c r="O933" i="1" s="1"/>
  <c r="H933" i="1"/>
  <c r="E933" i="1"/>
  <c r="L932" i="1"/>
  <c r="O932" i="1" s="1"/>
  <c r="H932" i="1"/>
  <c r="E932" i="1"/>
  <c r="L949" i="1"/>
  <c r="O949" i="1" s="1"/>
  <c r="H949" i="1"/>
  <c r="E949" i="1"/>
  <c r="L931" i="1"/>
  <c r="O931" i="1" s="1"/>
  <c r="H931" i="1"/>
  <c r="E931" i="1"/>
  <c r="L930" i="1"/>
  <c r="O930" i="1" s="1"/>
  <c r="H930" i="1"/>
  <c r="E930" i="1"/>
  <c r="L929" i="1"/>
  <c r="O929" i="1" s="1"/>
  <c r="H929" i="1"/>
  <c r="E929" i="1"/>
  <c r="L928" i="1"/>
  <c r="O928" i="1" s="1"/>
  <c r="H928" i="1"/>
  <c r="E928" i="1"/>
  <c r="L1182" i="1"/>
  <c r="O1182" i="1" s="1"/>
  <c r="H1182" i="1"/>
  <c r="E1182" i="1"/>
  <c r="L959" i="1"/>
  <c r="O959" i="1" s="1"/>
  <c r="H959" i="1"/>
  <c r="E959" i="1"/>
  <c r="L927" i="1"/>
  <c r="O927" i="1" s="1"/>
  <c r="H927" i="1"/>
  <c r="E927" i="1"/>
  <c r="L926" i="1"/>
  <c r="O926" i="1" s="1"/>
  <c r="H926" i="1"/>
  <c r="E926" i="1"/>
  <c r="L925" i="1"/>
  <c r="O925" i="1" s="1"/>
  <c r="H925" i="1"/>
  <c r="E925" i="1"/>
  <c r="L1181" i="1"/>
  <c r="O1181" i="1" s="1"/>
  <c r="H1181" i="1"/>
  <c r="E1181" i="1"/>
  <c r="L1180" i="1"/>
  <c r="O1180" i="1" s="1"/>
  <c r="H1180" i="1"/>
  <c r="E1180" i="1"/>
  <c r="L1179" i="1"/>
  <c r="O1179" i="1" s="1"/>
  <c r="H1179" i="1"/>
  <c r="E1179" i="1"/>
  <c r="L912" i="1"/>
  <c r="O912" i="1" s="1"/>
  <c r="H912" i="1"/>
  <c r="E912" i="1"/>
  <c r="L911" i="1"/>
  <c r="O911" i="1" s="1"/>
  <c r="H911" i="1"/>
  <c r="E911" i="1"/>
  <c r="L1178" i="1"/>
  <c r="O1178" i="1" s="1"/>
  <c r="H1178" i="1"/>
  <c r="E1178" i="1"/>
  <c r="L910" i="1"/>
  <c r="O910" i="1" s="1"/>
  <c r="H910" i="1"/>
  <c r="E910" i="1"/>
  <c r="L1177" i="1"/>
  <c r="O1177" i="1" s="1"/>
  <c r="H1177" i="1"/>
  <c r="E1177" i="1"/>
  <c r="L1176" i="1"/>
  <c r="O1176" i="1" s="1"/>
  <c r="H1176" i="1"/>
  <c r="E1176" i="1"/>
  <c r="L1175" i="1"/>
  <c r="O1175" i="1" s="1"/>
  <c r="H1175" i="1"/>
  <c r="E1175" i="1"/>
  <c r="L909" i="1"/>
  <c r="O909" i="1" s="1"/>
  <c r="H909" i="1"/>
  <c r="E909" i="1"/>
  <c r="L1174" i="1"/>
  <c r="O1174" i="1" s="1"/>
  <c r="H1174" i="1"/>
  <c r="E1174" i="1"/>
  <c r="L1173" i="1"/>
  <c r="O1173" i="1" s="1"/>
  <c r="H1173" i="1"/>
  <c r="E1173" i="1"/>
  <c r="L924" i="1"/>
  <c r="O924" i="1" s="1"/>
  <c r="H924" i="1"/>
  <c r="E924" i="1"/>
  <c r="L908" i="1"/>
  <c r="O908" i="1" s="1"/>
  <c r="H908" i="1"/>
  <c r="E908" i="1"/>
  <c r="L1172" i="1"/>
  <c r="O1172" i="1" s="1"/>
  <c r="H1172" i="1"/>
  <c r="E1172" i="1"/>
  <c r="L907" i="1"/>
  <c r="O907" i="1" s="1"/>
  <c r="H907" i="1"/>
  <c r="E907" i="1"/>
  <c r="L1171" i="1"/>
  <c r="O1171" i="1" s="1"/>
  <c r="H1171" i="1"/>
  <c r="E1171" i="1"/>
  <c r="L906" i="1"/>
  <c r="O906" i="1" s="1"/>
  <c r="H906" i="1"/>
  <c r="E906" i="1"/>
  <c r="L905" i="1"/>
  <c r="O905" i="1" s="1"/>
  <c r="H905" i="1"/>
  <c r="E905" i="1"/>
  <c r="L904" i="1"/>
  <c r="O904" i="1" s="1"/>
  <c r="H904" i="1"/>
  <c r="E904" i="1"/>
  <c r="L976" i="1"/>
  <c r="O976" i="1" s="1"/>
  <c r="H976" i="1"/>
  <c r="E976" i="1"/>
  <c r="L903" i="1"/>
  <c r="O903" i="1" s="1"/>
  <c r="H903" i="1"/>
  <c r="E903" i="1"/>
  <c r="L902" i="1"/>
  <c r="O902" i="1" s="1"/>
  <c r="H902" i="1"/>
  <c r="E902" i="1"/>
  <c r="L901" i="1"/>
  <c r="O901" i="1" s="1"/>
  <c r="H901" i="1"/>
  <c r="E901" i="1"/>
  <c r="L1009" i="1"/>
  <c r="O1009" i="1" s="1"/>
  <c r="H1009" i="1"/>
  <c r="E1009" i="1"/>
  <c r="L895" i="1"/>
  <c r="O895" i="1" s="1"/>
  <c r="H895" i="1"/>
  <c r="E895" i="1"/>
  <c r="L1170" i="1"/>
  <c r="O1170" i="1" s="1"/>
  <c r="H1170" i="1"/>
  <c r="E1170" i="1"/>
  <c r="L923" i="1"/>
  <c r="O923" i="1" s="1"/>
  <c r="H923" i="1"/>
  <c r="E923" i="1"/>
  <c r="L1004" i="1"/>
  <c r="O1004" i="1" s="1"/>
  <c r="H1004" i="1"/>
  <c r="E1004" i="1"/>
  <c r="L894" i="1"/>
  <c r="O894" i="1" s="1"/>
  <c r="H894" i="1"/>
  <c r="E894" i="1"/>
  <c r="L958" i="1"/>
  <c r="O958" i="1" s="1"/>
  <c r="H958" i="1"/>
  <c r="E958" i="1"/>
  <c r="L922" i="1"/>
  <c r="O922" i="1" s="1"/>
  <c r="H922" i="1"/>
  <c r="E922" i="1"/>
  <c r="L1169" i="1"/>
  <c r="O1169" i="1" s="1"/>
  <c r="H1169" i="1"/>
  <c r="E1169" i="1"/>
  <c r="L1168" i="1"/>
  <c r="O1168" i="1" s="1"/>
  <c r="H1168" i="1"/>
  <c r="E1168" i="1"/>
  <c r="L1167" i="1"/>
  <c r="O1167" i="1" s="1"/>
  <c r="H1167" i="1"/>
  <c r="E1167" i="1"/>
  <c r="L921" i="1"/>
  <c r="O921" i="1" s="1"/>
  <c r="H921" i="1"/>
  <c r="E921" i="1"/>
  <c r="L920" i="1"/>
  <c r="O920" i="1" s="1"/>
  <c r="H920" i="1"/>
  <c r="E920" i="1"/>
  <c r="L1166" i="1"/>
  <c r="O1166" i="1" s="1"/>
  <c r="H1166" i="1"/>
  <c r="E1166" i="1"/>
  <c r="L1003" i="1"/>
  <c r="O1003" i="1" s="1"/>
  <c r="H1003" i="1"/>
  <c r="E1003" i="1"/>
  <c r="L893" i="1"/>
  <c r="O893" i="1" s="1"/>
  <c r="H893" i="1"/>
  <c r="E893" i="1"/>
  <c r="L1165" i="1"/>
  <c r="O1165" i="1" s="1"/>
  <c r="H1165" i="1"/>
  <c r="E1165" i="1"/>
  <c r="L1164" i="1"/>
  <c r="O1164" i="1" s="1"/>
  <c r="H1164" i="1"/>
  <c r="E1164" i="1"/>
  <c r="L1163" i="1"/>
  <c r="O1163" i="1" s="1"/>
  <c r="H1163" i="1"/>
  <c r="E1163" i="1"/>
  <c r="L1162" i="1"/>
  <c r="O1162" i="1" s="1"/>
  <c r="H1162" i="1"/>
  <c r="E1162" i="1"/>
  <c r="L1002" i="1"/>
  <c r="O1002" i="1" s="1"/>
  <c r="H1002" i="1"/>
  <c r="E1002" i="1"/>
  <c r="L919" i="1"/>
  <c r="O919" i="1" s="1"/>
  <c r="H919" i="1"/>
  <c r="E919" i="1"/>
  <c r="L1161" i="1"/>
  <c r="O1161" i="1" s="1"/>
  <c r="H1161" i="1"/>
  <c r="E1161" i="1"/>
  <c r="L1001" i="1"/>
  <c r="O1001" i="1" s="1"/>
  <c r="H1001" i="1"/>
  <c r="E1001" i="1"/>
  <c r="L1160" i="1"/>
  <c r="O1160" i="1" s="1"/>
  <c r="H1160" i="1"/>
  <c r="E1160" i="1"/>
  <c r="L900" i="1"/>
  <c r="O900" i="1" s="1"/>
  <c r="H900" i="1"/>
  <c r="E900" i="1"/>
  <c r="L918" i="1"/>
  <c r="O918" i="1" s="1"/>
  <c r="H918" i="1"/>
  <c r="E918" i="1"/>
  <c r="L1159" i="1"/>
  <c r="O1159" i="1" s="1"/>
  <c r="H1159" i="1"/>
  <c r="E1159" i="1"/>
  <c r="L917" i="1"/>
  <c r="O917" i="1" s="1"/>
  <c r="H917" i="1"/>
  <c r="E917" i="1"/>
  <c r="L916" i="1"/>
  <c r="O916" i="1" s="1"/>
  <c r="H916" i="1"/>
  <c r="E916" i="1"/>
  <c r="L1158" i="1"/>
  <c r="O1158" i="1" s="1"/>
  <c r="H1158" i="1"/>
  <c r="E1158" i="1"/>
  <c r="L915" i="1"/>
  <c r="O915" i="1" s="1"/>
  <c r="H915" i="1"/>
  <c r="E915" i="1"/>
  <c r="L1157" i="1"/>
  <c r="O1157" i="1" s="1"/>
  <c r="H1157" i="1"/>
  <c r="E1157" i="1"/>
  <c r="L899" i="1"/>
  <c r="O899" i="1" s="1"/>
  <c r="H899" i="1"/>
  <c r="E899" i="1"/>
  <c r="L898" i="1"/>
  <c r="O898" i="1" s="1"/>
  <c r="H898" i="1"/>
  <c r="E898" i="1"/>
  <c r="L897" i="1"/>
  <c r="O897" i="1" s="1"/>
  <c r="H897" i="1"/>
  <c r="E897" i="1"/>
  <c r="L1156" i="1"/>
  <c r="O1156" i="1" s="1"/>
  <c r="H1156" i="1"/>
  <c r="E1156" i="1"/>
  <c r="L896" i="1"/>
  <c r="O896" i="1" s="1"/>
  <c r="H896" i="1"/>
  <c r="E896" i="1"/>
  <c r="L892" i="1"/>
  <c r="O892" i="1" s="1"/>
  <c r="H892" i="1"/>
  <c r="E892" i="1"/>
  <c r="L914" i="1"/>
  <c r="O914" i="1" s="1"/>
  <c r="H914" i="1"/>
  <c r="E914" i="1"/>
  <c r="L950" i="1"/>
  <c r="O950" i="1" s="1"/>
  <c r="H950" i="1"/>
  <c r="E950" i="1"/>
  <c r="L891" i="1"/>
  <c r="O891" i="1" s="1"/>
  <c r="H891" i="1"/>
  <c r="E891" i="1"/>
  <c r="L913" i="1"/>
  <c r="O913" i="1" s="1"/>
  <c r="H913" i="1"/>
  <c r="E913" i="1"/>
  <c r="L1152" i="1"/>
  <c r="O1152" i="1" s="1"/>
  <c r="H1152" i="1"/>
  <c r="E1152" i="1"/>
  <c r="L885" i="1"/>
  <c r="O885" i="1" s="1"/>
  <c r="H885" i="1"/>
  <c r="E885" i="1"/>
  <c r="L884" i="1"/>
  <c r="O884" i="1" s="1"/>
  <c r="H884" i="1"/>
  <c r="E884" i="1"/>
  <c r="L883" i="1"/>
  <c r="O883" i="1" s="1"/>
  <c r="H883" i="1"/>
  <c r="E883" i="1"/>
  <c r="L882" i="1"/>
  <c r="O882" i="1" s="1"/>
  <c r="H882" i="1"/>
  <c r="E882" i="1"/>
  <c r="L881" i="1"/>
  <c r="O881" i="1" s="1"/>
  <c r="H881" i="1"/>
  <c r="E881" i="1"/>
  <c r="L880" i="1"/>
  <c r="O880" i="1" s="1"/>
  <c r="H880" i="1"/>
  <c r="E880" i="1"/>
  <c r="L879" i="1"/>
  <c r="O879" i="1" s="1"/>
  <c r="H879" i="1"/>
  <c r="E879" i="1"/>
  <c r="L878" i="1"/>
  <c r="O878" i="1" s="1"/>
  <c r="H878" i="1"/>
  <c r="E878" i="1"/>
  <c r="L890" i="1"/>
  <c r="O890" i="1" s="1"/>
  <c r="H890" i="1"/>
  <c r="E890" i="1"/>
  <c r="L1153" i="1"/>
  <c r="O1153" i="1" s="1"/>
  <c r="G1153" i="1"/>
  <c r="E1153" i="1"/>
  <c r="L877" i="1"/>
  <c r="O877" i="1" s="1"/>
  <c r="H877" i="1"/>
  <c r="E877" i="1"/>
  <c r="L876" i="1"/>
  <c r="O876" i="1" s="1"/>
  <c r="H876" i="1"/>
  <c r="E876" i="1"/>
  <c r="L875" i="1"/>
  <c r="O875" i="1" s="1"/>
  <c r="H875" i="1"/>
  <c r="E875" i="1"/>
  <c r="L874" i="1"/>
  <c r="O874" i="1" s="1"/>
  <c r="H874" i="1"/>
  <c r="E874" i="1"/>
  <c r="L873" i="1"/>
  <c r="O873" i="1" s="1"/>
  <c r="H873" i="1"/>
  <c r="E873" i="1"/>
  <c r="L872" i="1"/>
  <c r="O872" i="1" s="1"/>
  <c r="H872" i="1"/>
  <c r="E872" i="1"/>
  <c r="L871" i="1"/>
  <c r="O871" i="1" s="1"/>
  <c r="H871" i="1"/>
  <c r="E871" i="1"/>
  <c r="L870" i="1"/>
  <c r="O870" i="1" s="1"/>
  <c r="H870" i="1"/>
  <c r="E870" i="1"/>
  <c r="L886" i="1"/>
  <c r="O886" i="1" s="1"/>
  <c r="H886" i="1"/>
  <c r="E886" i="1"/>
  <c r="L869" i="1"/>
  <c r="O869" i="1" s="1"/>
  <c r="H869" i="1"/>
  <c r="E869" i="1"/>
  <c r="L868" i="1"/>
  <c r="O868" i="1" s="1"/>
  <c r="H868" i="1"/>
  <c r="E868" i="1"/>
  <c r="L867" i="1"/>
  <c r="O867" i="1" s="1"/>
  <c r="H867" i="1"/>
  <c r="E867" i="1"/>
  <c r="L866" i="1"/>
  <c r="O866" i="1" s="1"/>
  <c r="H866" i="1"/>
  <c r="E866" i="1"/>
  <c r="L865" i="1"/>
  <c r="O865" i="1" s="1"/>
  <c r="H865" i="1"/>
  <c r="E865" i="1"/>
  <c r="L864" i="1"/>
  <c r="O864" i="1" s="1"/>
  <c r="H864" i="1"/>
  <c r="E864" i="1"/>
  <c r="L863" i="1"/>
  <c r="O863" i="1" s="1"/>
  <c r="H863" i="1"/>
  <c r="E863" i="1"/>
  <c r="L862" i="1"/>
  <c r="O862" i="1" s="1"/>
  <c r="H862" i="1"/>
  <c r="E862" i="1"/>
  <c r="L861" i="1"/>
  <c r="O861" i="1" s="1"/>
  <c r="H861" i="1"/>
  <c r="E861" i="1"/>
  <c r="L860" i="1"/>
  <c r="O860" i="1" s="1"/>
  <c r="H860" i="1"/>
  <c r="E860" i="1"/>
  <c r="L859" i="1"/>
  <c r="O859" i="1" s="1"/>
  <c r="H859" i="1"/>
  <c r="E859" i="1"/>
  <c r="L858" i="1"/>
  <c r="O858" i="1" s="1"/>
  <c r="H858" i="1"/>
  <c r="E858" i="1"/>
  <c r="L857" i="1"/>
  <c r="O857" i="1" s="1"/>
  <c r="H857" i="1"/>
  <c r="E857" i="1"/>
  <c r="L856" i="1"/>
  <c r="O856" i="1" s="1"/>
  <c r="H856" i="1"/>
  <c r="E856" i="1"/>
  <c r="L855" i="1"/>
  <c r="O855" i="1" s="1"/>
  <c r="H855" i="1"/>
  <c r="E855" i="1"/>
  <c r="L854" i="1"/>
  <c r="O854" i="1" s="1"/>
  <c r="H854" i="1"/>
  <c r="E854" i="1"/>
  <c r="L845" i="1"/>
  <c r="O845" i="1" s="1"/>
  <c r="H845" i="1"/>
  <c r="E845" i="1"/>
  <c r="L1194" i="1"/>
  <c r="O1194" i="1" s="1"/>
  <c r="H1194" i="1"/>
  <c r="E1194" i="1"/>
  <c r="L888" i="1"/>
  <c r="O888" i="1" s="1"/>
  <c r="H888" i="1"/>
  <c r="E888" i="1"/>
  <c r="L844" i="1"/>
  <c r="O844" i="1" s="1"/>
  <c r="H844" i="1"/>
  <c r="E844" i="1"/>
  <c r="L843" i="1"/>
  <c r="O843" i="1" s="1"/>
  <c r="H843" i="1"/>
  <c r="E843" i="1"/>
  <c r="L887" i="1"/>
  <c r="O887" i="1" s="1"/>
  <c r="H887" i="1"/>
  <c r="E887" i="1"/>
  <c r="L842" i="1"/>
  <c r="O842" i="1" s="1"/>
  <c r="H842" i="1"/>
  <c r="E842" i="1"/>
  <c r="L1016" i="1"/>
  <c r="O1016" i="1" s="1"/>
  <c r="H1016" i="1"/>
  <c r="E1016" i="1"/>
  <c r="L841" i="1"/>
  <c r="O841" i="1" s="1"/>
  <c r="H841" i="1"/>
  <c r="E841" i="1"/>
  <c r="L840" i="1"/>
  <c r="O840" i="1" s="1"/>
  <c r="H840" i="1"/>
  <c r="E840" i="1"/>
  <c r="L839" i="1"/>
  <c r="O839" i="1" s="1"/>
  <c r="H839" i="1"/>
  <c r="E839" i="1"/>
  <c r="L838" i="1"/>
  <c r="O838" i="1" s="1"/>
  <c r="H838" i="1"/>
  <c r="E838" i="1"/>
  <c r="L837" i="1"/>
  <c r="O837" i="1" s="1"/>
  <c r="H837" i="1"/>
  <c r="E837" i="1"/>
  <c r="L836" i="1"/>
  <c r="O836" i="1" s="1"/>
  <c r="H836" i="1"/>
  <c r="E836" i="1"/>
  <c r="L835" i="1"/>
  <c r="O835" i="1" s="1"/>
  <c r="H835" i="1"/>
  <c r="E835" i="1"/>
  <c r="L834" i="1"/>
  <c r="O834" i="1" s="1"/>
  <c r="H834" i="1"/>
  <c r="E834" i="1"/>
  <c r="L833" i="1"/>
  <c r="O833" i="1" s="1"/>
  <c r="H833" i="1"/>
  <c r="E833" i="1"/>
  <c r="L832" i="1"/>
  <c r="O832" i="1" s="1"/>
  <c r="H832" i="1"/>
  <c r="E832" i="1"/>
  <c r="L1151" i="1"/>
  <c r="O1151" i="1" s="1"/>
  <c r="H1151" i="1"/>
  <c r="E1151" i="1"/>
  <c r="L1150" i="1"/>
  <c r="O1150" i="1" s="1"/>
  <c r="H1150" i="1"/>
  <c r="E1150" i="1"/>
  <c r="L831" i="1"/>
  <c r="O831" i="1" s="1"/>
  <c r="H831" i="1"/>
  <c r="E831" i="1"/>
  <c r="L830" i="1"/>
  <c r="O830" i="1" s="1"/>
  <c r="H830" i="1"/>
  <c r="E830" i="1"/>
  <c r="L957" i="1"/>
  <c r="O957" i="1" s="1"/>
  <c r="H957" i="1"/>
  <c r="E957" i="1"/>
  <c r="L853" i="1"/>
  <c r="O853" i="1" s="1"/>
  <c r="H853" i="1"/>
  <c r="E853" i="1"/>
  <c r="L852" i="1"/>
  <c r="O852" i="1" s="1"/>
  <c r="H852" i="1"/>
  <c r="E852" i="1"/>
  <c r="L851" i="1"/>
  <c r="O851" i="1" s="1"/>
  <c r="H851" i="1"/>
  <c r="E851" i="1"/>
  <c r="L850" i="1"/>
  <c r="O850" i="1" s="1"/>
  <c r="H850" i="1"/>
  <c r="E850" i="1"/>
  <c r="L1149" i="1"/>
  <c r="O1149" i="1" s="1"/>
  <c r="H1149" i="1"/>
  <c r="E1149" i="1"/>
  <c r="L1148" i="1"/>
  <c r="O1148" i="1" s="1"/>
  <c r="H1148" i="1"/>
  <c r="E1148" i="1"/>
  <c r="L849" i="1"/>
  <c r="O849" i="1" s="1"/>
  <c r="H849" i="1"/>
  <c r="E849" i="1"/>
  <c r="L820" i="1"/>
  <c r="O820" i="1" s="1"/>
  <c r="H820" i="1"/>
  <c r="E820" i="1"/>
  <c r="L1147" i="1"/>
  <c r="O1147" i="1" s="1"/>
  <c r="H1147" i="1"/>
  <c r="E1147" i="1"/>
  <c r="L821" i="1"/>
  <c r="O821" i="1" s="1"/>
  <c r="H821" i="1"/>
  <c r="E821" i="1"/>
  <c r="L848" i="1"/>
  <c r="O848" i="1" s="1"/>
  <c r="H848" i="1"/>
  <c r="E848" i="1"/>
  <c r="L819" i="1"/>
  <c r="O819" i="1" s="1"/>
  <c r="H819" i="1"/>
  <c r="E819" i="1"/>
  <c r="L822" i="1"/>
  <c r="O822" i="1" s="1"/>
  <c r="G822" i="1"/>
  <c r="E822" i="1"/>
  <c r="L818" i="1"/>
  <c r="O818" i="1" s="1"/>
  <c r="H818" i="1"/>
  <c r="E818" i="1"/>
  <c r="L829" i="1"/>
  <c r="O829" i="1" s="1"/>
  <c r="H829" i="1"/>
  <c r="E829" i="1"/>
  <c r="L828" i="1"/>
  <c r="O828" i="1" s="1"/>
  <c r="H828" i="1"/>
  <c r="E828" i="1"/>
  <c r="L827" i="1"/>
  <c r="O827" i="1" s="1"/>
  <c r="H827" i="1"/>
  <c r="E827" i="1"/>
  <c r="L826" i="1"/>
  <c r="O826" i="1" s="1"/>
  <c r="H826" i="1"/>
  <c r="E826" i="1"/>
  <c r="L825" i="1"/>
  <c r="O825" i="1" s="1"/>
  <c r="H825" i="1"/>
  <c r="E825" i="1"/>
  <c r="L1155" i="1"/>
  <c r="O1155" i="1" s="1"/>
  <c r="H1155" i="1"/>
  <c r="E1155" i="1"/>
  <c r="L1145" i="1"/>
  <c r="O1145" i="1" s="1"/>
  <c r="H1145" i="1"/>
  <c r="E1145" i="1"/>
  <c r="L847" i="1"/>
  <c r="O847" i="1" s="1"/>
  <c r="H847" i="1"/>
  <c r="E847" i="1"/>
  <c r="L809" i="1"/>
  <c r="O809" i="1" s="1"/>
  <c r="H809" i="1"/>
  <c r="E809" i="1"/>
  <c r="L808" i="1"/>
  <c r="O808" i="1" s="1"/>
  <c r="H808" i="1"/>
  <c r="E808" i="1"/>
  <c r="L807" i="1"/>
  <c r="O807" i="1" s="1"/>
  <c r="H807" i="1"/>
  <c r="E807" i="1"/>
  <c r="L806" i="1"/>
  <c r="O806" i="1" s="1"/>
  <c r="H806" i="1"/>
  <c r="E806" i="1"/>
  <c r="L805" i="1"/>
  <c r="O805" i="1" s="1"/>
  <c r="H805" i="1"/>
  <c r="E805" i="1"/>
  <c r="L804" i="1"/>
  <c r="O804" i="1" s="1"/>
  <c r="H804" i="1"/>
  <c r="E804" i="1"/>
  <c r="L803" i="1"/>
  <c r="O803" i="1" s="1"/>
  <c r="H803" i="1"/>
  <c r="E803" i="1"/>
  <c r="L802" i="1"/>
  <c r="O802" i="1" s="1"/>
  <c r="H802" i="1"/>
  <c r="E802" i="1"/>
  <c r="L801" i="1"/>
  <c r="O801" i="1" s="1"/>
  <c r="H801" i="1"/>
  <c r="E801" i="1"/>
  <c r="L811" i="1"/>
  <c r="O811" i="1" s="1"/>
  <c r="H811" i="1"/>
  <c r="E811" i="1"/>
  <c r="L800" i="1"/>
  <c r="O800" i="1" s="1"/>
  <c r="H800" i="1"/>
  <c r="E800" i="1"/>
  <c r="L792" i="1"/>
  <c r="O792" i="1" s="1"/>
  <c r="H792" i="1"/>
  <c r="E792" i="1"/>
  <c r="L791" i="1"/>
  <c r="O791" i="1" s="1"/>
  <c r="H791" i="1"/>
  <c r="E791" i="1"/>
  <c r="L790" i="1"/>
  <c r="O790" i="1" s="1"/>
  <c r="H790" i="1"/>
  <c r="E790" i="1"/>
  <c r="L789" i="1"/>
  <c r="O789" i="1" s="1"/>
  <c r="H789" i="1"/>
  <c r="E789" i="1"/>
  <c r="L799" i="1"/>
  <c r="O799" i="1" s="1"/>
  <c r="H799" i="1"/>
  <c r="E799" i="1"/>
  <c r="L798" i="1"/>
  <c r="O798" i="1" s="1"/>
  <c r="H798" i="1"/>
  <c r="E798" i="1"/>
  <c r="L797" i="1"/>
  <c r="O797" i="1" s="1"/>
  <c r="H797" i="1"/>
  <c r="E797" i="1"/>
  <c r="L796" i="1"/>
  <c r="O796" i="1" s="1"/>
  <c r="H796" i="1"/>
  <c r="E796" i="1"/>
  <c r="L795" i="1"/>
  <c r="O795" i="1" s="1"/>
  <c r="H795" i="1"/>
  <c r="E795" i="1"/>
  <c r="L794" i="1"/>
  <c r="O794" i="1" s="1"/>
  <c r="H794" i="1"/>
  <c r="E794" i="1"/>
  <c r="L793" i="1"/>
  <c r="O793" i="1" s="1"/>
  <c r="H793" i="1"/>
  <c r="E793" i="1"/>
  <c r="L1142" i="1"/>
  <c r="O1142" i="1" s="1"/>
  <c r="H1142" i="1"/>
  <c r="E1142" i="1"/>
  <c r="L1141" i="1"/>
  <c r="O1141" i="1" s="1"/>
  <c r="H1141" i="1"/>
  <c r="E1141" i="1"/>
  <c r="L1140" i="1"/>
  <c r="O1140" i="1" s="1"/>
  <c r="H1140" i="1"/>
  <c r="E1140" i="1"/>
  <c r="L1146" i="1"/>
  <c r="O1146" i="1" s="1"/>
  <c r="G1146" i="1"/>
  <c r="E1146" i="1"/>
  <c r="L817" i="1"/>
  <c r="O817" i="1" s="1"/>
  <c r="H817" i="1"/>
  <c r="E817" i="1"/>
  <c r="L816" i="1"/>
  <c r="O816" i="1" s="1"/>
  <c r="H816" i="1"/>
  <c r="E816" i="1"/>
  <c r="L815" i="1"/>
  <c r="O815" i="1" s="1"/>
  <c r="H815" i="1"/>
  <c r="E815" i="1"/>
  <c r="L814" i="1"/>
  <c r="O814" i="1" s="1"/>
  <c r="H814" i="1"/>
  <c r="E814" i="1"/>
  <c r="L1000" i="1"/>
  <c r="O1000" i="1" s="1"/>
  <c r="H1000" i="1"/>
  <c r="E1000" i="1"/>
  <c r="L787" i="1"/>
  <c r="O787" i="1" s="1"/>
  <c r="H787" i="1"/>
  <c r="E787" i="1"/>
  <c r="L786" i="1"/>
  <c r="O786" i="1" s="1"/>
  <c r="H786" i="1"/>
  <c r="E786" i="1"/>
  <c r="L785" i="1"/>
  <c r="O785" i="1" s="1"/>
  <c r="H785" i="1"/>
  <c r="E785" i="1"/>
  <c r="L1139" i="1"/>
  <c r="O1139" i="1" s="1"/>
  <c r="H1139" i="1"/>
  <c r="E1139" i="1"/>
  <c r="L784" i="1"/>
  <c r="O784" i="1" s="1"/>
  <c r="H784" i="1"/>
  <c r="E784" i="1"/>
  <c r="L783" i="1"/>
  <c r="O783" i="1" s="1"/>
  <c r="H783" i="1"/>
  <c r="E783" i="1"/>
  <c r="L782" i="1"/>
  <c r="O782" i="1" s="1"/>
  <c r="H782" i="1"/>
  <c r="E782" i="1"/>
  <c r="L781" i="1"/>
  <c r="O781" i="1" s="1"/>
  <c r="H781" i="1"/>
  <c r="E781" i="1"/>
  <c r="L780" i="1"/>
  <c r="O780" i="1" s="1"/>
  <c r="H780" i="1"/>
  <c r="E780" i="1"/>
  <c r="L788" i="1"/>
  <c r="O788" i="1" s="1"/>
  <c r="G788" i="1"/>
  <c r="E788" i="1"/>
  <c r="L813" i="1"/>
  <c r="O813" i="1" s="1"/>
  <c r="H813" i="1"/>
  <c r="E813" i="1"/>
  <c r="L1144" i="1"/>
  <c r="O1144" i="1" s="1"/>
  <c r="H1144" i="1"/>
  <c r="E1144" i="1"/>
  <c r="L889" i="1"/>
  <c r="O889" i="1" s="1"/>
  <c r="H889" i="1"/>
  <c r="E889" i="1"/>
  <c r="L1143" i="1"/>
  <c r="O1143" i="1" s="1"/>
  <c r="H1143" i="1"/>
  <c r="E1143" i="1"/>
  <c r="L824" i="1"/>
  <c r="O824" i="1" s="1"/>
  <c r="H824" i="1"/>
  <c r="E824" i="1"/>
  <c r="L823" i="1"/>
  <c r="O823" i="1" s="1"/>
  <c r="H823" i="1"/>
  <c r="E823" i="1"/>
  <c r="L778" i="1"/>
  <c r="O778" i="1" s="1"/>
  <c r="H778" i="1"/>
  <c r="E778" i="1"/>
  <c r="L777" i="1"/>
  <c r="O777" i="1" s="1"/>
  <c r="H777" i="1"/>
  <c r="E777" i="1"/>
  <c r="L776" i="1"/>
  <c r="O776" i="1" s="1"/>
  <c r="H776" i="1"/>
  <c r="E776" i="1"/>
  <c r="L1138" i="1"/>
  <c r="O1138" i="1" s="1"/>
  <c r="H1138" i="1"/>
  <c r="E1138" i="1"/>
  <c r="L775" i="1"/>
  <c r="O775" i="1" s="1"/>
  <c r="H775" i="1"/>
  <c r="E775" i="1"/>
  <c r="L774" i="1"/>
  <c r="O774" i="1" s="1"/>
  <c r="H774" i="1"/>
  <c r="E774" i="1"/>
  <c r="L773" i="1"/>
  <c r="O773" i="1" s="1"/>
  <c r="H773" i="1"/>
  <c r="E773" i="1"/>
  <c r="L1137" i="1"/>
  <c r="O1137" i="1" s="1"/>
  <c r="H1137" i="1"/>
  <c r="E1137" i="1"/>
  <c r="L772" i="1"/>
  <c r="O772" i="1" s="1"/>
  <c r="H772" i="1"/>
  <c r="E772" i="1"/>
  <c r="L771" i="1"/>
  <c r="O771" i="1" s="1"/>
  <c r="H771" i="1"/>
  <c r="E771" i="1"/>
  <c r="L770" i="1"/>
  <c r="O770" i="1" s="1"/>
  <c r="H770" i="1"/>
  <c r="E770" i="1"/>
  <c r="L769" i="1"/>
  <c r="O769" i="1" s="1"/>
  <c r="H769" i="1"/>
  <c r="E769" i="1"/>
  <c r="L768" i="1"/>
  <c r="O768" i="1" s="1"/>
  <c r="H768" i="1"/>
  <c r="E768" i="1"/>
  <c r="L767" i="1"/>
  <c r="O767" i="1" s="1"/>
  <c r="H767" i="1"/>
  <c r="E767" i="1"/>
  <c r="L766" i="1"/>
  <c r="O766" i="1" s="1"/>
  <c r="H766" i="1"/>
  <c r="E766" i="1"/>
  <c r="L761" i="1"/>
  <c r="O761" i="1" s="1"/>
  <c r="H761" i="1"/>
  <c r="E761" i="1"/>
  <c r="L760" i="1"/>
  <c r="O760" i="1" s="1"/>
  <c r="H760" i="1"/>
  <c r="E760" i="1"/>
  <c r="L1136" i="1"/>
  <c r="O1136" i="1" s="1"/>
  <c r="H1136" i="1"/>
  <c r="E1136" i="1"/>
  <c r="L755" i="1"/>
  <c r="O755" i="1" s="1"/>
  <c r="H755" i="1"/>
  <c r="E755" i="1"/>
  <c r="L1135" i="1"/>
  <c r="O1135" i="1" s="1"/>
  <c r="H1135" i="1"/>
  <c r="E1135" i="1"/>
  <c r="L759" i="1"/>
  <c r="O759" i="1" s="1"/>
  <c r="H759" i="1"/>
  <c r="E759" i="1"/>
  <c r="L754" i="1"/>
  <c r="O754" i="1" s="1"/>
  <c r="H754" i="1"/>
  <c r="E754" i="1"/>
  <c r="L753" i="1"/>
  <c r="O753" i="1" s="1"/>
  <c r="H753" i="1"/>
  <c r="E753" i="1"/>
  <c r="L758" i="1"/>
  <c r="O758" i="1" s="1"/>
  <c r="H758" i="1"/>
  <c r="E758" i="1"/>
  <c r="L757" i="1"/>
  <c r="O757" i="1" s="1"/>
  <c r="H757" i="1"/>
  <c r="E757" i="1"/>
  <c r="L765" i="1"/>
  <c r="O765" i="1" s="1"/>
  <c r="H765" i="1"/>
  <c r="E765" i="1"/>
  <c r="L752" i="1"/>
  <c r="O752" i="1" s="1"/>
  <c r="H752" i="1"/>
  <c r="E752" i="1"/>
  <c r="L1134" i="1"/>
  <c r="O1134" i="1" s="1"/>
  <c r="H1134" i="1"/>
  <c r="E1134" i="1"/>
  <c r="L751" i="1"/>
  <c r="O751" i="1" s="1"/>
  <c r="H751" i="1"/>
  <c r="E751" i="1"/>
  <c r="L812" i="1"/>
  <c r="O812" i="1" s="1"/>
  <c r="H812" i="1"/>
  <c r="E812" i="1"/>
  <c r="L846" i="1"/>
  <c r="O846" i="1" s="1"/>
  <c r="H846" i="1"/>
  <c r="E846" i="1"/>
  <c r="L1133" i="1"/>
  <c r="O1133" i="1" s="1"/>
  <c r="H1133" i="1"/>
  <c r="E1133" i="1"/>
  <c r="L1132" i="1"/>
  <c r="O1132" i="1" s="1"/>
  <c r="H1132" i="1"/>
  <c r="E1132" i="1"/>
  <c r="L756" i="1"/>
  <c r="O756" i="1" s="1"/>
  <c r="H756" i="1"/>
  <c r="E756" i="1"/>
  <c r="L1131" i="1"/>
  <c r="O1131" i="1" s="1"/>
  <c r="H1131" i="1"/>
  <c r="E1131" i="1"/>
  <c r="L1130" i="1"/>
  <c r="O1130" i="1" s="1"/>
  <c r="H1130" i="1"/>
  <c r="E1130" i="1"/>
  <c r="L1129" i="1"/>
  <c r="O1129" i="1" s="1"/>
  <c r="H1129" i="1"/>
  <c r="E1129" i="1"/>
  <c r="L748" i="1"/>
  <c r="O748" i="1" s="1"/>
  <c r="H748" i="1"/>
  <c r="E748" i="1"/>
  <c r="L764" i="1"/>
  <c r="O764" i="1" s="1"/>
  <c r="H764" i="1"/>
  <c r="E764" i="1"/>
  <c r="L747" i="1"/>
  <c r="O747" i="1" s="1"/>
  <c r="H747" i="1"/>
  <c r="E747" i="1"/>
  <c r="L763" i="1"/>
  <c r="O763" i="1" s="1"/>
  <c r="H763" i="1"/>
  <c r="E763" i="1"/>
  <c r="L1128" i="1"/>
  <c r="O1128" i="1" s="1"/>
  <c r="H1128" i="1"/>
  <c r="E1128" i="1"/>
  <c r="L746" i="1"/>
  <c r="O746" i="1" s="1"/>
  <c r="H746" i="1"/>
  <c r="E746" i="1"/>
  <c r="L745" i="1"/>
  <c r="O745" i="1" s="1"/>
  <c r="H745" i="1"/>
  <c r="E745" i="1"/>
  <c r="L1127" i="1"/>
  <c r="O1127" i="1" s="1"/>
  <c r="H1127" i="1"/>
  <c r="E1127" i="1"/>
  <c r="L1126" i="1"/>
  <c r="O1126" i="1" s="1"/>
  <c r="H1126" i="1"/>
  <c r="E1126" i="1"/>
  <c r="L762" i="1"/>
  <c r="O762" i="1" s="1"/>
  <c r="H762" i="1"/>
  <c r="E762" i="1"/>
  <c r="L1125" i="1"/>
  <c r="O1125" i="1" s="1"/>
  <c r="H1125" i="1"/>
  <c r="E1125" i="1"/>
  <c r="L1124" i="1"/>
  <c r="O1124" i="1" s="1"/>
  <c r="H1124" i="1"/>
  <c r="E1124" i="1"/>
  <c r="L1123" i="1"/>
  <c r="O1123" i="1" s="1"/>
  <c r="H1123" i="1"/>
  <c r="E1123" i="1"/>
  <c r="L738" i="1"/>
  <c r="O738" i="1" s="1"/>
  <c r="H738" i="1"/>
  <c r="E738" i="1"/>
  <c r="L737" i="1"/>
  <c r="O737" i="1" s="1"/>
  <c r="H737" i="1"/>
  <c r="E737" i="1"/>
  <c r="L736" i="1"/>
  <c r="O736" i="1" s="1"/>
  <c r="H736" i="1"/>
  <c r="E736" i="1"/>
  <c r="L735" i="1"/>
  <c r="O735" i="1" s="1"/>
  <c r="H735" i="1"/>
  <c r="E735" i="1"/>
  <c r="L1122" i="1"/>
  <c r="O1122" i="1" s="1"/>
  <c r="H1122" i="1"/>
  <c r="E1122" i="1"/>
  <c r="L734" i="1"/>
  <c r="O734" i="1" s="1"/>
  <c r="H734" i="1"/>
  <c r="E734" i="1"/>
  <c r="L733" i="1"/>
  <c r="O733" i="1" s="1"/>
  <c r="H733" i="1"/>
  <c r="E733" i="1"/>
  <c r="L732" i="1"/>
  <c r="O732" i="1" s="1"/>
  <c r="H732" i="1"/>
  <c r="E732" i="1"/>
  <c r="L731" i="1"/>
  <c r="O731" i="1" s="1"/>
  <c r="H731" i="1"/>
  <c r="E731" i="1"/>
  <c r="L730" i="1"/>
  <c r="O730" i="1" s="1"/>
  <c r="H730" i="1"/>
  <c r="E730" i="1"/>
  <c r="L1121" i="1"/>
  <c r="O1121" i="1" s="1"/>
  <c r="H1121" i="1"/>
  <c r="E1121" i="1"/>
  <c r="L729" i="1"/>
  <c r="O729" i="1" s="1"/>
  <c r="H729" i="1"/>
  <c r="E729" i="1"/>
  <c r="L728" i="1"/>
  <c r="O728" i="1" s="1"/>
  <c r="H728" i="1"/>
  <c r="E728" i="1"/>
  <c r="L727" i="1"/>
  <c r="O727" i="1" s="1"/>
  <c r="H727" i="1"/>
  <c r="E727" i="1"/>
  <c r="L726" i="1"/>
  <c r="O726" i="1" s="1"/>
  <c r="H726" i="1"/>
  <c r="E726" i="1"/>
  <c r="L1120" i="1"/>
  <c r="O1120" i="1" s="1"/>
  <c r="H1120" i="1"/>
  <c r="E1120" i="1"/>
  <c r="L1119" i="1"/>
  <c r="O1119" i="1" s="1"/>
  <c r="H1119" i="1"/>
  <c r="E1119" i="1"/>
  <c r="L723" i="1"/>
  <c r="O723" i="1" s="1"/>
  <c r="H723" i="1"/>
  <c r="E723" i="1"/>
  <c r="L725" i="1"/>
  <c r="O725" i="1" s="1"/>
  <c r="H725" i="1"/>
  <c r="E725" i="1"/>
  <c r="L724" i="1"/>
  <c r="O724" i="1" s="1"/>
  <c r="H724" i="1"/>
  <c r="E724" i="1"/>
  <c r="L779" i="1"/>
  <c r="O779" i="1" s="1"/>
  <c r="H779" i="1"/>
  <c r="E779" i="1"/>
  <c r="L743" i="1"/>
  <c r="O743" i="1" s="1"/>
  <c r="H743" i="1"/>
  <c r="E743" i="1"/>
  <c r="L742" i="1"/>
  <c r="O742" i="1" s="1"/>
  <c r="H742" i="1"/>
  <c r="E742" i="1"/>
  <c r="L741" i="1"/>
  <c r="O741" i="1" s="1"/>
  <c r="H741" i="1"/>
  <c r="E741" i="1"/>
  <c r="L740" i="1"/>
  <c r="O740" i="1" s="1"/>
  <c r="H740" i="1"/>
  <c r="E740" i="1"/>
  <c r="L744" i="1"/>
  <c r="O744" i="1" s="1"/>
  <c r="H744" i="1"/>
  <c r="E744" i="1"/>
  <c r="L750" i="1"/>
  <c r="O750" i="1" s="1"/>
  <c r="H750" i="1"/>
  <c r="E750" i="1"/>
  <c r="L722" i="1"/>
  <c r="O722" i="1" s="1"/>
  <c r="H722" i="1"/>
  <c r="E722" i="1"/>
  <c r="L749" i="1"/>
  <c r="O749" i="1" s="1"/>
  <c r="H749" i="1"/>
  <c r="E749" i="1"/>
  <c r="L739" i="1"/>
  <c r="O739" i="1" s="1"/>
  <c r="H739" i="1"/>
  <c r="E739" i="1"/>
  <c r="L1118" i="1"/>
  <c r="O1118" i="1" s="1"/>
  <c r="G1118" i="1"/>
  <c r="E1118" i="1"/>
  <c r="L1117" i="1"/>
  <c r="O1117" i="1" s="1"/>
  <c r="G1117" i="1"/>
  <c r="E1117" i="1"/>
  <c r="L1116" i="1"/>
  <c r="O1116" i="1" s="1"/>
  <c r="G1116" i="1"/>
  <c r="E1116" i="1"/>
  <c r="L691" i="1"/>
  <c r="O691" i="1" s="1"/>
  <c r="G691" i="1"/>
  <c r="E691" i="1"/>
  <c r="L721" i="1"/>
  <c r="O721" i="1" s="1"/>
  <c r="G721" i="1"/>
  <c r="E721" i="1"/>
  <c r="L713" i="1"/>
  <c r="O713" i="1" s="1"/>
  <c r="G713" i="1"/>
  <c r="E713" i="1"/>
  <c r="L720" i="1"/>
  <c r="O720" i="1" s="1"/>
  <c r="G720" i="1"/>
  <c r="E720" i="1"/>
  <c r="L712" i="1"/>
  <c r="O712" i="1" s="1"/>
  <c r="G712" i="1"/>
  <c r="E712" i="1"/>
  <c r="L711" i="1"/>
  <c r="O711" i="1" s="1"/>
  <c r="G711" i="1"/>
  <c r="E711" i="1"/>
  <c r="L710" i="1"/>
  <c r="O710" i="1" s="1"/>
  <c r="G710" i="1"/>
  <c r="E710" i="1"/>
  <c r="L709" i="1"/>
  <c r="O709" i="1" s="1"/>
  <c r="G709" i="1"/>
  <c r="E709" i="1"/>
  <c r="L708" i="1"/>
  <c r="O708" i="1" s="1"/>
  <c r="G708" i="1"/>
  <c r="E708" i="1"/>
  <c r="L707" i="1"/>
  <c r="O707" i="1" s="1"/>
  <c r="G707" i="1"/>
  <c r="E707" i="1"/>
  <c r="L690" i="1"/>
  <c r="O690" i="1" s="1"/>
  <c r="G690" i="1"/>
  <c r="E690" i="1"/>
  <c r="L689" i="1"/>
  <c r="O689" i="1" s="1"/>
  <c r="G689" i="1"/>
  <c r="E689" i="1"/>
  <c r="L810" i="1"/>
  <c r="O810" i="1" s="1"/>
  <c r="H810" i="1"/>
  <c r="E810" i="1"/>
  <c r="L719" i="1"/>
  <c r="O719" i="1" s="1"/>
  <c r="G719" i="1"/>
  <c r="E719" i="1"/>
  <c r="L706" i="1"/>
  <c r="O706" i="1" s="1"/>
  <c r="G706" i="1"/>
  <c r="E706" i="1"/>
  <c r="L718" i="1"/>
  <c r="O718" i="1" s="1"/>
  <c r="G718" i="1"/>
  <c r="E718" i="1"/>
  <c r="L717" i="1"/>
  <c r="O717" i="1" s="1"/>
  <c r="G717" i="1"/>
  <c r="E717" i="1"/>
  <c r="L705" i="1"/>
  <c r="O705" i="1" s="1"/>
  <c r="G705" i="1"/>
  <c r="E705" i="1"/>
  <c r="L704" i="1"/>
  <c r="O704" i="1" s="1"/>
  <c r="G704" i="1"/>
  <c r="E704" i="1"/>
  <c r="L703" i="1"/>
  <c r="O703" i="1" s="1"/>
  <c r="G703" i="1"/>
  <c r="E703" i="1"/>
  <c r="L702" i="1"/>
  <c r="O702" i="1" s="1"/>
  <c r="G702" i="1"/>
  <c r="E702" i="1"/>
  <c r="L701" i="1"/>
  <c r="O701" i="1" s="1"/>
  <c r="G701" i="1"/>
  <c r="E701" i="1"/>
  <c r="L688" i="1"/>
  <c r="O688" i="1" s="1"/>
  <c r="G688" i="1"/>
  <c r="E688" i="1"/>
  <c r="L700" i="1"/>
  <c r="O700" i="1" s="1"/>
  <c r="G700" i="1"/>
  <c r="E700" i="1"/>
  <c r="L699" i="1"/>
  <c r="O699" i="1" s="1"/>
  <c r="G699" i="1"/>
  <c r="E699" i="1"/>
  <c r="L687" i="1"/>
  <c r="O687" i="1" s="1"/>
  <c r="G687" i="1"/>
  <c r="E687" i="1"/>
  <c r="L698" i="1"/>
  <c r="O698" i="1" s="1"/>
  <c r="G698" i="1"/>
  <c r="E698" i="1"/>
  <c r="L714" i="1"/>
  <c r="O714" i="1" s="1"/>
  <c r="H714" i="1"/>
  <c r="E714" i="1"/>
  <c r="L697" i="1"/>
  <c r="O697" i="1" s="1"/>
  <c r="G697" i="1"/>
  <c r="E697" i="1"/>
  <c r="L716" i="1"/>
  <c r="O716" i="1" s="1"/>
  <c r="G716" i="1"/>
  <c r="E716" i="1"/>
  <c r="L696" i="1"/>
  <c r="O696" i="1" s="1"/>
  <c r="G696" i="1"/>
  <c r="E696" i="1"/>
  <c r="L715" i="1"/>
  <c r="O715" i="1" s="1"/>
  <c r="G715" i="1"/>
  <c r="E715" i="1"/>
  <c r="L695" i="1"/>
  <c r="O695" i="1" s="1"/>
  <c r="G695" i="1"/>
  <c r="E695" i="1"/>
  <c r="L686" i="1"/>
  <c r="O686" i="1" s="1"/>
  <c r="G686" i="1"/>
  <c r="E686" i="1"/>
  <c r="L694" i="1"/>
  <c r="O694" i="1" s="1"/>
  <c r="G694" i="1"/>
  <c r="E694" i="1"/>
  <c r="L677" i="1"/>
  <c r="O677" i="1" s="1"/>
  <c r="G677" i="1"/>
  <c r="E677" i="1"/>
  <c r="L685" i="1"/>
  <c r="O685" i="1" s="1"/>
  <c r="G685" i="1"/>
  <c r="E685" i="1"/>
  <c r="L684" i="1"/>
  <c r="O684" i="1" s="1"/>
  <c r="G684" i="1"/>
  <c r="E684" i="1"/>
  <c r="L683" i="1"/>
  <c r="O683" i="1" s="1"/>
  <c r="G683" i="1"/>
  <c r="E683" i="1"/>
  <c r="L682" i="1"/>
  <c r="O682" i="1" s="1"/>
  <c r="G682" i="1"/>
  <c r="E682" i="1"/>
  <c r="L681" i="1"/>
  <c r="O681" i="1" s="1"/>
  <c r="G681" i="1"/>
  <c r="E681" i="1"/>
  <c r="L676" i="1"/>
  <c r="O676" i="1" s="1"/>
  <c r="G676" i="1"/>
  <c r="E676" i="1"/>
  <c r="L675" i="1"/>
  <c r="O675" i="1" s="1"/>
  <c r="G675" i="1"/>
  <c r="E675" i="1"/>
  <c r="L674" i="1"/>
  <c r="O674" i="1" s="1"/>
  <c r="G674" i="1"/>
  <c r="E674" i="1"/>
  <c r="L693" i="1"/>
  <c r="O693" i="1" s="1"/>
  <c r="G693" i="1"/>
  <c r="E693" i="1"/>
  <c r="L680" i="1"/>
  <c r="O680" i="1" s="1"/>
  <c r="G680" i="1"/>
  <c r="E680" i="1"/>
  <c r="L673" i="1"/>
  <c r="O673" i="1" s="1"/>
  <c r="G673" i="1"/>
  <c r="E673" i="1"/>
  <c r="L692" i="1"/>
  <c r="O692" i="1" s="1"/>
  <c r="G692" i="1"/>
  <c r="E692" i="1"/>
  <c r="L671" i="1"/>
  <c r="O671" i="1" s="1"/>
  <c r="G671" i="1"/>
  <c r="E671" i="1"/>
  <c r="L679" i="1"/>
  <c r="O679" i="1" s="1"/>
  <c r="G679" i="1"/>
  <c r="E679" i="1"/>
  <c r="L672" i="1"/>
  <c r="O672" i="1" s="1"/>
  <c r="G672" i="1"/>
  <c r="E672" i="1"/>
  <c r="L670" i="1"/>
  <c r="O670" i="1" s="1"/>
  <c r="G670" i="1"/>
  <c r="E670" i="1"/>
  <c r="L669" i="1"/>
  <c r="O669" i="1" s="1"/>
  <c r="G669" i="1"/>
  <c r="E669" i="1"/>
  <c r="L668" i="1"/>
  <c r="O668" i="1" s="1"/>
  <c r="G668" i="1"/>
  <c r="E668" i="1"/>
  <c r="L649" i="1"/>
  <c r="O649" i="1" s="1"/>
  <c r="G649" i="1"/>
  <c r="E649" i="1"/>
  <c r="L667" i="1"/>
  <c r="O667" i="1" s="1"/>
  <c r="G667" i="1"/>
  <c r="E667" i="1"/>
  <c r="L648" i="1"/>
  <c r="O648" i="1" s="1"/>
  <c r="G648" i="1"/>
  <c r="E648" i="1"/>
  <c r="L647" i="1"/>
  <c r="O647" i="1" s="1"/>
  <c r="G647" i="1"/>
  <c r="E647" i="1"/>
  <c r="L646" i="1"/>
  <c r="O646" i="1" s="1"/>
  <c r="G646" i="1"/>
  <c r="E646" i="1"/>
  <c r="L678" i="1"/>
  <c r="O678" i="1" s="1"/>
  <c r="G678" i="1"/>
  <c r="E678" i="1"/>
  <c r="L645" i="1"/>
  <c r="O645" i="1" s="1"/>
  <c r="G645" i="1"/>
  <c r="E645" i="1"/>
  <c r="L655" i="1"/>
  <c r="O655" i="1" s="1"/>
  <c r="G655" i="1"/>
  <c r="E655" i="1"/>
  <c r="L654" i="1"/>
  <c r="O654" i="1" s="1"/>
  <c r="G654" i="1"/>
  <c r="E654" i="1"/>
  <c r="L666" i="1"/>
  <c r="O666" i="1" s="1"/>
  <c r="G666" i="1"/>
  <c r="E666" i="1"/>
  <c r="L665" i="1"/>
  <c r="O665" i="1" s="1"/>
  <c r="G665" i="1"/>
  <c r="E665" i="1"/>
  <c r="L664" i="1"/>
  <c r="O664" i="1" s="1"/>
  <c r="G664" i="1"/>
  <c r="E664" i="1"/>
  <c r="L663" i="1"/>
  <c r="O663" i="1" s="1"/>
  <c r="G663" i="1"/>
  <c r="E663" i="1"/>
  <c r="L662" i="1"/>
  <c r="O662" i="1" s="1"/>
  <c r="G662" i="1"/>
  <c r="E662" i="1"/>
  <c r="L653" i="1"/>
  <c r="O653" i="1" s="1"/>
  <c r="G653" i="1"/>
  <c r="E653" i="1"/>
  <c r="L652" i="1"/>
  <c r="O652" i="1" s="1"/>
  <c r="G652" i="1"/>
  <c r="E652" i="1"/>
  <c r="L651" i="1"/>
  <c r="O651" i="1" s="1"/>
  <c r="G651" i="1"/>
  <c r="E651" i="1"/>
  <c r="L661" i="1"/>
  <c r="O661" i="1" s="1"/>
  <c r="G661" i="1"/>
  <c r="E661" i="1"/>
  <c r="L660" i="1"/>
  <c r="O660" i="1" s="1"/>
  <c r="G660" i="1"/>
  <c r="E660" i="1"/>
  <c r="L650" i="1"/>
  <c r="O650" i="1" s="1"/>
  <c r="G650" i="1"/>
  <c r="E650" i="1"/>
  <c r="L659" i="1"/>
  <c r="O659" i="1" s="1"/>
  <c r="G659" i="1"/>
  <c r="E659" i="1"/>
  <c r="L658" i="1"/>
  <c r="O658" i="1" s="1"/>
  <c r="G658" i="1"/>
  <c r="E658" i="1"/>
  <c r="L657" i="1"/>
  <c r="O657" i="1" s="1"/>
  <c r="G657" i="1"/>
  <c r="E657" i="1"/>
  <c r="L656" i="1"/>
  <c r="O656" i="1" s="1"/>
  <c r="G656" i="1"/>
  <c r="E656" i="1"/>
  <c r="L1115" i="1"/>
  <c r="O1115" i="1" s="1"/>
  <c r="G1115" i="1"/>
  <c r="E1115" i="1"/>
  <c r="L1114" i="1"/>
  <c r="O1114" i="1" s="1"/>
  <c r="G1114" i="1"/>
  <c r="E1114" i="1"/>
  <c r="L1113" i="1"/>
  <c r="O1113" i="1" s="1"/>
  <c r="G1113" i="1"/>
  <c r="E1113" i="1"/>
  <c r="L644" i="1"/>
  <c r="O644" i="1" s="1"/>
  <c r="G644" i="1"/>
  <c r="E644" i="1"/>
  <c r="L643" i="1"/>
  <c r="O643" i="1" s="1"/>
  <c r="G643" i="1"/>
  <c r="E643" i="1"/>
  <c r="L642" i="1"/>
  <c r="O642" i="1" s="1"/>
  <c r="G642" i="1"/>
  <c r="E642" i="1"/>
  <c r="L641" i="1"/>
  <c r="O641" i="1" s="1"/>
  <c r="G641" i="1"/>
  <c r="E641" i="1"/>
  <c r="L640" i="1"/>
  <c r="O640" i="1" s="1"/>
  <c r="G640" i="1"/>
  <c r="E640" i="1"/>
  <c r="L639" i="1"/>
  <c r="O639" i="1" s="1"/>
  <c r="G639" i="1"/>
  <c r="E639" i="1"/>
  <c r="L638" i="1"/>
  <c r="O638" i="1" s="1"/>
  <c r="G638" i="1"/>
  <c r="E638" i="1"/>
  <c r="L637" i="1"/>
  <c r="O637" i="1" s="1"/>
  <c r="G637" i="1"/>
  <c r="E637" i="1"/>
  <c r="L636" i="1"/>
  <c r="O636" i="1" s="1"/>
  <c r="G636" i="1"/>
  <c r="E636" i="1"/>
  <c r="L635" i="1"/>
  <c r="O635" i="1" s="1"/>
  <c r="G635" i="1"/>
  <c r="E635" i="1"/>
  <c r="L632" i="1"/>
  <c r="O632" i="1" s="1"/>
  <c r="G632" i="1"/>
  <c r="E632" i="1"/>
  <c r="L631" i="1"/>
  <c r="O631" i="1" s="1"/>
  <c r="G631" i="1"/>
  <c r="E631" i="1"/>
  <c r="L617" i="1"/>
  <c r="O617" i="1" s="1"/>
  <c r="G617" i="1"/>
  <c r="E617" i="1"/>
  <c r="L616" i="1"/>
  <c r="O616" i="1" s="1"/>
  <c r="G616" i="1"/>
  <c r="E616" i="1"/>
  <c r="L615" i="1"/>
  <c r="O615" i="1" s="1"/>
  <c r="G615" i="1"/>
  <c r="E615" i="1"/>
  <c r="L614" i="1"/>
  <c r="O614" i="1" s="1"/>
  <c r="G614" i="1"/>
  <c r="E614" i="1"/>
  <c r="L613" i="1"/>
  <c r="O613" i="1" s="1"/>
  <c r="G613" i="1"/>
  <c r="E613" i="1"/>
  <c r="L612" i="1"/>
  <c r="O612" i="1" s="1"/>
  <c r="G612" i="1"/>
  <c r="E612" i="1"/>
  <c r="L630" i="1"/>
  <c r="O630" i="1" s="1"/>
  <c r="G630" i="1"/>
  <c r="E630" i="1"/>
  <c r="L602" i="1"/>
  <c r="O602" i="1" s="1"/>
  <c r="H602" i="1"/>
  <c r="E602" i="1"/>
  <c r="L611" i="1"/>
  <c r="O611" i="1" s="1"/>
  <c r="G611" i="1"/>
  <c r="E611" i="1"/>
  <c r="L610" i="1"/>
  <c r="O610" i="1" s="1"/>
  <c r="G610" i="1"/>
  <c r="E610" i="1"/>
  <c r="L629" i="1"/>
  <c r="O629" i="1" s="1"/>
  <c r="G629" i="1"/>
  <c r="E629" i="1"/>
  <c r="L624" i="1"/>
  <c r="O624" i="1" s="1"/>
  <c r="G624" i="1"/>
  <c r="E624" i="1"/>
  <c r="L623" i="1"/>
  <c r="O623" i="1" s="1"/>
  <c r="G623" i="1"/>
  <c r="E623" i="1"/>
  <c r="L628" i="1"/>
  <c r="O628" i="1" s="1"/>
  <c r="G628" i="1"/>
  <c r="E628" i="1"/>
  <c r="L627" i="1"/>
  <c r="O627" i="1" s="1"/>
  <c r="G627" i="1"/>
  <c r="E627" i="1"/>
  <c r="L609" i="1"/>
  <c r="O609" i="1" s="1"/>
  <c r="G609" i="1"/>
  <c r="E609" i="1"/>
  <c r="L622" i="1"/>
  <c r="O622" i="1" s="1"/>
  <c r="G622" i="1"/>
  <c r="E622" i="1"/>
  <c r="L608" i="1"/>
  <c r="O608" i="1" s="1"/>
  <c r="G608" i="1"/>
  <c r="E608" i="1"/>
  <c r="L626" i="1"/>
  <c r="O626" i="1" s="1"/>
  <c r="G626" i="1"/>
  <c r="E626" i="1"/>
  <c r="L621" i="1"/>
  <c r="O621" i="1" s="1"/>
  <c r="G621" i="1"/>
  <c r="E621" i="1"/>
  <c r="L620" i="1"/>
  <c r="O620" i="1" s="1"/>
  <c r="G620" i="1"/>
  <c r="E620" i="1"/>
  <c r="L619" i="1"/>
  <c r="O619" i="1" s="1"/>
  <c r="G619" i="1"/>
  <c r="E619" i="1"/>
  <c r="L603" i="1"/>
  <c r="O603" i="1" s="1"/>
  <c r="G603" i="1"/>
  <c r="E603" i="1"/>
  <c r="L634" i="1"/>
  <c r="O634" i="1" s="1"/>
  <c r="G634" i="1"/>
  <c r="E634" i="1"/>
  <c r="L607" i="1"/>
  <c r="O607" i="1" s="1"/>
  <c r="G607" i="1"/>
  <c r="E607" i="1"/>
  <c r="L618" i="1"/>
  <c r="O618" i="1" s="1"/>
  <c r="G618" i="1"/>
  <c r="E618" i="1"/>
  <c r="L633" i="1"/>
  <c r="O633" i="1" s="1"/>
  <c r="G633" i="1"/>
  <c r="E633" i="1"/>
  <c r="L606" i="1"/>
  <c r="O606" i="1" s="1"/>
  <c r="G606" i="1"/>
  <c r="E606" i="1"/>
  <c r="L625" i="1"/>
  <c r="O625" i="1" s="1"/>
  <c r="G625" i="1"/>
  <c r="E625" i="1"/>
  <c r="L605" i="1"/>
  <c r="O605" i="1" s="1"/>
  <c r="G605" i="1"/>
  <c r="E605" i="1"/>
  <c r="L604" i="1"/>
  <c r="O604" i="1" s="1"/>
  <c r="G604" i="1"/>
  <c r="E604" i="1"/>
  <c r="L601" i="1"/>
  <c r="O601" i="1" s="1"/>
  <c r="G601" i="1"/>
  <c r="E601" i="1"/>
  <c r="L600" i="1"/>
  <c r="O600" i="1" s="1"/>
  <c r="G600" i="1"/>
  <c r="E600" i="1"/>
  <c r="L599" i="1"/>
  <c r="O599" i="1" s="1"/>
  <c r="G599" i="1"/>
  <c r="E599" i="1"/>
  <c r="L598" i="1"/>
  <c r="O598" i="1" s="1"/>
  <c r="G598" i="1"/>
  <c r="E598" i="1"/>
  <c r="L597" i="1"/>
  <c r="O597" i="1" s="1"/>
  <c r="G597" i="1"/>
  <c r="E597" i="1"/>
  <c r="L596" i="1"/>
  <c r="O596" i="1" s="1"/>
  <c r="G596" i="1"/>
  <c r="E596" i="1"/>
  <c r="L595" i="1"/>
  <c r="O595" i="1" s="1"/>
  <c r="G595" i="1"/>
  <c r="E595" i="1"/>
  <c r="L594" i="1"/>
  <c r="O594" i="1" s="1"/>
  <c r="G594" i="1"/>
  <c r="E594" i="1"/>
  <c r="L593" i="1"/>
  <c r="O593" i="1" s="1"/>
  <c r="G593" i="1"/>
  <c r="E593" i="1"/>
  <c r="L592" i="1"/>
  <c r="O592" i="1" s="1"/>
  <c r="G592" i="1"/>
  <c r="E592" i="1"/>
  <c r="L591" i="1"/>
  <c r="O591" i="1" s="1"/>
  <c r="G591" i="1"/>
  <c r="E591" i="1"/>
  <c r="L590" i="1"/>
  <c r="O590" i="1" s="1"/>
  <c r="G590" i="1"/>
  <c r="E590" i="1"/>
  <c r="L589" i="1"/>
  <c r="O589" i="1" s="1"/>
  <c r="G589" i="1"/>
  <c r="E589" i="1"/>
  <c r="L588" i="1"/>
  <c r="O588" i="1" s="1"/>
  <c r="G588" i="1"/>
  <c r="E588" i="1"/>
  <c r="L587" i="1"/>
  <c r="O587" i="1" s="1"/>
  <c r="G587" i="1"/>
  <c r="E587" i="1"/>
  <c r="L586" i="1"/>
  <c r="O586" i="1" s="1"/>
  <c r="G586" i="1"/>
  <c r="E586" i="1"/>
  <c r="L585" i="1"/>
  <c r="O585" i="1" s="1"/>
  <c r="G585" i="1"/>
  <c r="E585" i="1"/>
  <c r="L584" i="1"/>
  <c r="O584" i="1" s="1"/>
  <c r="G584" i="1"/>
  <c r="E584" i="1"/>
  <c r="L583" i="1"/>
  <c r="O583" i="1" s="1"/>
  <c r="G583" i="1"/>
  <c r="E583" i="1"/>
  <c r="L582" i="1"/>
  <c r="O582" i="1" s="1"/>
  <c r="G582" i="1"/>
  <c r="E582" i="1"/>
  <c r="L581" i="1"/>
  <c r="O581" i="1" s="1"/>
  <c r="G581" i="1"/>
  <c r="E581" i="1"/>
  <c r="L580" i="1"/>
  <c r="O580" i="1" s="1"/>
  <c r="G580" i="1"/>
  <c r="E580" i="1"/>
  <c r="L579" i="1"/>
  <c r="O579" i="1" s="1"/>
  <c r="G579" i="1"/>
  <c r="E579" i="1"/>
  <c r="L578" i="1"/>
  <c r="O578" i="1" s="1"/>
  <c r="G578" i="1"/>
  <c r="E578" i="1"/>
  <c r="L577" i="1"/>
  <c r="O577" i="1" s="1"/>
  <c r="G577" i="1"/>
  <c r="E577" i="1"/>
  <c r="L576" i="1"/>
  <c r="O576" i="1" s="1"/>
  <c r="G576" i="1"/>
  <c r="E576" i="1"/>
  <c r="L575" i="1"/>
  <c r="O575" i="1" s="1"/>
  <c r="G575" i="1"/>
  <c r="E575" i="1"/>
  <c r="L574" i="1"/>
  <c r="O574" i="1" s="1"/>
  <c r="G574" i="1"/>
  <c r="E574" i="1"/>
  <c r="L573" i="1"/>
  <c r="O573" i="1" s="1"/>
  <c r="G573" i="1"/>
  <c r="E573" i="1"/>
  <c r="L572" i="1"/>
  <c r="O572" i="1" s="1"/>
  <c r="G572" i="1"/>
  <c r="E572" i="1"/>
  <c r="L571" i="1"/>
  <c r="O571" i="1" s="1"/>
  <c r="G571" i="1"/>
  <c r="E571" i="1"/>
  <c r="L570" i="1"/>
  <c r="O570" i="1" s="1"/>
  <c r="G570" i="1"/>
  <c r="E570" i="1"/>
  <c r="L1154" i="1"/>
  <c r="O1154" i="1" s="1"/>
  <c r="H1154" i="1"/>
  <c r="E1154" i="1"/>
  <c r="L1112" i="1"/>
  <c r="O1112" i="1" s="1"/>
  <c r="G1112" i="1"/>
  <c r="E1112" i="1"/>
  <c r="L1111" i="1"/>
  <c r="O1111" i="1" s="1"/>
  <c r="G1111" i="1"/>
  <c r="E1111" i="1"/>
  <c r="L1110" i="1"/>
  <c r="O1110" i="1" s="1"/>
  <c r="G1110" i="1"/>
  <c r="E1110" i="1"/>
  <c r="L1109" i="1"/>
  <c r="O1109" i="1" s="1"/>
  <c r="G1109" i="1"/>
  <c r="E1109" i="1"/>
  <c r="L1108" i="1"/>
  <c r="O1108" i="1" s="1"/>
  <c r="G1108" i="1"/>
  <c r="E1108" i="1"/>
  <c r="L1107" i="1"/>
  <c r="O1107" i="1" s="1"/>
  <c r="G1107" i="1"/>
  <c r="E1107" i="1"/>
  <c r="L1106" i="1"/>
  <c r="O1106" i="1" s="1"/>
  <c r="G1106" i="1"/>
  <c r="E1106" i="1"/>
  <c r="L1105" i="1"/>
  <c r="O1105" i="1" s="1"/>
  <c r="G1105" i="1"/>
  <c r="E1105" i="1"/>
  <c r="L1104" i="1"/>
  <c r="O1104" i="1" s="1"/>
  <c r="G1104" i="1"/>
  <c r="E1104" i="1"/>
  <c r="L1103" i="1"/>
  <c r="O1103" i="1" s="1"/>
  <c r="G1103" i="1"/>
  <c r="E1103" i="1"/>
  <c r="L1102" i="1"/>
  <c r="O1102" i="1" s="1"/>
  <c r="G1102" i="1"/>
  <c r="E1102" i="1"/>
  <c r="L1101" i="1"/>
  <c r="O1101" i="1" s="1"/>
  <c r="G1101" i="1"/>
  <c r="E1101" i="1"/>
  <c r="L1100" i="1"/>
  <c r="O1100" i="1" s="1"/>
  <c r="G1100" i="1"/>
  <c r="E1100" i="1"/>
  <c r="L1099" i="1"/>
  <c r="O1099" i="1" s="1"/>
  <c r="G1099" i="1"/>
  <c r="E1099" i="1"/>
  <c r="L1098" i="1"/>
  <c r="O1098" i="1" s="1"/>
  <c r="G1098" i="1"/>
  <c r="E1098" i="1"/>
  <c r="L1097" i="1"/>
  <c r="O1097" i="1" s="1"/>
  <c r="G1097" i="1"/>
  <c r="E1097" i="1"/>
  <c r="L1096" i="1"/>
  <c r="O1096" i="1" s="1"/>
  <c r="G1096" i="1"/>
  <c r="E1096" i="1"/>
  <c r="L1095" i="1"/>
  <c r="O1095" i="1" s="1"/>
  <c r="G1095" i="1"/>
  <c r="E1095" i="1"/>
  <c r="L1094" i="1"/>
  <c r="O1094" i="1" s="1"/>
  <c r="G1094" i="1"/>
  <c r="E1094" i="1"/>
  <c r="L1093" i="1"/>
  <c r="O1093" i="1" s="1"/>
  <c r="G1093" i="1"/>
  <c r="E1093" i="1"/>
  <c r="L1092" i="1"/>
  <c r="O1092" i="1" s="1"/>
  <c r="G1092" i="1"/>
  <c r="E1092" i="1"/>
  <c r="L1091" i="1"/>
  <c r="O1091" i="1" s="1"/>
  <c r="G1091" i="1"/>
  <c r="E1091" i="1"/>
  <c r="L1090" i="1"/>
  <c r="O1090" i="1" s="1"/>
  <c r="G1090" i="1"/>
  <c r="E1090" i="1"/>
  <c r="L1089" i="1"/>
  <c r="O1089" i="1" s="1"/>
  <c r="G1089" i="1"/>
  <c r="E1089" i="1"/>
  <c r="L1088" i="1"/>
  <c r="O1088" i="1" s="1"/>
  <c r="G1088" i="1"/>
  <c r="E1088" i="1"/>
  <c r="L1087" i="1"/>
  <c r="O1087" i="1" s="1"/>
  <c r="G1087" i="1"/>
  <c r="E1087" i="1"/>
  <c r="L565" i="1"/>
  <c r="O565" i="1" s="1"/>
  <c r="G565" i="1"/>
  <c r="E565" i="1"/>
  <c r="L564" i="1"/>
  <c r="O564" i="1" s="1"/>
  <c r="G564" i="1"/>
  <c r="E564" i="1"/>
  <c r="L563" i="1"/>
  <c r="O563" i="1" s="1"/>
  <c r="G563" i="1"/>
  <c r="E563" i="1"/>
  <c r="L562" i="1"/>
  <c r="O562" i="1" s="1"/>
  <c r="G562" i="1"/>
  <c r="E562" i="1"/>
  <c r="L1086" i="1"/>
  <c r="O1086" i="1" s="1"/>
  <c r="G1086" i="1"/>
  <c r="E1086" i="1"/>
  <c r="L561" i="1"/>
  <c r="O561" i="1" s="1"/>
  <c r="G561" i="1"/>
  <c r="E561" i="1"/>
  <c r="L560" i="1"/>
  <c r="O560" i="1" s="1"/>
  <c r="G560" i="1"/>
  <c r="E560" i="1"/>
  <c r="L1085" i="1"/>
  <c r="O1085" i="1" s="1"/>
  <c r="G1085" i="1"/>
  <c r="E1085" i="1"/>
  <c r="L559" i="1"/>
  <c r="O559" i="1" s="1"/>
  <c r="G559" i="1"/>
  <c r="E559" i="1"/>
  <c r="L558" i="1"/>
  <c r="O558" i="1" s="1"/>
  <c r="G558" i="1"/>
  <c r="E558" i="1"/>
  <c r="L557" i="1"/>
  <c r="O557" i="1" s="1"/>
  <c r="G557" i="1"/>
  <c r="E557" i="1"/>
  <c r="L556" i="1"/>
  <c r="O556" i="1" s="1"/>
  <c r="G556" i="1"/>
  <c r="E556" i="1"/>
  <c r="L1084" i="1"/>
  <c r="O1084" i="1" s="1"/>
  <c r="G1084" i="1"/>
  <c r="E1084" i="1"/>
  <c r="L1083" i="1"/>
  <c r="O1083" i="1" s="1"/>
  <c r="G1083" i="1"/>
  <c r="E1083" i="1"/>
  <c r="L1082" i="1"/>
  <c r="O1082" i="1" s="1"/>
  <c r="G1082" i="1"/>
  <c r="E1082" i="1"/>
  <c r="L1081" i="1"/>
  <c r="O1081" i="1" s="1"/>
  <c r="G1081" i="1"/>
  <c r="E1081" i="1"/>
  <c r="L1080" i="1"/>
  <c r="O1080" i="1" s="1"/>
  <c r="G1080" i="1"/>
  <c r="E1080" i="1"/>
  <c r="L1079" i="1"/>
  <c r="O1079" i="1" s="1"/>
  <c r="G1079" i="1"/>
  <c r="E1079" i="1"/>
  <c r="L569" i="1"/>
  <c r="O569" i="1" s="1"/>
  <c r="G569" i="1"/>
  <c r="E569" i="1"/>
  <c r="L568" i="1"/>
  <c r="O568" i="1" s="1"/>
  <c r="G568" i="1"/>
  <c r="E568" i="1"/>
  <c r="L567" i="1"/>
  <c r="O567" i="1" s="1"/>
  <c r="G567" i="1"/>
  <c r="E567" i="1"/>
  <c r="L566" i="1"/>
  <c r="O566" i="1" s="1"/>
  <c r="G566" i="1"/>
  <c r="E566" i="1"/>
  <c r="L555" i="1"/>
  <c r="O555" i="1" s="1"/>
  <c r="G555" i="1"/>
  <c r="E555" i="1"/>
  <c r="L554" i="1"/>
  <c r="O554" i="1" s="1"/>
  <c r="G554" i="1"/>
  <c r="E554" i="1"/>
  <c r="L553" i="1"/>
  <c r="O553" i="1" s="1"/>
  <c r="G553" i="1"/>
  <c r="E553" i="1"/>
  <c r="L552" i="1"/>
  <c r="O552" i="1" s="1"/>
  <c r="G552" i="1"/>
  <c r="E552" i="1"/>
  <c r="L551" i="1"/>
  <c r="O551" i="1" s="1"/>
  <c r="G551" i="1"/>
  <c r="E551" i="1"/>
  <c r="L550" i="1"/>
  <c r="O550" i="1" s="1"/>
  <c r="G550" i="1"/>
  <c r="E550" i="1"/>
  <c r="L549" i="1"/>
  <c r="O549" i="1" s="1"/>
  <c r="G549" i="1"/>
  <c r="E549" i="1"/>
  <c r="L548" i="1"/>
  <c r="O548" i="1" s="1"/>
  <c r="G548" i="1"/>
  <c r="E548" i="1"/>
  <c r="L547" i="1"/>
  <c r="O547" i="1" s="1"/>
  <c r="G547" i="1"/>
  <c r="E547" i="1"/>
  <c r="L546" i="1"/>
  <c r="O546" i="1" s="1"/>
  <c r="G546" i="1"/>
  <c r="E546" i="1"/>
  <c r="L545" i="1"/>
  <c r="O545" i="1" s="1"/>
  <c r="G545" i="1"/>
  <c r="E545" i="1"/>
  <c r="L544" i="1"/>
  <c r="O544" i="1" s="1"/>
  <c r="G544" i="1"/>
  <c r="E544" i="1"/>
  <c r="L1078" i="1"/>
  <c r="O1078" i="1" s="1"/>
  <c r="G1078" i="1"/>
  <c r="E1078" i="1"/>
  <c r="L1077" i="1"/>
  <c r="O1077" i="1" s="1"/>
  <c r="G1077" i="1"/>
  <c r="E1077" i="1"/>
  <c r="L1076" i="1"/>
  <c r="O1076" i="1" s="1"/>
  <c r="G1076" i="1"/>
  <c r="E1076" i="1"/>
  <c r="L1075" i="1"/>
  <c r="O1075" i="1" s="1"/>
  <c r="G1075" i="1"/>
  <c r="E1075" i="1"/>
  <c r="L1074" i="1"/>
  <c r="O1074" i="1" s="1"/>
  <c r="G1074" i="1"/>
  <c r="E1074" i="1"/>
  <c r="L1073" i="1"/>
  <c r="O1073" i="1" s="1"/>
  <c r="G1073" i="1"/>
  <c r="E1073" i="1"/>
  <c r="L1072" i="1"/>
  <c r="O1072" i="1" s="1"/>
  <c r="G1072" i="1"/>
  <c r="E1072" i="1"/>
  <c r="L1071" i="1"/>
  <c r="O1071" i="1" s="1"/>
  <c r="G1071" i="1"/>
  <c r="E1071" i="1"/>
  <c r="L1070" i="1"/>
  <c r="O1070" i="1" s="1"/>
  <c r="G1070" i="1"/>
  <c r="E1070" i="1"/>
  <c r="L1069" i="1"/>
  <c r="O1069" i="1" s="1"/>
  <c r="G1069" i="1"/>
  <c r="E1069" i="1"/>
  <c r="L1068" i="1"/>
  <c r="O1068" i="1" s="1"/>
  <c r="G1068" i="1"/>
  <c r="E1068" i="1"/>
  <c r="L1067" i="1"/>
  <c r="O1067" i="1" s="1"/>
  <c r="G1067" i="1"/>
  <c r="E1067" i="1"/>
  <c r="L1066" i="1"/>
  <c r="O1066" i="1" s="1"/>
  <c r="G1066" i="1"/>
  <c r="E1066" i="1"/>
  <c r="L1065" i="1"/>
  <c r="O1065" i="1" s="1"/>
  <c r="G1065" i="1"/>
  <c r="E1065" i="1"/>
  <c r="L1064" i="1"/>
  <c r="O1064" i="1" s="1"/>
  <c r="G1064" i="1"/>
  <c r="E1064" i="1"/>
  <c r="L1063" i="1"/>
  <c r="O1063" i="1" s="1"/>
  <c r="G1063" i="1"/>
  <c r="E1063" i="1"/>
  <c r="L1062" i="1"/>
  <c r="O1062" i="1" s="1"/>
  <c r="G1062" i="1"/>
  <c r="E1062" i="1"/>
  <c r="L1061" i="1"/>
  <c r="O1061" i="1" s="1"/>
  <c r="G1061" i="1"/>
  <c r="E1061" i="1"/>
  <c r="L1060" i="1"/>
  <c r="O1060" i="1" s="1"/>
  <c r="G1060" i="1"/>
  <c r="E1060" i="1"/>
  <c r="L525" i="1"/>
  <c r="O525" i="1" s="1"/>
  <c r="G525" i="1"/>
  <c r="E525" i="1"/>
  <c r="L524" i="1"/>
  <c r="O524" i="1" s="1"/>
  <c r="G524" i="1"/>
  <c r="E524" i="1"/>
  <c r="L543" i="1"/>
  <c r="O543" i="1" s="1"/>
  <c r="G543" i="1"/>
  <c r="E543" i="1"/>
  <c r="L542" i="1"/>
  <c r="O542" i="1" s="1"/>
  <c r="G542" i="1"/>
  <c r="E542" i="1"/>
  <c r="L541" i="1"/>
  <c r="O541" i="1" s="1"/>
  <c r="G541" i="1"/>
  <c r="E541" i="1"/>
  <c r="L540" i="1"/>
  <c r="O540" i="1" s="1"/>
  <c r="G540" i="1"/>
  <c r="E540" i="1"/>
  <c r="L523" i="1"/>
  <c r="O523" i="1" s="1"/>
  <c r="G523" i="1"/>
  <c r="E523" i="1"/>
  <c r="L539" i="1"/>
  <c r="O539" i="1" s="1"/>
  <c r="G539" i="1"/>
  <c r="E539" i="1"/>
  <c r="L522" i="1"/>
  <c r="O522" i="1" s="1"/>
  <c r="G522" i="1"/>
  <c r="E522" i="1"/>
  <c r="L521" i="1"/>
  <c r="O521" i="1" s="1"/>
  <c r="G521" i="1"/>
  <c r="E521" i="1"/>
  <c r="L538" i="1"/>
  <c r="O538" i="1" s="1"/>
  <c r="G538" i="1"/>
  <c r="E538" i="1"/>
  <c r="L537" i="1"/>
  <c r="O537" i="1" s="1"/>
  <c r="G537" i="1"/>
  <c r="E537" i="1"/>
  <c r="L536" i="1"/>
  <c r="O536" i="1" s="1"/>
  <c r="G536" i="1"/>
  <c r="E536" i="1"/>
  <c r="L535" i="1"/>
  <c r="O535" i="1" s="1"/>
  <c r="G535" i="1"/>
  <c r="E535" i="1"/>
  <c r="L534" i="1"/>
  <c r="O534" i="1" s="1"/>
  <c r="G534" i="1"/>
  <c r="E534" i="1"/>
  <c r="L533" i="1"/>
  <c r="O533" i="1" s="1"/>
  <c r="G533" i="1"/>
  <c r="E533" i="1"/>
  <c r="L532" i="1"/>
  <c r="O532" i="1" s="1"/>
  <c r="G532" i="1"/>
  <c r="E532" i="1"/>
  <c r="L531" i="1"/>
  <c r="O531" i="1" s="1"/>
  <c r="G531" i="1"/>
  <c r="E531" i="1"/>
  <c r="L520" i="1"/>
  <c r="O520" i="1" s="1"/>
  <c r="G520" i="1"/>
  <c r="E520" i="1"/>
  <c r="L519" i="1"/>
  <c r="O519" i="1" s="1"/>
  <c r="G519" i="1"/>
  <c r="E519" i="1"/>
  <c r="L518" i="1"/>
  <c r="O518" i="1" s="1"/>
  <c r="G518" i="1"/>
  <c r="E518" i="1"/>
  <c r="L530" i="1"/>
  <c r="O530" i="1" s="1"/>
  <c r="G530" i="1"/>
  <c r="E530" i="1"/>
  <c r="L529" i="1"/>
  <c r="O529" i="1" s="1"/>
  <c r="G529" i="1"/>
  <c r="E529" i="1"/>
  <c r="L528" i="1"/>
  <c r="O528" i="1" s="1"/>
  <c r="G528" i="1"/>
  <c r="E528" i="1"/>
  <c r="L517" i="1"/>
  <c r="O517" i="1" s="1"/>
  <c r="G517" i="1"/>
  <c r="E517" i="1"/>
  <c r="L516" i="1"/>
  <c r="O516" i="1" s="1"/>
  <c r="G516" i="1"/>
  <c r="E516" i="1"/>
  <c r="L515" i="1"/>
  <c r="O515" i="1" s="1"/>
  <c r="G515" i="1"/>
  <c r="E515" i="1"/>
  <c r="L514" i="1"/>
  <c r="O514" i="1" s="1"/>
  <c r="G514" i="1"/>
  <c r="E514" i="1"/>
  <c r="L513" i="1"/>
  <c r="O513" i="1" s="1"/>
  <c r="G513" i="1"/>
  <c r="E513" i="1"/>
  <c r="L512" i="1"/>
  <c r="O512" i="1" s="1"/>
  <c r="G512" i="1"/>
  <c r="E512" i="1"/>
  <c r="L511" i="1"/>
  <c r="O511" i="1" s="1"/>
  <c r="G511" i="1"/>
  <c r="E511" i="1"/>
  <c r="L510" i="1"/>
  <c r="O510" i="1" s="1"/>
  <c r="G510" i="1"/>
  <c r="E510" i="1"/>
  <c r="L509" i="1"/>
  <c r="O509" i="1" s="1"/>
  <c r="G509" i="1"/>
  <c r="E509" i="1"/>
  <c r="L508" i="1"/>
  <c r="O508" i="1" s="1"/>
  <c r="G508" i="1"/>
  <c r="E508" i="1"/>
  <c r="L527" i="1"/>
  <c r="O527" i="1" s="1"/>
  <c r="G527" i="1"/>
  <c r="E527" i="1"/>
  <c r="L495" i="1"/>
  <c r="O495" i="1" s="1"/>
  <c r="G495" i="1"/>
  <c r="E495" i="1"/>
  <c r="L496" i="1"/>
  <c r="O496" i="1" s="1"/>
  <c r="G496" i="1"/>
  <c r="E496" i="1"/>
  <c r="L1198" i="1"/>
  <c r="O1198" i="1" s="1"/>
  <c r="H1198" i="1"/>
  <c r="E1198" i="1"/>
  <c r="L1059" i="1"/>
  <c r="O1059" i="1" s="1"/>
  <c r="G1059" i="1"/>
  <c r="E1059" i="1"/>
  <c r="L1058" i="1"/>
  <c r="O1058" i="1" s="1"/>
  <c r="G1058" i="1"/>
  <c r="E1058" i="1"/>
  <c r="L1057" i="1"/>
  <c r="O1057" i="1" s="1"/>
  <c r="G1057" i="1"/>
  <c r="E1057" i="1"/>
  <c r="L1056" i="1"/>
  <c r="O1056" i="1" s="1"/>
  <c r="G1056" i="1"/>
  <c r="E1056" i="1"/>
  <c r="L1055" i="1"/>
  <c r="O1055" i="1" s="1"/>
  <c r="G1055" i="1"/>
  <c r="E1055" i="1"/>
  <c r="L1054" i="1"/>
  <c r="O1054" i="1" s="1"/>
  <c r="G1054" i="1"/>
  <c r="E1054" i="1"/>
  <c r="L1053" i="1"/>
  <c r="O1053" i="1" s="1"/>
  <c r="G1053" i="1"/>
  <c r="E1053" i="1"/>
  <c r="L1052" i="1"/>
  <c r="O1052" i="1" s="1"/>
  <c r="G1052" i="1"/>
  <c r="E1052" i="1"/>
  <c r="L1051" i="1"/>
  <c r="O1051" i="1" s="1"/>
  <c r="G1051" i="1"/>
  <c r="E1051" i="1"/>
  <c r="L1050" i="1"/>
  <c r="O1050" i="1" s="1"/>
  <c r="G1050" i="1"/>
  <c r="E1050" i="1"/>
  <c r="L1049" i="1"/>
  <c r="O1049" i="1" s="1"/>
  <c r="G1049" i="1"/>
  <c r="E1049" i="1"/>
  <c r="L1048" i="1"/>
  <c r="O1048" i="1" s="1"/>
  <c r="G1048" i="1"/>
  <c r="E1048" i="1"/>
  <c r="L1047" i="1"/>
  <c r="O1047" i="1" s="1"/>
  <c r="G1047" i="1"/>
  <c r="E1047" i="1"/>
  <c r="L1046" i="1"/>
  <c r="O1046" i="1" s="1"/>
  <c r="G1046" i="1"/>
  <c r="E1046" i="1"/>
  <c r="L471" i="1"/>
  <c r="O471" i="1" s="1"/>
  <c r="G471" i="1"/>
  <c r="E471" i="1"/>
  <c r="L507" i="1"/>
  <c r="O507" i="1" s="1"/>
  <c r="G507" i="1"/>
  <c r="E507" i="1"/>
  <c r="L455" i="1"/>
  <c r="O455" i="1" s="1"/>
  <c r="G455" i="1"/>
  <c r="E455" i="1"/>
  <c r="L454" i="1"/>
  <c r="O454" i="1" s="1"/>
  <c r="G454" i="1"/>
  <c r="E454" i="1"/>
  <c r="L506" i="1"/>
  <c r="O506" i="1" s="1"/>
  <c r="G506" i="1"/>
  <c r="E506" i="1"/>
  <c r="L453" i="1"/>
  <c r="O453" i="1" s="1"/>
  <c r="G453" i="1"/>
  <c r="E453" i="1"/>
  <c r="L470" i="1"/>
  <c r="O470" i="1" s="1"/>
  <c r="G470" i="1"/>
  <c r="E470" i="1"/>
  <c r="L452" i="1"/>
  <c r="O452" i="1" s="1"/>
  <c r="G452" i="1"/>
  <c r="E452" i="1"/>
  <c r="L451" i="1"/>
  <c r="O451" i="1" s="1"/>
  <c r="G451" i="1"/>
  <c r="E451" i="1"/>
  <c r="L450" i="1"/>
  <c r="O450" i="1" s="1"/>
  <c r="G450" i="1"/>
  <c r="E450" i="1"/>
  <c r="L526" i="1"/>
  <c r="O526" i="1" s="1"/>
  <c r="G526" i="1"/>
  <c r="E526" i="1"/>
  <c r="L494" i="1"/>
  <c r="O494" i="1" s="1"/>
  <c r="G494" i="1"/>
  <c r="E494" i="1"/>
  <c r="L493" i="1"/>
  <c r="O493" i="1" s="1"/>
  <c r="G493" i="1"/>
  <c r="E493" i="1"/>
  <c r="L492" i="1"/>
  <c r="O492" i="1" s="1"/>
  <c r="G492" i="1"/>
  <c r="E492" i="1"/>
  <c r="L491" i="1"/>
  <c r="O491" i="1" s="1"/>
  <c r="G491" i="1"/>
  <c r="E491" i="1"/>
  <c r="L490" i="1"/>
  <c r="O490" i="1" s="1"/>
  <c r="G490" i="1"/>
  <c r="E490" i="1"/>
  <c r="L489" i="1"/>
  <c r="O489" i="1" s="1"/>
  <c r="G489" i="1"/>
  <c r="E489" i="1"/>
  <c r="L488" i="1"/>
  <c r="O488" i="1" s="1"/>
  <c r="G488" i="1"/>
  <c r="E488" i="1"/>
  <c r="L487" i="1"/>
  <c r="O487" i="1" s="1"/>
  <c r="G487" i="1"/>
  <c r="E487" i="1"/>
  <c r="L505" i="1"/>
  <c r="O505" i="1" s="1"/>
  <c r="G505" i="1"/>
  <c r="E505" i="1"/>
  <c r="L504" i="1"/>
  <c r="O504" i="1" s="1"/>
  <c r="G504" i="1"/>
  <c r="E504" i="1"/>
  <c r="L503" i="1"/>
  <c r="O503" i="1" s="1"/>
  <c r="G503" i="1"/>
  <c r="E503" i="1"/>
  <c r="L502" i="1"/>
  <c r="O502" i="1" s="1"/>
  <c r="G502" i="1"/>
  <c r="E502" i="1"/>
  <c r="L501" i="1"/>
  <c r="O501" i="1" s="1"/>
  <c r="G501" i="1"/>
  <c r="E501" i="1"/>
  <c r="L500" i="1"/>
  <c r="O500" i="1" s="1"/>
  <c r="G500" i="1"/>
  <c r="E500" i="1"/>
  <c r="L486" i="1"/>
  <c r="O486" i="1" s="1"/>
  <c r="G486" i="1"/>
  <c r="E486" i="1"/>
  <c r="L485" i="1"/>
  <c r="O485" i="1" s="1"/>
  <c r="G485" i="1"/>
  <c r="E485" i="1"/>
  <c r="L484" i="1"/>
  <c r="O484" i="1" s="1"/>
  <c r="G484" i="1"/>
  <c r="E484" i="1"/>
  <c r="L483" i="1"/>
  <c r="O483" i="1" s="1"/>
  <c r="G483" i="1"/>
  <c r="E483" i="1"/>
  <c r="L482" i="1"/>
  <c r="O482" i="1" s="1"/>
  <c r="G482" i="1"/>
  <c r="E482" i="1"/>
  <c r="L469" i="1"/>
  <c r="O469" i="1" s="1"/>
  <c r="G469" i="1"/>
  <c r="E469" i="1"/>
  <c r="L468" i="1"/>
  <c r="O468" i="1" s="1"/>
  <c r="G468" i="1"/>
  <c r="E468" i="1"/>
  <c r="L467" i="1"/>
  <c r="O467" i="1" s="1"/>
  <c r="G467" i="1"/>
  <c r="E467" i="1"/>
  <c r="L466" i="1"/>
  <c r="O466" i="1" s="1"/>
  <c r="G466" i="1"/>
  <c r="E466" i="1"/>
  <c r="L499" i="1"/>
  <c r="O499" i="1" s="1"/>
  <c r="G499" i="1"/>
  <c r="E499" i="1"/>
  <c r="L498" i="1"/>
  <c r="O498" i="1" s="1"/>
  <c r="G498" i="1"/>
  <c r="E498" i="1"/>
  <c r="L465" i="1"/>
  <c r="O465" i="1" s="1"/>
  <c r="G465" i="1"/>
  <c r="E465" i="1"/>
  <c r="L464" i="1"/>
  <c r="O464" i="1" s="1"/>
  <c r="G464" i="1"/>
  <c r="E464" i="1"/>
  <c r="L497" i="1"/>
  <c r="O497" i="1" s="1"/>
  <c r="G497" i="1"/>
  <c r="E497" i="1"/>
  <c r="L463" i="1"/>
  <c r="O463" i="1" s="1"/>
  <c r="G463" i="1"/>
  <c r="E463" i="1"/>
  <c r="L462" i="1"/>
  <c r="O462" i="1" s="1"/>
  <c r="G462" i="1"/>
  <c r="E462" i="1"/>
  <c r="L461" i="1"/>
  <c r="O461" i="1" s="1"/>
  <c r="G461" i="1"/>
  <c r="E461" i="1"/>
  <c r="L449" i="1"/>
  <c r="O449" i="1" s="1"/>
  <c r="G449" i="1"/>
  <c r="E449" i="1"/>
  <c r="L448" i="1"/>
  <c r="O448" i="1" s="1"/>
  <c r="G448" i="1"/>
  <c r="E448" i="1"/>
  <c r="L447" i="1"/>
  <c r="O447" i="1" s="1"/>
  <c r="G447" i="1"/>
  <c r="E447" i="1"/>
  <c r="L481" i="1"/>
  <c r="O481" i="1" s="1"/>
  <c r="G481" i="1"/>
  <c r="E481" i="1"/>
  <c r="L480" i="1"/>
  <c r="O480" i="1" s="1"/>
  <c r="G480" i="1"/>
  <c r="E480" i="1"/>
  <c r="L460" i="1"/>
  <c r="O460" i="1" s="1"/>
  <c r="G460" i="1"/>
  <c r="E460" i="1"/>
  <c r="L459" i="1"/>
  <c r="O459" i="1" s="1"/>
  <c r="G459" i="1"/>
  <c r="E459" i="1"/>
  <c r="L458" i="1"/>
  <c r="O458" i="1" s="1"/>
  <c r="G458" i="1"/>
  <c r="E458" i="1"/>
  <c r="L457" i="1"/>
  <c r="O457" i="1" s="1"/>
  <c r="G457" i="1"/>
  <c r="E457" i="1"/>
  <c r="L479" i="1"/>
  <c r="O479" i="1" s="1"/>
  <c r="G479" i="1"/>
  <c r="E479" i="1"/>
  <c r="L478" i="1"/>
  <c r="O478" i="1" s="1"/>
  <c r="G478" i="1"/>
  <c r="E478" i="1"/>
  <c r="L477" i="1"/>
  <c r="O477" i="1" s="1"/>
  <c r="G477" i="1"/>
  <c r="E477" i="1"/>
  <c r="L476" i="1"/>
  <c r="O476" i="1" s="1"/>
  <c r="G476" i="1"/>
  <c r="E476" i="1"/>
  <c r="L475" i="1"/>
  <c r="O475" i="1" s="1"/>
  <c r="G475" i="1"/>
  <c r="E475" i="1"/>
  <c r="L474" i="1"/>
  <c r="O474" i="1" s="1"/>
  <c r="G474" i="1"/>
  <c r="E474" i="1"/>
  <c r="L473" i="1"/>
  <c r="O473" i="1" s="1"/>
  <c r="G473" i="1"/>
  <c r="E473" i="1"/>
  <c r="L472" i="1"/>
  <c r="O472" i="1" s="1"/>
  <c r="G472" i="1"/>
  <c r="E472" i="1"/>
  <c r="L445" i="1"/>
  <c r="O445" i="1" s="1"/>
  <c r="G445" i="1"/>
  <c r="E445" i="1"/>
  <c r="L456" i="1"/>
  <c r="O456" i="1" s="1"/>
  <c r="G456" i="1"/>
  <c r="E456" i="1"/>
  <c r="L446" i="1"/>
  <c r="O446" i="1" s="1"/>
  <c r="G446" i="1"/>
  <c r="E446" i="1"/>
  <c r="L443" i="1"/>
  <c r="O443" i="1" s="1"/>
  <c r="G443" i="1"/>
  <c r="E443" i="1"/>
  <c r="L444" i="1"/>
  <c r="O444" i="1" s="1"/>
  <c r="G444" i="1"/>
  <c r="E444" i="1"/>
  <c r="L442" i="1"/>
  <c r="O442" i="1" s="1"/>
  <c r="G442" i="1"/>
  <c r="E442" i="1"/>
  <c r="L439" i="1"/>
  <c r="O439" i="1" s="1"/>
  <c r="G439" i="1"/>
  <c r="E439" i="1"/>
  <c r="L441" i="1"/>
  <c r="O441" i="1" s="1"/>
  <c r="G441" i="1"/>
  <c r="E441" i="1"/>
  <c r="L438" i="1"/>
  <c r="O438" i="1" s="1"/>
  <c r="G438" i="1"/>
  <c r="E438" i="1"/>
  <c r="L437" i="1"/>
  <c r="O437" i="1" s="1"/>
  <c r="G437" i="1"/>
  <c r="E437" i="1"/>
  <c r="L436" i="1"/>
  <c r="O436" i="1" s="1"/>
  <c r="G436" i="1"/>
  <c r="E436" i="1"/>
  <c r="L435" i="1"/>
  <c r="O435" i="1" s="1"/>
  <c r="G435" i="1"/>
  <c r="E435" i="1"/>
  <c r="L434" i="1"/>
  <c r="O434" i="1" s="1"/>
  <c r="G434" i="1"/>
  <c r="E434" i="1"/>
  <c r="L413" i="1"/>
  <c r="O413" i="1" s="1"/>
  <c r="G413" i="1"/>
  <c r="E413" i="1"/>
  <c r="L433" i="1"/>
  <c r="O433" i="1" s="1"/>
  <c r="G433" i="1"/>
  <c r="E433" i="1"/>
  <c r="L412" i="1"/>
  <c r="O412" i="1" s="1"/>
  <c r="G412" i="1"/>
  <c r="E412" i="1"/>
  <c r="L411" i="1"/>
  <c r="O411" i="1" s="1"/>
  <c r="G411" i="1"/>
  <c r="E411" i="1"/>
  <c r="L410" i="1"/>
  <c r="O410" i="1" s="1"/>
  <c r="G410" i="1"/>
  <c r="E410" i="1"/>
  <c r="L409" i="1"/>
  <c r="O409" i="1" s="1"/>
  <c r="G409" i="1"/>
  <c r="E409" i="1"/>
  <c r="L432" i="1"/>
  <c r="O432" i="1" s="1"/>
  <c r="G432" i="1"/>
  <c r="E432" i="1"/>
  <c r="L440" i="1"/>
  <c r="O440" i="1" s="1"/>
  <c r="G440" i="1"/>
  <c r="E440" i="1"/>
  <c r="L431" i="1"/>
  <c r="O431" i="1" s="1"/>
  <c r="G431" i="1"/>
  <c r="E431" i="1"/>
  <c r="L408" i="1"/>
  <c r="O408" i="1" s="1"/>
  <c r="G408" i="1"/>
  <c r="E408" i="1"/>
  <c r="L430" i="1"/>
  <c r="O430" i="1" s="1"/>
  <c r="G430" i="1"/>
  <c r="E430" i="1"/>
  <c r="L429" i="1"/>
  <c r="O429" i="1" s="1"/>
  <c r="G429" i="1"/>
  <c r="E429" i="1"/>
  <c r="L407" i="1"/>
  <c r="O407" i="1" s="1"/>
  <c r="G407" i="1"/>
  <c r="E407" i="1"/>
  <c r="L428" i="1"/>
  <c r="O428" i="1" s="1"/>
  <c r="G428" i="1"/>
  <c r="E428" i="1"/>
  <c r="L427" i="1"/>
  <c r="O427" i="1" s="1"/>
  <c r="G427" i="1"/>
  <c r="E427" i="1"/>
  <c r="L426" i="1"/>
  <c r="O426" i="1" s="1"/>
  <c r="G426" i="1"/>
  <c r="E426" i="1"/>
  <c r="L425" i="1"/>
  <c r="O425" i="1" s="1"/>
  <c r="G425" i="1"/>
  <c r="E425" i="1"/>
  <c r="L424" i="1"/>
  <c r="O424" i="1" s="1"/>
  <c r="G424" i="1"/>
  <c r="E424" i="1"/>
  <c r="L423" i="1"/>
  <c r="O423" i="1" s="1"/>
  <c r="G423" i="1"/>
  <c r="E423" i="1"/>
  <c r="L422" i="1"/>
  <c r="O422" i="1" s="1"/>
  <c r="G422" i="1"/>
  <c r="E422" i="1"/>
  <c r="L421" i="1"/>
  <c r="O421" i="1" s="1"/>
  <c r="G421" i="1"/>
  <c r="E421" i="1"/>
  <c r="L406" i="1"/>
  <c r="O406" i="1" s="1"/>
  <c r="G406" i="1"/>
  <c r="E406" i="1"/>
  <c r="L420" i="1"/>
  <c r="O420" i="1" s="1"/>
  <c r="G420" i="1"/>
  <c r="E420" i="1"/>
  <c r="L419" i="1"/>
  <c r="O419" i="1" s="1"/>
  <c r="G419" i="1"/>
  <c r="E419" i="1"/>
  <c r="L418" i="1"/>
  <c r="O418" i="1" s="1"/>
  <c r="G418" i="1"/>
  <c r="E418" i="1"/>
  <c r="L403" i="1"/>
  <c r="O403" i="1" s="1"/>
  <c r="G403" i="1"/>
  <c r="E403" i="1"/>
  <c r="L402" i="1"/>
  <c r="O402" i="1" s="1"/>
  <c r="G402" i="1"/>
  <c r="E402" i="1"/>
  <c r="L401" i="1"/>
  <c r="O401" i="1" s="1"/>
  <c r="G401" i="1"/>
  <c r="E401" i="1"/>
  <c r="L400" i="1"/>
  <c r="O400" i="1" s="1"/>
  <c r="G400" i="1"/>
  <c r="E400" i="1"/>
  <c r="L399" i="1"/>
  <c r="O399" i="1" s="1"/>
  <c r="G399" i="1"/>
  <c r="E399" i="1"/>
  <c r="L398" i="1"/>
  <c r="O398" i="1" s="1"/>
  <c r="G398" i="1"/>
  <c r="E398" i="1"/>
  <c r="L397" i="1"/>
  <c r="O397" i="1" s="1"/>
  <c r="G397" i="1"/>
  <c r="E397" i="1"/>
  <c r="L396" i="1"/>
  <c r="O396" i="1" s="1"/>
  <c r="G396" i="1"/>
  <c r="E396" i="1"/>
  <c r="L395" i="1"/>
  <c r="O395" i="1" s="1"/>
  <c r="G395" i="1"/>
  <c r="E395" i="1"/>
  <c r="L394" i="1"/>
  <c r="O394" i="1" s="1"/>
  <c r="G394" i="1"/>
  <c r="E394" i="1"/>
  <c r="L393" i="1"/>
  <c r="O393" i="1" s="1"/>
  <c r="G393" i="1"/>
  <c r="E393" i="1"/>
  <c r="L392" i="1"/>
  <c r="O392" i="1" s="1"/>
  <c r="G392" i="1"/>
  <c r="E392" i="1"/>
  <c r="L391" i="1"/>
  <c r="O391" i="1" s="1"/>
  <c r="G391" i="1"/>
  <c r="E391" i="1"/>
  <c r="L390" i="1"/>
  <c r="O390" i="1" s="1"/>
  <c r="G390" i="1"/>
  <c r="E390" i="1"/>
  <c r="L389" i="1"/>
  <c r="O389" i="1" s="1"/>
  <c r="G389" i="1"/>
  <c r="E389" i="1"/>
  <c r="L388" i="1"/>
  <c r="O388" i="1" s="1"/>
  <c r="G388" i="1"/>
  <c r="E388" i="1"/>
  <c r="L387" i="1"/>
  <c r="O387" i="1" s="1"/>
  <c r="G387" i="1"/>
  <c r="E387" i="1"/>
  <c r="L386" i="1"/>
  <c r="O386" i="1" s="1"/>
  <c r="G386" i="1"/>
  <c r="E386" i="1"/>
  <c r="L385" i="1"/>
  <c r="O385" i="1" s="1"/>
  <c r="G385" i="1"/>
  <c r="E385" i="1"/>
  <c r="L384" i="1"/>
  <c r="O384" i="1" s="1"/>
  <c r="G384" i="1"/>
  <c r="E384" i="1"/>
  <c r="L383" i="1"/>
  <c r="O383" i="1" s="1"/>
  <c r="G383" i="1"/>
  <c r="E383" i="1"/>
  <c r="L382" i="1"/>
  <c r="O382" i="1" s="1"/>
  <c r="G382" i="1"/>
  <c r="E382" i="1"/>
  <c r="L381" i="1"/>
  <c r="O381" i="1" s="1"/>
  <c r="G381" i="1"/>
  <c r="E381" i="1"/>
  <c r="L380" i="1"/>
  <c r="O380" i="1" s="1"/>
  <c r="G380" i="1"/>
  <c r="E380" i="1"/>
  <c r="L379" i="1"/>
  <c r="O379" i="1" s="1"/>
  <c r="G379" i="1"/>
  <c r="E379" i="1"/>
  <c r="L378" i="1"/>
  <c r="O378" i="1" s="1"/>
  <c r="G378" i="1"/>
  <c r="E378" i="1"/>
  <c r="L377" i="1"/>
  <c r="O377" i="1" s="1"/>
  <c r="G377" i="1"/>
  <c r="E377" i="1"/>
  <c r="L376" i="1"/>
  <c r="O376" i="1" s="1"/>
  <c r="G376" i="1"/>
  <c r="E376" i="1"/>
  <c r="L375" i="1"/>
  <c r="O375" i="1" s="1"/>
  <c r="G375" i="1"/>
  <c r="E375" i="1"/>
  <c r="L374" i="1"/>
  <c r="O374" i="1" s="1"/>
  <c r="G374" i="1"/>
  <c r="E374" i="1"/>
  <c r="L370" i="1"/>
  <c r="O370" i="1" s="1"/>
  <c r="G370" i="1"/>
  <c r="E370" i="1"/>
  <c r="L369" i="1"/>
  <c r="O369" i="1" s="1"/>
  <c r="G369" i="1"/>
  <c r="E369" i="1"/>
  <c r="L368" i="1"/>
  <c r="O368" i="1" s="1"/>
  <c r="G368" i="1"/>
  <c r="E368" i="1"/>
  <c r="L367" i="1"/>
  <c r="O367" i="1" s="1"/>
  <c r="G367" i="1"/>
  <c r="E367" i="1"/>
  <c r="L366" i="1"/>
  <c r="O366" i="1" s="1"/>
  <c r="G366" i="1"/>
  <c r="E366" i="1"/>
  <c r="L405" i="1"/>
  <c r="O405" i="1" s="1"/>
  <c r="G405" i="1"/>
  <c r="E405" i="1"/>
  <c r="L365" i="1"/>
  <c r="O365" i="1" s="1"/>
  <c r="G365" i="1"/>
  <c r="E365" i="1"/>
  <c r="L364" i="1"/>
  <c r="O364" i="1" s="1"/>
  <c r="G364" i="1"/>
  <c r="E364" i="1"/>
  <c r="L363" i="1"/>
  <c r="O363" i="1" s="1"/>
  <c r="G363" i="1"/>
  <c r="E363" i="1"/>
  <c r="L362" i="1"/>
  <c r="O362" i="1" s="1"/>
  <c r="G362" i="1"/>
  <c r="E362" i="1"/>
  <c r="L361" i="1"/>
  <c r="O361" i="1" s="1"/>
  <c r="G361" i="1"/>
  <c r="E361" i="1"/>
  <c r="L360" i="1"/>
  <c r="O360" i="1" s="1"/>
  <c r="G360" i="1"/>
  <c r="E360" i="1"/>
  <c r="L359" i="1"/>
  <c r="O359" i="1" s="1"/>
  <c r="G359" i="1"/>
  <c r="E359" i="1"/>
  <c r="L358" i="1"/>
  <c r="O358" i="1" s="1"/>
  <c r="G358" i="1"/>
  <c r="E358" i="1"/>
  <c r="L357" i="1"/>
  <c r="O357" i="1" s="1"/>
  <c r="G357" i="1"/>
  <c r="E357" i="1"/>
  <c r="L417" i="1"/>
  <c r="O417" i="1" s="1"/>
  <c r="G417" i="1"/>
  <c r="E417" i="1"/>
  <c r="L416" i="1"/>
  <c r="O416" i="1" s="1"/>
  <c r="G416" i="1"/>
  <c r="E416" i="1"/>
  <c r="L356" i="1"/>
  <c r="O356" i="1" s="1"/>
  <c r="G356" i="1"/>
  <c r="E356" i="1"/>
  <c r="L355" i="1"/>
  <c r="O355" i="1" s="1"/>
  <c r="G355" i="1"/>
  <c r="E355" i="1"/>
  <c r="L354" i="1"/>
  <c r="O354" i="1" s="1"/>
  <c r="G354" i="1"/>
  <c r="E354" i="1"/>
  <c r="L353" i="1"/>
  <c r="O353" i="1" s="1"/>
  <c r="G353" i="1"/>
  <c r="E353" i="1"/>
  <c r="L1045" i="1"/>
  <c r="O1045" i="1" s="1"/>
  <c r="G1045" i="1"/>
  <c r="E1045" i="1"/>
  <c r="L1044" i="1"/>
  <c r="O1044" i="1" s="1"/>
  <c r="G1044" i="1"/>
  <c r="E1044" i="1"/>
  <c r="L415" i="1"/>
  <c r="O415" i="1" s="1"/>
  <c r="G415" i="1"/>
  <c r="E415" i="1"/>
  <c r="L414" i="1"/>
  <c r="O414" i="1" s="1"/>
  <c r="G414" i="1"/>
  <c r="E414" i="1"/>
  <c r="L352" i="1"/>
  <c r="O352" i="1" s="1"/>
  <c r="G352" i="1"/>
  <c r="E352" i="1"/>
  <c r="L351" i="1"/>
  <c r="O351" i="1" s="1"/>
  <c r="G351" i="1"/>
  <c r="E351" i="1"/>
  <c r="L350" i="1"/>
  <c r="O350" i="1" s="1"/>
  <c r="G350" i="1"/>
  <c r="E350" i="1"/>
  <c r="L349" i="1"/>
  <c r="O349" i="1" s="1"/>
  <c r="G349" i="1"/>
  <c r="E349" i="1"/>
  <c r="L348" i="1"/>
  <c r="O348" i="1" s="1"/>
  <c r="G348" i="1"/>
  <c r="E348" i="1"/>
  <c r="L347" i="1"/>
  <c r="O347" i="1" s="1"/>
  <c r="G347" i="1"/>
  <c r="E347" i="1"/>
  <c r="L346" i="1"/>
  <c r="O346" i="1" s="1"/>
  <c r="G346" i="1"/>
  <c r="E346" i="1"/>
  <c r="L345" i="1"/>
  <c r="O345" i="1" s="1"/>
  <c r="G345" i="1"/>
  <c r="E345" i="1"/>
  <c r="L373" i="1"/>
  <c r="O373" i="1" s="1"/>
  <c r="G373" i="1"/>
  <c r="E373" i="1"/>
  <c r="L372" i="1"/>
  <c r="O372" i="1" s="1"/>
  <c r="G372" i="1"/>
  <c r="E372" i="1"/>
  <c r="L344" i="1"/>
  <c r="O344" i="1" s="1"/>
  <c r="G344" i="1"/>
  <c r="E344" i="1"/>
  <c r="L343" i="1"/>
  <c r="O343" i="1" s="1"/>
  <c r="G343" i="1"/>
  <c r="E343" i="1"/>
  <c r="L404" i="1"/>
  <c r="O404" i="1" s="1"/>
  <c r="G404" i="1"/>
  <c r="E404" i="1"/>
  <c r="L342" i="1"/>
  <c r="O342" i="1" s="1"/>
  <c r="G342" i="1"/>
  <c r="E342" i="1"/>
  <c r="L341" i="1"/>
  <c r="O341" i="1" s="1"/>
  <c r="G341" i="1"/>
  <c r="E341" i="1"/>
  <c r="L340" i="1"/>
  <c r="O340" i="1" s="1"/>
  <c r="G340" i="1"/>
  <c r="E340" i="1"/>
  <c r="L339" i="1"/>
  <c r="O339" i="1" s="1"/>
  <c r="G339" i="1"/>
  <c r="E339" i="1"/>
  <c r="L338" i="1"/>
  <c r="O338" i="1" s="1"/>
  <c r="G338" i="1"/>
  <c r="E338" i="1"/>
  <c r="L337" i="1"/>
  <c r="O337" i="1" s="1"/>
  <c r="G337" i="1"/>
  <c r="E337" i="1"/>
  <c r="L336" i="1"/>
  <c r="O336" i="1" s="1"/>
  <c r="G336" i="1"/>
  <c r="E336" i="1"/>
  <c r="L371" i="1"/>
  <c r="O371" i="1" s="1"/>
  <c r="G371" i="1"/>
  <c r="E371" i="1"/>
  <c r="L335" i="1"/>
  <c r="O335" i="1" s="1"/>
  <c r="G335" i="1"/>
  <c r="E335" i="1"/>
  <c r="L334" i="1"/>
  <c r="O334" i="1" s="1"/>
  <c r="G334" i="1"/>
  <c r="E334" i="1"/>
  <c r="L333" i="1"/>
  <c r="O333" i="1" s="1"/>
  <c r="G333" i="1"/>
  <c r="E333" i="1"/>
  <c r="L1043" i="1"/>
  <c r="O1043" i="1" s="1"/>
  <c r="G1043" i="1"/>
  <c r="E1043" i="1"/>
  <c r="L1042" i="1"/>
  <c r="O1042" i="1" s="1"/>
  <c r="G1042" i="1"/>
  <c r="E1042" i="1"/>
  <c r="L330" i="1"/>
  <c r="O330" i="1" s="1"/>
  <c r="G330" i="1"/>
  <c r="E330" i="1"/>
  <c r="L331" i="1"/>
  <c r="O331" i="1" s="1"/>
  <c r="G331" i="1"/>
  <c r="E331" i="1"/>
  <c r="L329" i="1"/>
  <c r="O329" i="1" s="1"/>
  <c r="G329" i="1"/>
  <c r="E329" i="1"/>
  <c r="L328" i="1"/>
  <c r="O328" i="1" s="1"/>
  <c r="G328" i="1"/>
  <c r="E328" i="1"/>
  <c r="L327" i="1"/>
  <c r="O327" i="1" s="1"/>
  <c r="G327" i="1"/>
  <c r="E327" i="1"/>
  <c r="L332" i="1"/>
  <c r="O332" i="1" s="1"/>
  <c r="G332" i="1"/>
  <c r="E332" i="1"/>
  <c r="L326" i="1"/>
  <c r="O326" i="1" s="1"/>
  <c r="G326" i="1"/>
  <c r="E326" i="1"/>
  <c r="L325" i="1"/>
  <c r="O325" i="1" s="1"/>
  <c r="G325" i="1"/>
  <c r="E325" i="1"/>
  <c r="L324" i="1"/>
  <c r="O324" i="1" s="1"/>
  <c r="G324" i="1"/>
  <c r="E324" i="1"/>
  <c r="L323" i="1"/>
  <c r="O323" i="1" s="1"/>
  <c r="G323" i="1"/>
  <c r="E323" i="1"/>
  <c r="L322" i="1"/>
  <c r="O322" i="1" s="1"/>
  <c r="G322" i="1"/>
  <c r="E322" i="1"/>
  <c r="L321" i="1"/>
  <c r="O321" i="1" s="1"/>
  <c r="G321" i="1"/>
  <c r="E321" i="1"/>
  <c r="L320" i="1"/>
  <c r="O320" i="1" s="1"/>
  <c r="G320" i="1"/>
  <c r="E320" i="1"/>
  <c r="L319" i="1"/>
  <c r="O319" i="1" s="1"/>
  <c r="G319" i="1"/>
  <c r="E319" i="1"/>
  <c r="L318" i="1"/>
  <c r="O318" i="1" s="1"/>
  <c r="G318" i="1"/>
  <c r="E318" i="1"/>
  <c r="L317" i="1"/>
  <c r="O317" i="1" s="1"/>
  <c r="G317" i="1"/>
  <c r="E317" i="1"/>
  <c r="L316" i="1"/>
  <c r="O316" i="1" s="1"/>
  <c r="G316" i="1"/>
  <c r="E316" i="1"/>
  <c r="L315" i="1"/>
  <c r="O315" i="1" s="1"/>
  <c r="G315" i="1"/>
  <c r="E315" i="1"/>
  <c r="L314" i="1"/>
  <c r="O314" i="1" s="1"/>
  <c r="G314" i="1"/>
  <c r="E314" i="1"/>
  <c r="L313" i="1"/>
  <c r="O313" i="1" s="1"/>
  <c r="G313" i="1"/>
  <c r="E313" i="1"/>
  <c r="L312" i="1"/>
  <c r="O312" i="1" s="1"/>
  <c r="G312" i="1"/>
  <c r="E312" i="1"/>
  <c r="L311" i="1"/>
  <c r="O311" i="1" s="1"/>
  <c r="G311" i="1"/>
  <c r="E311" i="1"/>
  <c r="L310" i="1"/>
  <c r="O310" i="1" s="1"/>
  <c r="G310" i="1"/>
  <c r="E310" i="1"/>
  <c r="L309" i="1"/>
  <c r="O309" i="1" s="1"/>
  <c r="G309" i="1"/>
  <c r="E309" i="1"/>
  <c r="L308" i="1"/>
  <c r="O308" i="1" s="1"/>
  <c r="G308" i="1"/>
  <c r="E308" i="1"/>
  <c r="L303" i="1"/>
  <c r="O303" i="1" s="1"/>
  <c r="G303" i="1"/>
  <c r="E303" i="1"/>
  <c r="L302" i="1"/>
  <c r="O302" i="1" s="1"/>
  <c r="G302" i="1"/>
  <c r="E302" i="1"/>
  <c r="L301" i="1"/>
  <c r="O301" i="1" s="1"/>
  <c r="G301" i="1"/>
  <c r="E301" i="1"/>
  <c r="L300" i="1"/>
  <c r="O300" i="1" s="1"/>
  <c r="G300" i="1"/>
  <c r="E300" i="1"/>
  <c r="L299" i="1"/>
  <c r="O299" i="1" s="1"/>
  <c r="G299" i="1"/>
  <c r="E299" i="1"/>
  <c r="L307" i="1"/>
  <c r="O307" i="1" s="1"/>
  <c r="G307" i="1"/>
  <c r="E307" i="1"/>
  <c r="L298" i="1"/>
  <c r="O298" i="1" s="1"/>
  <c r="G298" i="1"/>
  <c r="E298" i="1"/>
  <c r="L297" i="1"/>
  <c r="O297" i="1" s="1"/>
  <c r="G297" i="1"/>
  <c r="E297" i="1"/>
  <c r="L296" i="1"/>
  <c r="O296" i="1" s="1"/>
  <c r="G296" i="1"/>
  <c r="E296" i="1"/>
  <c r="L295" i="1"/>
  <c r="O295" i="1" s="1"/>
  <c r="G295" i="1"/>
  <c r="E295" i="1"/>
  <c r="L294" i="1"/>
  <c r="O294" i="1" s="1"/>
  <c r="G294" i="1"/>
  <c r="E294" i="1"/>
  <c r="L293" i="1"/>
  <c r="O293" i="1" s="1"/>
  <c r="G293" i="1"/>
  <c r="E293" i="1"/>
  <c r="L285" i="1"/>
  <c r="O285" i="1" s="1"/>
  <c r="G285" i="1"/>
  <c r="E285" i="1"/>
  <c r="L284" i="1"/>
  <c r="O284" i="1" s="1"/>
  <c r="G284" i="1"/>
  <c r="E284" i="1"/>
  <c r="L283" i="1"/>
  <c r="O283" i="1" s="1"/>
  <c r="G283" i="1"/>
  <c r="E283" i="1"/>
  <c r="L282" i="1"/>
  <c r="O282" i="1" s="1"/>
  <c r="G282" i="1"/>
  <c r="E282" i="1"/>
  <c r="L281" i="1"/>
  <c r="O281" i="1" s="1"/>
  <c r="G281" i="1"/>
  <c r="E281" i="1"/>
  <c r="L280" i="1"/>
  <c r="O280" i="1" s="1"/>
  <c r="G280" i="1"/>
  <c r="E280" i="1"/>
  <c r="L292" i="1"/>
  <c r="O292" i="1" s="1"/>
  <c r="G292" i="1"/>
  <c r="E292" i="1"/>
  <c r="L291" i="1"/>
  <c r="O291" i="1" s="1"/>
  <c r="G291" i="1"/>
  <c r="E291" i="1"/>
  <c r="L290" i="1"/>
  <c r="O290" i="1" s="1"/>
  <c r="G290" i="1"/>
  <c r="E290" i="1"/>
  <c r="L289" i="1"/>
  <c r="O289" i="1" s="1"/>
  <c r="G289" i="1"/>
  <c r="E289" i="1"/>
  <c r="L288" i="1"/>
  <c r="O288" i="1" s="1"/>
  <c r="G288" i="1"/>
  <c r="E288" i="1"/>
  <c r="L287" i="1"/>
  <c r="O287" i="1" s="1"/>
  <c r="G287" i="1"/>
  <c r="E287" i="1"/>
  <c r="L286" i="1"/>
  <c r="O286" i="1" s="1"/>
  <c r="G286" i="1"/>
  <c r="E286" i="1"/>
  <c r="L279" i="1"/>
  <c r="O279" i="1" s="1"/>
  <c r="G279" i="1"/>
  <c r="E279" i="1"/>
  <c r="L278" i="1"/>
  <c r="O278" i="1" s="1"/>
  <c r="G278" i="1"/>
  <c r="E278" i="1"/>
  <c r="L277" i="1"/>
  <c r="O277" i="1" s="1"/>
  <c r="G277" i="1"/>
  <c r="E277" i="1"/>
  <c r="L276" i="1"/>
  <c r="O276" i="1" s="1"/>
  <c r="G276" i="1"/>
  <c r="E276" i="1"/>
  <c r="L275" i="1"/>
  <c r="O275" i="1" s="1"/>
  <c r="G275" i="1"/>
  <c r="E275" i="1"/>
  <c r="L274" i="1"/>
  <c r="O274" i="1" s="1"/>
  <c r="G274" i="1"/>
  <c r="E274" i="1"/>
  <c r="L273" i="1"/>
  <c r="O273" i="1" s="1"/>
  <c r="G273" i="1"/>
  <c r="E273" i="1"/>
  <c r="L271" i="1"/>
  <c r="O271" i="1" s="1"/>
  <c r="G271" i="1"/>
  <c r="E271" i="1"/>
  <c r="L270" i="1"/>
  <c r="O270" i="1" s="1"/>
  <c r="G270" i="1"/>
  <c r="E270" i="1"/>
  <c r="L269" i="1"/>
  <c r="O269" i="1" s="1"/>
  <c r="G269" i="1"/>
  <c r="E269" i="1"/>
  <c r="L268" i="1"/>
  <c r="O268" i="1" s="1"/>
  <c r="G268" i="1"/>
  <c r="E268" i="1"/>
  <c r="L267" i="1"/>
  <c r="O267" i="1" s="1"/>
  <c r="G267" i="1"/>
  <c r="E267" i="1"/>
  <c r="L266" i="1"/>
  <c r="O266" i="1" s="1"/>
  <c r="G266" i="1"/>
  <c r="E266" i="1"/>
  <c r="L265" i="1"/>
  <c r="O265" i="1" s="1"/>
  <c r="G265" i="1"/>
  <c r="E265" i="1"/>
  <c r="L306" i="1"/>
  <c r="O306" i="1" s="1"/>
  <c r="G306" i="1"/>
  <c r="E306" i="1"/>
  <c r="L264" i="1"/>
  <c r="O264" i="1" s="1"/>
  <c r="G264" i="1"/>
  <c r="E264" i="1"/>
  <c r="L263" i="1"/>
  <c r="O263" i="1" s="1"/>
  <c r="G263" i="1"/>
  <c r="E263" i="1"/>
  <c r="L262" i="1"/>
  <c r="O262" i="1" s="1"/>
  <c r="G262" i="1"/>
  <c r="E262" i="1"/>
  <c r="L261" i="1"/>
  <c r="O261" i="1" s="1"/>
  <c r="G261" i="1"/>
  <c r="E261" i="1"/>
  <c r="L260" i="1"/>
  <c r="O260" i="1" s="1"/>
  <c r="G260" i="1"/>
  <c r="E260" i="1"/>
  <c r="L259" i="1"/>
  <c r="O259" i="1" s="1"/>
  <c r="G259" i="1"/>
  <c r="E259" i="1"/>
  <c r="L258" i="1"/>
  <c r="O258" i="1" s="1"/>
  <c r="G258" i="1"/>
  <c r="E258" i="1"/>
  <c r="L305" i="1"/>
  <c r="O305" i="1" s="1"/>
  <c r="G305" i="1"/>
  <c r="E305" i="1"/>
  <c r="L272" i="1"/>
  <c r="O272" i="1" s="1"/>
  <c r="G272" i="1"/>
  <c r="E272" i="1"/>
  <c r="L304" i="1"/>
  <c r="O304" i="1" s="1"/>
  <c r="G304" i="1"/>
  <c r="E304" i="1"/>
  <c r="L257" i="1"/>
  <c r="O257" i="1" s="1"/>
  <c r="G257" i="1"/>
  <c r="E257" i="1"/>
  <c r="L256" i="1"/>
  <c r="O256" i="1" s="1"/>
  <c r="G256" i="1"/>
  <c r="E256" i="1"/>
  <c r="L254" i="1"/>
  <c r="O254" i="1" s="1"/>
  <c r="G254" i="1"/>
  <c r="E254" i="1"/>
  <c r="L255" i="1"/>
  <c r="O255" i="1" s="1"/>
  <c r="G255" i="1"/>
  <c r="E255" i="1"/>
  <c r="L253" i="1"/>
  <c r="O253" i="1" s="1"/>
  <c r="G253" i="1"/>
  <c r="E253" i="1"/>
  <c r="L252" i="1"/>
  <c r="O252" i="1" s="1"/>
  <c r="G252" i="1"/>
  <c r="E252" i="1"/>
  <c r="L251" i="1"/>
  <c r="O251" i="1" s="1"/>
  <c r="G251" i="1"/>
  <c r="E251" i="1"/>
  <c r="L250" i="1"/>
  <c r="O250" i="1" s="1"/>
  <c r="G250" i="1"/>
  <c r="E250" i="1"/>
  <c r="L249" i="1"/>
  <c r="O249" i="1" s="1"/>
  <c r="G249" i="1"/>
  <c r="E249" i="1"/>
  <c r="L248" i="1"/>
  <c r="O248" i="1" s="1"/>
  <c r="G248" i="1"/>
  <c r="E248" i="1"/>
  <c r="L247" i="1"/>
  <c r="O247" i="1" s="1"/>
  <c r="G247" i="1"/>
  <c r="E247" i="1"/>
  <c r="L246" i="1"/>
  <c r="O246" i="1" s="1"/>
  <c r="G246" i="1"/>
  <c r="E246" i="1"/>
  <c r="L245" i="1"/>
  <c r="O245" i="1" s="1"/>
  <c r="G245" i="1"/>
  <c r="E245" i="1"/>
  <c r="L244" i="1"/>
  <c r="O244" i="1" s="1"/>
  <c r="G244" i="1"/>
  <c r="E244" i="1"/>
  <c r="L243" i="1"/>
  <c r="O243" i="1" s="1"/>
  <c r="G243" i="1"/>
  <c r="E243" i="1"/>
  <c r="L242" i="1"/>
  <c r="O242" i="1" s="1"/>
  <c r="G242" i="1"/>
  <c r="E242" i="1"/>
  <c r="L241" i="1"/>
  <c r="O241" i="1" s="1"/>
  <c r="G241" i="1"/>
  <c r="E241" i="1"/>
  <c r="L240" i="1"/>
  <c r="O240" i="1" s="1"/>
  <c r="G240" i="1"/>
  <c r="E240" i="1"/>
  <c r="L239" i="1"/>
  <c r="O239" i="1" s="1"/>
  <c r="G239" i="1"/>
  <c r="E239" i="1"/>
  <c r="L238" i="1"/>
  <c r="O238" i="1" s="1"/>
  <c r="G238" i="1"/>
  <c r="E238" i="1"/>
  <c r="L237" i="1"/>
  <c r="O237" i="1" s="1"/>
  <c r="G237" i="1"/>
  <c r="E237" i="1"/>
  <c r="L236" i="1"/>
  <c r="O236" i="1" s="1"/>
  <c r="G236" i="1"/>
  <c r="E236" i="1"/>
  <c r="L235" i="1"/>
  <c r="O235" i="1" s="1"/>
  <c r="G235" i="1"/>
  <c r="E235" i="1"/>
  <c r="L234" i="1"/>
  <c r="O234" i="1" s="1"/>
  <c r="G234" i="1"/>
  <c r="E234" i="1"/>
  <c r="L233" i="1"/>
  <c r="O233" i="1" s="1"/>
  <c r="G233" i="1"/>
  <c r="E233" i="1"/>
  <c r="L232" i="1"/>
  <c r="O232" i="1" s="1"/>
  <c r="G232" i="1"/>
  <c r="E232" i="1"/>
  <c r="L1041" i="1"/>
  <c r="O1041" i="1" s="1"/>
  <c r="G1041" i="1"/>
  <c r="E1041" i="1"/>
  <c r="L230" i="1"/>
  <c r="O230" i="1" s="1"/>
  <c r="G230" i="1"/>
  <c r="E230" i="1"/>
  <c r="L226" i="1"/>
  <c r="O226" i="1" s="1"/>
  <c r="G226" i="1"/>
  <c r="E226" i="1"/>
  <c r="L225" i="1"/>
  <c r="O225" i="1" s="1"/>
  <c r="G225" i="1"/>
  <c r="E225" i="1"/>
  <c r="L224" i="1"/>
  <c r="O224" i="1" s="1"/>
  <c r="G224" i="1"/>
  <c r="E224" i="1"/>
  <c r="L223" i="1"/>
  <c r="O223" i="1" s="1"/>
  <c r="G223" i="1"/>
  <c r="E223" i="1"/>
  <c r="L229" i="1"/>
  <c r="O229" i="1" s="1"/>
  <c r="G229" i="1"/>
  <c r="E229" i="1"/>
  <c r="L228" i="1"/>
  <c r="O228" i="1" s="1"/>
  <c r="G228" i="1"/>
  <c r="E228" i="1"/>
  <c r="L192" i="1"/>
  <c r="O192" i="1" s="1"/>
  <c r="G192" i="1"/>
  <c r="E192" i="1"/>
  <c r="L191" i="1"/>
  <c r="O191" i="1" s="1"/>
  <c r="G191" i="1"/>
  <c r="E191" i="1"/>
  <c r="L222" i="1"/>
  <c r="O222" i="1" s="1"/>
  <c r="G222" i="1"/>
  <c r="E222" i="1"/>
  <c r="L221" i="1"/>
  <c r="O221" i="1" s="1"/>
  <c r="G221" i="1"/>
  <c r="E221" i="1"/>
  <c r="L202" i="1"/>
  <c r="O202" i="1" s="1"/>
  <c r="G202" i="1"/>
  <c r="E202" i="1"/>
  <c r="L201" i="1"/>
  <c r="O201" i="1" s="1"/>
  <c r="G201" i="1"/>
  <c r="E201" i="1"/>
  <c r="L200" i="1"/>
  <c r="O200" i="1" s="1"/>
  <c r="G200" i="1"/>
  <c r="E200" i="1"/>
  <c r="L190" i="1"/>
  <c r="O190" i="1" s="1"/>
  <c r="G190" i="1"/>
  <c r="E190" i="1"/>
  <c r="L199" i="1"/>
  <c r="O199" i="1" s="1"/>
  <c r="G199" i="1"/>
  <c r="E199" i="1"/>
  <c r="L198" i="1"/>
  <c r="O198" i="1" s="1"/>
  <c r="G198" i="1"/>
  <c r="E198" i="1"/>
  <c r="L227" i="1"/>
  <c r="O227" i="1" s="1"/>
  <c r="G227" i="1"/>
  <c r="E227" i="1"/>
  <c r="L220" i="1"/>
  <c r="O220" i="1" s="1"/>
  <c r="G220" i="1"/>
  <c r="E220" i="1"/>
  <c r="L189" i="1"/>
  <c r="O189" i="1" s="1"/>
  <c r="G189" i="1"/>
  <c r="E189" i="1"/>
  <c r="L197" i="1"/>
  <c r="O197" i="1" s="1"/>
  <c r="G197" i="1"/>
  <c r="E197" i="1"/>
  <c r="L188" i="1"/>
  <c r="O188" i="1" s="1"/>
  <c r="G188" i="1"/>
  <c r="E188" i="1"/>
  <c r="L182" i="1"/>
  <c r="O182" i="1" s="1"/>
  <c r="G182" i="1"/>
  <c r="E182" i="1"/>
  <c r="L219" i="1"/>
  <c r="O219" i="1" s="1"/>
  <c r="G219" i="1"/>
  <c r="E219" i="1"/>
  <c r="L181" i="1"/>
  <c r="O181" i="1" s="1"/>
  <c r="G181" i="1"/>
  <c r="E181" i="1"/>
  <c r="L187" i="1"/>
  <c r="O187" i="1" s="1"/>
  <c r="G187" i="1"/>
  <c r="E187" i="1"/>
  <c r="L180" i="1"/>
  <c r="O180" i="1" s="1"/>
  <c r="G180" i="1"/>
  <c r="E180" i="1"/>
  <c r="L196" i="1"/>
  <c r="O196" i="1" s="1"/>
  <c r="G196" i="1"/>
  <c r="E196" i="1"/>
  <c r="L179" i="1"/>
  <c r="O179" i="1" s="1"/>
  <c r="G179" i="1"/>
  <c r="E179" i="1"/>
  <c r="L178" i="1"/>
  <c r="O178" i="1" s="1"/>
  <c r="G178" i="1"/>
  <c r="E178" i="1"/>
  <c r="L210" i="1"/>
  <c r="O210" i="1" s="1"/>
  <c r="G210" i="1"/>
  <c r="E210" i="1"/>
  <c r="L195" i="1"/>
  <c r="O195" i="1" s="1"/>
  <c r="G195" i="1"/>
  <c r="E195" i="1"/>
  <c r="L177" i="1"/>
  <c r="O177" i="1" s="1"/>
  <c r="G177" i="1"/>
  <c r="E177" i="1"/>
  <c r="L176" i="1"/>
  <c r="O176" i="1" s="1"/>
  <c r="G176" i="1"/>
  <c r="E176" i="1"/>
  <c r="L175" i="1"/>
  <c r="O175" i="1" s="1"/>
  <c r="G175" i="1"/>
  <c r="E175" i="1"/>
  <c r="L174" i="1"/>
  <c r="O174" i="1" s="1"/>
  <c r="G174" i="1"/>
  <c r="E174" i="1"/>
  <c r="L173" i="1"/>
  <c r="O173" i="1" s="1"/>
  <c r="G173" i="1"/>
  <c r="E173" i="1"/>
  <c r="L172" i="1"/>
  <c r="O172" i="1" s="1"/>
  <c r="G172" i="1"/>
  <c r="E172" i="1"/>
  <c r="L171" i="1"/>
  <c r="O171" i="1" s="1"/>
  <c r="G171" i="1"/>
  <c r="E171" i="1"/>
  <c r="L170" i="1"/>
  <c r="O170" i="1" s="1"/>
  <c r="G170" i="1"/>
  <c r="E170" i="1"/>
  <c r="L169" i="1"/>
  <c r="O169" i="1" s="1"/>
  <c r="G169" i="1"/>
  <c r="E169" i="1"/>
  <c r="L168" i="1"/>
  <c r="O168" i="1" s="1"/>
  <c r="G168" i="1"/>
  <c r="E168" i="1"/>
  <c r="L186" i="1"/>
  <c r="O186" i="1" s="1"/>
  <c r="G186" i="1"/>
  <c r="E186" i="1"/>
  <c r="L185" i="1"/>
  <c r="O185" i="1" s="1"/>
  <c r="G185" i="1"/>
  <c r="E185" i="1"/>
  <c r="L231" i="1"/>
  <c r="O231" i="1" s="1"/>
  <c r="G231" i="1"/>
  <c r="E231" i="1"/>
  <c r="L217" i="1"/>
  <c r="O217" i="1" s="1"/>
  <c r="G217" i="1"/>
  <c r="E217" i="1"/>
  <c r="L184" i="1"/>
  <c r="O184" i="1" s="1"/>
  <c r="G184" i="1"/>
  <c r="E184" i="1"/>
  <c r="L194" i="1"/>
  <c r="O194" i="1" s="1"/>
  <c r="G194" i="1"/>
  <c r="E194" i="1"/>
  <c r="L183" i="1"/>
  <c r="O183" i="1" s="1"/>
  <c r="G183" i="1"/>
  <c r="E183" i="1"/>
  <c r="L216" i="1"/>
  <c r="O216" i="1" s="1"/>
  <c r="G216" i="1"/>
  <c r="E216" i="1"/>
  <c r="L193" i="1"/>
  <c r="O193" i="1" s="1"/>
  <c r="G193" i="1"/>
  <c r="E193" i="1"/>
  <c r="L167" i="1"/>
  <c r="O167" i="1" s="1"/>
  <c r="G167" i="1"/>
  <c r="E167" i="1"/>
  <c r="L166" i="1"/>
  <c r="O166" i="1" s="1"/>
  <c r="G166" i="1"/>
  <c r="E166" i="1"/>
  <c r="L165" i="1"/>
  <c r="O165" i="1" s="1"/>
  <c r="G165" i="1"/>
  <c r="E165" i="1"/>
  <c r="L164" i="1"/>
  <c r="O164" i="1" s="1"/>
  <c r="G164" i="1"/>
  <c r="E164" i="1"/>
  <c r="L163" i="1"/>
  <c r="O163" i="1" s="1"/>
  <c r="G163" i="1"/>
  <c r="E163" i="1"/>
  <c r="L162" i="1"/>
  <c r="O162" i="1" s="1"/>
  <c r="G162" i="1"/>
  <c r="E162" i="1"/>
  <c r="L152" i="1"/>
  <c r="O152" i="1" s="1"/>
  <c r="G152" i="1"/>
  <c r="E152" i="1"/>
  <c r="L161" i="1"/>
  <c r="O161" i="1" s="1"/>
  <c r="G161" i="1"/>
  <c r="E161" i="1"/>
  <c r="L151" i="1"/>
  <c r="O151" i="1" s="1"/>
  <c r="G151" i="1"/>
  <c r="E151" i="1"/>
  <c r="L160" i="1"/>
  <c r="O160" i="1" s="1"/>
  <c r="G160" i="1"/>
  <c r="E160" i="1"/>
  <c r="L215" i="1"/>
  <c r="O215" i="1" s="1"/>
  <c r="G215" i="1"/>
  <c r="E215" i="1"/>
  <c r="L159" i="1"/>
  <c r="O159" i="1" s="1"/>
  <c r="G159" i="1"/>
  <c r="E159" i="1"/>
  <c r="L158" i="1"/>
  <c r="O158" i="1" s="1"/>
  <c r="G158" i="1"/>
  <c r="E158" i="1"/>
  <c r="L157" i="1"/>
  <c r="O157" i="1" s="1"/>
  <c r="G157" i="1"/>
  <c r="E157" i="1"/>
  <c r="L214" i="1"/>
  <c r="O214" i="1" s="1"/>
  <c r="G214" i="1"/>
  <c r="E214" i="1"/>
  <c r="L150" i="1"/>
  <c r="O150" i="1" s="1"/>
  <c r="G150" i="1"/>
  <c r="E150" i="1"/>
  <c r="L149" i="1"/>
  <c r="O149" i="1" s="1"/>
  <c r="G149" i="1"/>
  <c r="E149" i="1"/>
  <c r="L209" i="1"/>
  <c r="O209" i="1" s="1"/>
  <c r="G209" i="1"/>
  <c r="E209" i="1"/>
  <c r="L208" i="1"/>
  <c r="O208" i="1" s="1"/>
  <c r="G208" i="1"/>
  <c r="E208" i="1"/>
  <c r="L156" i="1"/>
  <c r="O156" i="1" s="1"/>
  <c r="G156" i="1"/>
  <c r="E156" i="1"/>
  <c r="L155" i="1"/>
  <c r="O155" i="1" s="1"/>
  <c r="G155" i="1"/>
  <c r="E155" i="1"/>
  <c r="L154" i="1"/>
  <c r="O154" i="1" s="1"/>
  <c r="G154" i="1"/>
  <c r="E154" i="1"/>
  <c r="L153" i="1"/>
  <c r="O153" i="1" s="1"/>
  <c r="G153" i="1"/>
  <c r="E153" i="1"/>
  <c r="L148" i="1"/>
  <c r="O148" i="1" s="1"/>
  <c r="G148" i="1"/>
  <c r="E148" i="1"/>
  <c r="L147" i="1"/>
  <c r="O147" i="1" s="1"/>
  <c r="G147" i="1"/>
  <c r="E147" i="1"/>
  <c r="L146" i="1"/>
  <c r="O146" i="1" s="1"/>
  <c r="G146" i="1"/>
  <c r="E146" i="1"/>
  <c r="L207" i="1"/>
  <c r="O207" i="1" s="1"/>
  <c r="G207" i="1"/>
  <c r="E207" i="1"/>
  <c r="L206" i="1"/>
  <c r="O206" i="1" s="1"/>
  <c r="G206" i="1"/>
  <c r="E206" i="1"/>
  <c r="L145" i="1"/>
  <c r="O145" i="1" s="1"/>
  <c r="G145" i="1"/>
  <c r="E145" i="1"/>
  <c r="L144" i="1"/>
  <c r="O144" i="1" s="1"/>
  <c r="G144" i="1"/>
  <c r="E144" i="1"/>
  <c r="L143" i="1"/>
  <c r="O143" i="1" s="1"/>
  <c r="G143" i="1"/>
  <c r="E143" i="1"/>
  <c r="L142" i="1"/>
  <c r="O142" i="1" s="1"/>
  <c r="G142" i="1"/>
  <c r="E142" i="1"/>
  <c r="L141" i="1"/>
  <c r="O141" i="1" s="1"/>
  <c r="G141" i="1"/>
  <c r="E141" i="1"/>
  <c r="L126" i="1"/>
  <c r="O126" i="1" s="1"/>
  <c r="G126" i="1"/>
  <c r="E126" i="1"/>
  <c r="L125" i="1"/>
  <c r="O125" i="1" s="1"/>
  <c r="G125" i="1"/>
  <c r="E125" i="1"/>
  <c r="L124" i="1"/>
  <c r="O124" i="1" s="1"/>
  <c r="G124" i="1"/>
  <c r="E124" i="1"/>
  <c r="L140" i="1"/>
  <c r="O140" i="1" s="1"/>
  <c r="G140" i="1"/>
  <c r="E140" i="1"/>
  <c r="L123" i="1"/>
  <c r="O123" i="1" s="1"/>
  <c r="G123" i="1"/>
  <c r="E123" i="1"/>
  <c r="L122" i="1"/>
  <c r="O122" i="1" s="1"/>
  <c r="G122" i="1"/>
  <c r="E122" i="1"/>
  <c r="L139" i="1"/>
  <c r="O139" i="1" s="1"/>
  <c r="G139" i="1"/>
  <c r="E139" i="1"/>
  <c r="L138" i="1"/>
  <c r="O138" i="1" s="1"/>
  <c r="G138" i="1"/>
  <c r="E138" i="1"/>
  <c r="L137" i="1"/>
  <c r="O137" i="1" s="1"/>
  <c r="G137" i="1"/>
  <c r="E137" i="1"/>
  <c r="L136" i="1"/>
  <c r="O136" i="1" s="1"/>
  <c r="G136" i="1"/>
  <c r="E136" i="1"/>
  <c r="L135" i="1"/>
  <c r="O135" i="1" s="1"/>
  <c r="G135" i="1"/>
  <c r="E135" i="1"/>
  <c r="L134" i="1"/>
  <c r="O134" i="1" s="1"/>
  <c r="G134" i="1"/>
  <c r="E134" i="1"/>
  <c r="L133" i="1"/>
  <c r="O133" i="1" s="1"/>
  <c r="G133" i="1"/>
  <c r="E133" i="1"/>
  <c r="L132" i="1"/>
  <c r="O132" i="1" s="1"/>
  <c r="G132" i="1"/>
  <c r="E132" i="1"/>
  <c r="L213" i="1"/>
  <c r="O213" i="1" s="1"/>
  <c r="G213" i="1"/>
  <c r="E213" i="1"/>
  <c r="L121" i="1"/>
  <c r="O121" i="1" s="1"/>
  <c r="G121" i="1"/>
  <c r="E121" i="1"/>
  <c r="L120" i="1"/>
  <c r="O120" i="1" s="1"/>
  <c r="G120" i="1"/>
  <c r="E120" i="1"/>
  <c r="L131" i="1"/>
  <c r="O131" i="1" s="1"/>
  <c r="G131" i="1"/>
  <c r="E131" i="1"/>
  <c r="L130" i="1"/>
  <c r="O130" i="1" s="1"/>
  <c r="G130" i="1"/>
  <c r="E130" i="1"/>
  <c r="L129" i="1"/>
  <c r="O129" i="1" s="1"/>
  <c r="G129" i="1"/>
  <c r="E129" i="1"/>
  <c r="L128" i="1"/>
  <c r="O128" i="1" s="1"/>
  <c r="G128" i="1"/>
  <c r="E128" i="1"/>
  <c r="L119" i="1"/>
  <c r="O119" i="1" s="1"/>
  <c r="G119" i="1"/>
  <c r="E119" i="1"/>
  <c r="L118" i="1"/>
  <c r="O118" i="1" s="1"/>
  <c r="G118" i="1"/>
  <c r="E118" i="1"/>
  <c r="L218" i="1"/>
  <c r="O218" i="1" s="1"/>
  <c r="G218" i="1"/>
  <c r="E218" i="1"/>
  <c r="L112" i="1"/>
  <c r="O112" i="1" s="1"/>
  <c r="G112" i="1"/>
  <c r="E112" i="1"/>
  <c r="L111" i="1"/>
  <c r="O111" i="1" s="1"/>
  <c r="G111" i="1"/>
  <c r="E111" i="1"/>
  <c r="L110" i="1"/>
  <c r="O110" i="1" s="1"/>
  <c r="G110" i="1"/>
  <c r="E110" i="1"/>
  <c r="L117" i="1"/>
  <c r="O117" i="1" s="1"/>
  <c r="G117" i="1"/>
  <c r="E117" i="1"/>
  <c r="L98" i="1"/>
  <c r="O98" i="1" s="1"/>
  <c r="G98" i="1"/>
  <c r="E98" i="1"/>
  <c r="L97" i="1"/>
  <c r="O97" i="1" s="1"/>
  <c r="G97" i="1"/>
  <c r="E97" i="1"/>
  <c r="L116" i="1"/>
  <c r="O116" i="1" s="1"/>
  <c r="G116" i="1"/>
  <c r="E116" i="1"/>
  <c r="L96" i="1"/>
  <c r="O96" i="1" s="1"/>
  <c r="G96" i="1"/>
  <c r="E96" i="1"/>
  <c r="L115" i="1"/>
  <c r="O115" i="1" s="1"/>
  <c r="G115" i="1"/>
  <c r="E115" i="1"/>
  <c r="L95" i="1"/>
  <c r="O95" i="1" s="1"/>
  <c r="G95" i="1"/>
  <c r="E95" i="1"/>
  <c r="L114" i="1"/>
  <c r="O114" i="1" s="1"/>
  <c r="G114" i="1"/>
  <c r="E114" i="1"/>
  <c r="L94" i="1"/>
  <c r="O94" i="1" s="1"/>
  <c r="G94" i="1"/>
  <c r="E94" i="1"/>
  <c r="L93" i="1"/>
  <c r="O93" i="1" s="1"/>
  <c r="G93" i="1"/>
  <c r="E93" i="1"/>
  <c r="L113" i="1"/>
  <c r="O113" i="1" s="1"/>
  <c r="G113" i="1"/>
  <c r="E113" i="1"/>
  <c r="L92" i="1"/>
  <c r="O92" i="1" s="1"/>
  <c r="G92" i="1"/>
  <c r="E92" i="1"/>
  <c r="L91" i="1"/>
  <c r="O91" i="1" s="1"/>
  <c r="G91" i="1"/>
  <c r="E91" i="1"/>
  <c r="L90" i="1"/>
  <c r="O90" i="1" s="1"/>
  <c r="G90" i="1"/>
  <c r="E90" i="1"/>
  <c r="L89" i="1"/>
  <c r="O89" i="1" s="1"/>
  <c r="G89" i="1"/>
  <c r="E89" i="1"/>
  <c r="L109" i="1"/>
  <c r="O109" i="1" s="1"/>
  <c r="G109" i="1"/>
  <c r="E109" i="1"/>
  <c r="L108" i="1"/>
  <c r="O108" i="1" s="1"/>
  <c r="G108" i="1"/>
  <c r="E108" i="1"/>
  <c r="L88" i="1"/>
  <c r="O88" i="1" s="1"/>
  <c r="G88" i="1"/>
  <c r="E88" i="1"/>
  <c r="L212" i="1"/>
  <c r="O212" i="1" s="1"/>
  <c r="G212" i="1"/>
  <c r="E212" i="1"/>
  <c r="L211" i="1"/>
  <c r="O211" i="1" s="1"/>
  <c r="G211" i="1"/>
  <c r="E211" i="1"/>
  <c r="L205" i="1"/>
  <c r="O205" i="1" s="1"/>
  <c r="G205" i="1"/>
  <c r="E205" i="1"/>
  <c r="L127" i="1"/>
  <c r="O127" i="1" s="1"/>
  <c r="G127" i="1"/>
  <c r="E127" i="1"/>
  <c r="L87" i="1"/>
  <c r="O87" i="1" s="1"/>
  <c r="G87" i="1"/>
  <c r="E87" i="1"/>
  <c r="L86" i="1"/>
  <c r="O86" i="1" s="1"/>
  <c r="G86" i="1"/>
  <c r="E86" i="1"/>
  <c r="L85" i="1"/>
  <c r="O85" i="1" s="1"/>
  <c r="G85" i="1"/>
  <c r="E85" i="1"/>
  <c r="L84" i="1"/>
  <c r="O84" i="1" s="1"/>
  <c r="G84" i="1"/>
  <c r="E84" i="1"/>
  <c r="L83" i="1"/>
  <c r="O83" i="1" s="1"/>
  <c r="G83" i="1"/>
  <c r="E83" i="1"/>
  <c r="L82" i="1"/>
  <c r="O82" i="1" s="1"/>
  <c r="G82" i="1"/>
  <c r="E82" i="1"/>
  <c r="L81" i="1"/>
  <c r="O81" i="1" s="1"/>
  <c r="G81" i="1"/>
  <c r="E81" i="1"/>
  <c r="L80" i="1"/>
  <c r="O80" i="1" s="1"/>
  <c r="G80" i="1"/>
  <c r="E80" i="1"/>
  <c r="L79" i="1"/>
  <c r="O79" i="1" s="1"/>
  <c r="G79" i="1"/>
  <c r="E79" i="1"/>
  <c r="L78" i="1"/>
  <c r="O78" i="1" s="1"/>
  <c r="G78" i="1"/>
  <c r="E78" i="1"/>
  <c r="L77" i="1"/>
  <c r="O77" i="1" s="1"/>
  <c r="G77" i="1"/>
  <c r="E77" i="1"/>
  <c r="L76" i="1"/>
  <c r="O76" i="1" s="1"/>
  <c r="G76" i="1"/>
  <c r="E76" i="1"/>
  <c r="L75" i="1"/>
  <c r="O75" i="1" s="1"/>
  <c r="G75" i="1"/>
  <c r="E75" i="1"/>
  <c r="L74" i="1"/>
  <c r="O74" i="1" s="1"/>
  <c r="G74" i="1"/>
  <c r="E74" i="1"/>
  <c r="L1040" i="1"/>
  <c r="O1040" i="1" s="1"/>
  <c r="G1040" i="1"/>
  <c r="E1040" i="1"/>
  <c r="L1039" i="1"/>
  <c r="O1039" i="1" s="1"/>
  <c r="G1039" i="1"/>
  <c r="E1039" i="1"/>
  <c r="L73" i="1"/>
  <c r="O73" i="1" s="1"/>
  <c r="G73" i="1"/>
  <c r="E73" i="1"/>
  <c r="L72" i="1"/>
  <c r="O72" i="1" s="1"/>
  <c r="G72" i="1"/>
  <c r="E72" i="1"/>
  <c r="L71" i="1"/>
  <c r="O71" i="1" s="1"/>
  <c r="G71" i="1"/>
  <c r="E71" i="1"/>
  <c r="L61" i="1"/>
  <c r="O61" i="1" s="1"/>
  <c r="G61" i="1"/>
  <c r="E61" i="1"/>
  <c r="L60" i="1"/>
  <c r="O60" i="1" s="1"/>
  <c r="G60" i="1"/>
  <c r="E60" i="1"/>
  <c r="L59" i="1"/>
  <c r="O59" i="1" s="1"/>
  <c r="G59" i="1"/>
  <c r="E59" i="1"/>
  <c r="L70" i="1"/>
  <c r="O70" i="1" s="1"/>
  <c r="G70" i="1"/>
  <c r="E70" i="1"/>
  <c r="L69" i="1"/>
  <c r="O69" i="1" s="1"/>
  <c r="G69" i="1"/>
  <c r="E69" i="1"/>
  <c r="L68" i="1"/>
  <c r="O68" i="1" s="1"/>
  <c r="G68" i="1"/>
  <c r="E68" i="1"/>
  <c r="L67" i="1"/>
  <c r="O67" i="1" s="1"/>
  <c r="G67" i="1"/>
  <c r="E67" i="1"/>
  <c r="L66" i="1"/>
  <c r="O66" i="1" s="1"/>
  <c r="G66" i="1"/>
  <c r="E66" i="1"/>
  <c r="L65" i="1"/>
  <c r="O65" i="1" s="1"/>
  <c r="G65" i="1"/>
  <c r="E65" i="1"/>
  <c r="L64" i="1"/>
  <c r="O64" i="1" s="1"/>
  <c r="G64" i="1"/>
  <c r="E64" i="1"/>
  <c r="L63" i="1"/>
  <c r="O63" i="1" s="1"/>
  <c r="G63" i="1"/>
  <c r="E63" i="1"/>
  <c r="L62" i="1"/>
  <c r="O62" i="1" s="1"/>
  <c r="G62" i="1"/>
  <c r="E62" i="1"/>
  <c r="L58" i="1"/>
  <c r="O58" i="1" s="1"/>
  <c r="G58" i="1"/>
  <c r="E58" i="1"/>
  <c r="L57" i="1"/>
  <c r="O57" i="1" s="1"/>
  <c r="G57" i="1"/>
  <c r="E57" i="1"/>
  <c r="L56" i="1"/>
  <c r="O56" i="1" s="1"/>
  <c r="G56" i="1"/>
  <c r="E56" i="1"/>
  <c r="L55" i="1"/>
  <c r="O55" i="1" s="1"/>
  <c r="G55" i="1"/>
  <c r="E55" i="1"/>
  <c r="L54" i="1"/>
  <c r="O54" i="1" s="1"/>
  <c r="G54" i="1"/>
  <c r="E54" i="1"/>
  <c r="L50" i="1"/>
  <c r="O50" i="1" s="1"/>
  <c r="G50" i="1"/>
  <c r="E50" i="1"/>
  <c r="L49" i="1"/>
  <c r="O49" i="1" s="1"/>
  <c r="G49" i="1"/>
  <c r="E49" i="1"/>
  <c r="L48" i="1"/>
  <c r="O48" i="1" s="1"/>
  <c r="G48" i="1"/>
  <c r="E48" i="1"/>
  <c r="L47" i="1"/>
  <c r="O47" i="1" s="1"/>
  <c r="G47" i="1"/>
  <c r="E47" i="1"/>
  <c r="L44" i="1"/>
  <c r="O44" i="1" s="1"/>
  <c r="G44" i="1"/>
  <c r="E44" i="1"/>
  <c r="L46" i="1"/>
  <c r="O46" i="1" s="1"/>
  <c r="G46" i="1"/>
  <c r="E46" i="1"/>
  <c r="L43" i="1"/>
  <c r="O43" i="1" s="1"/>
  <c r="G43" i="1"/>
  <c r="E43" i="1"/>
  <c r="L42" i="1"/>
  <c r="O42" i="1" s="1"/>
  <c r="G42" i="1"/>
  <c r="E42" i="1"/>
  <c r="L41" i="1"/>
  <c r="O41" i="1" s="1"/>
  <c r="G41" i="1"/>
  <c r="E41" i="1"/>
  <c r="L40" i="1"/>
  <c r="O40" i="1" s="1"/>
  <c r="G40" i="1"/>
  <c r="E40" i="1"/>
  <c r="L39" i="1"/>
  <c r="O39" i="1" s="1"/>
  <c r="G39" i="1"/>
  <c r="E39" i="1"/>
  <c r="L38" i="1"/>
  <c r="O38" i="1" s="1"/>
  <c r="G38" i="1"/>
  <c r="E38" i="1"/>
  <c r="L37" i="1"/>
  <c r="O37" i="1" s="1"/>
  <c r="G37" i="1"/>
  <c r="E37" i="1"/>
  <c r="L36" i="1"/>
  <c r="O36" i="1" s="1"/>
  <c r="G36" i="1"/>
  <c r="E36" i="1"/>
  <c r="L35" i="1"/>
  <c r="O35" i="1" s="1"/>
  <c r="G35" i="1"/>
  <c r="E35" i="1"/>
  <c r="L34" i="1"/>
  <c r="O34" i="1" s="1"/>
  <c r="G34" i="1"/>
  <c r="E34" i="1"/>
  <c r="L33" i="1"/>
  <c r="O33" i="1" s="1"/>
  <c r="G33" i="1"/>
  <c r="E33" i="1"/>
  <c r="L32" i="1"/>
  <c r="O32" i="1" s="1"/>
  <c r="G32" i="1"/>
  <c r="E32" i="1"/>
  <c r="L31" i="1"/>
  <c r="O31" i="1" s="1"/>
  <c r="G31" i="1"/>
  <c r="E31" i="1"/>
  <c r="L30" i="1"/>
  <c r="O30" i="1" s="1"/>
  <c r="G30" i="1"/>
  <c r="E30" i="1"/>
  <c r="L29" i="1"/>
  <c r="O29" i="1" s="1"/>
  <c r="G29" i="1"/>
  <c r="E29" i="1"/>
  <c r="L28" i="1"/>
  <c r="O28" i="1" s="1"/>
  <c r="G28" i="1"/>
  <c r="E28" i="1"/>
  <c r="L53" i="1"/>
  <c r="O53" i="1" s="1"/>
  <c r="G53" i="1"/>
  <c r="E53" i="1"/>
  <c r="L27" i="1"/>
  <c r="O27" i="1" s="1"/>
  <c r="G27" i="1"/>
  <c r="E27" i="1"/>
  <c r="L26" i="1"/>
  <c r="O26" i="1" s="1"/>
  <c r="G26" i="1"/>
  <c r="E26" i="1"/>
  <c r="L25" i="1"/>
  <c r="O25" i="1" s="1"/>
  <c r="G25" i="1"/>
  <c r="E25" i="1"/>
  <c r="L24" i="1"/>
  <c r="O24" i="1" s="1"/>
  <c r="G24" i="1"/>
  <c r="E24" i="1"/>
  <c r="L45" i="1"/>
  <c r="O45" i="1" s="1"/>
  <c r="G45" i="1"/>
  <c r="E45" i="1"/>
  <c r="L23" i="1"/>
  <c r="O23" i="1" s="1"/>
  <c r="G23" i="1"/>
  <c r="E23" i="1"/>
  <c r="L22" i="1"/>
  <c r="O22" i="1" s="1"/>
  <c r="G22" i="1"/>
  <c r="E22" i="1"/>
  <c r="L21" i="1"/>
  <c r="O21" i="1" s="1"/>
  <c r="G21" i="1"/>
  <c r="E21" i="1"/>
  <c r="L20" i="1"/>
  <c r="O20" i="1" s="1"/>
  <c r="G20" i="1"/>
  <c r="E20" i="1"/>
  <c r="L19" i="1"/>
  <c r="O19" i="1" s="1"/>
  <c r="G19" i="1"/>
  <c r="E19" i="1"/>
  <c r="L18" i="1"/>
  <c r="O18" i="1" s="1"/>
  <c r="G18" i="1"/>
  <c r="E18" i="1"/>
  <c r="L8" i="1"/>
  <c r="O8" i="1" s="1"/>
  <c r="G8" i="1"/>
  <c r="E8" i="1"/>
  <c r="L7" i="1"/>
  <c r="O7" i="1" s="1"/>
  <c r="G7" i="1"/>
  <c r="E7" i="1"/>
  <c r="L107" i="1"/>
  <c r="O107" i="1" s="1"/>
  <c r="G107" i="1"/>
  <c r="E107" i="1"/>
  <c r="L6" i="1"/>
  <c r="O6" i="1" s="1"/>
  <c r="G6" i="1"/>
  <c r="E6" i="1"/>
  <c r="L106" i="1"/>
  <c r="O106" i="1" s="1"/>
  <c r="G106" i="1"/>
  <c r="E106" i="1"/>
  <c r="L204" i="1"/>
  <c r="O204" i="1" s="1"/>
  <c r="G204" i="1"/>
  <c r="E204" i="1"/>
  <c r="L5" i="1"/>
  <c r="O5" i="1" s="1"/>
  <c r="G5" i="1"/>
  <c r="E5" i="1"/>
  <c r="L1038" i="1"/>
  <c r="O1038" i="1" s="1"/>
  <c r="G1038" i="1"/>
  <c r="E1038" i="1"/>
  <c r="L1037" i="1"/>
  <c r="O1037" i="1" s="1"/>
  <c r="G1037" i="1"/>
  <c r="E1037" i="1"/>
  <c r="L1036" i="1"/>
  <c r="O1036" i="1" s="1"/>
  <c r="G1036" i="1"/>
  <c r="E1036" i="1"/>
  <c r="L1035" i="1"/>
  <c r="O1035" i="1" s="1"/>
  <c r="G1035" i="1"/>
  <c r="E1035" i="1"/>
  <c r="L1034" i="1"/>
  <c r="O1034" i="1" s="1"/>
  <c r="G1034" i="1"/>
  <c r="E1034" i="1"/>
  <c r="L203" i="1"/>
  <c r="O203" i="1" s="1"/>
  <c r="G203" i="1"/>
  <c r="E203" i="1"/>
  <c r="L3" i="1"/>
  <c r="O3" i="1" s="1"/>
  <c r="G3" i="1"/>
  <c r="E3" i="1"/>
  <c r="L2" i="1"/>
  <c r="O2" i="1" s="1"/>
  <c r="G2" i="1"/>
  <c r="E2" i="1"/>
  <c r="L52" i="1"/>
  <c r="O52" i="1" s="1"/>
  <c r="G52" i="1"/>
  <c r="E52" i="1"/>
  <c r="L51" i="1"/>
  <c r="O51" i="1" s="1"/>
  <c r="G51" i="1"/>
  <c r="E51" i="1"/>
  <c r="L1033" i="1"/>
  <c r="O1033" i="1" s="1"/>
  <c r="G1033" i="1"/>
  <c r="E1033" i="1"/>
  <c r="L105" i="1"/>
  <c r="O105" i="1" s="1"/>
  <c r="G105" i="1"/>
  <c r="E105" i="1"/>
  <c r="L17" i="1"/>
  <c r="O17" i="1" s="1"/>
  <c r="G17" i="1"/>
  <c r="E17" i="1"/>
  <c r="L104" i="1"/>
  <c r="O104" i="1" s="1"/>
  <c r="G104" i="1"/>
  <c r="E104" i="1"/>
  <c r="L16" i="1"/>
  <c r="O16" i="1" s="1"/>
  <c r="G16" i="1"/>
  <c r="E16" i="1"/>
  <c r="L14" i="1"/>
  <c r="O14" i="1" s="1"/>
  <c r="G14" i="1"/>
  <c r="E14" i="1"/>
  <c r="L13" i="1"/>
  <c r="O13" i="1" s="1"/>
  <c r="G13" i="1"/>
  <c r="E13" i="1"/>
  <c r="L103" i="1"/>
  <c r="O103" i="1" s="1"/>
  <c r="G103" i="1"/>
  <c r="E103" i="1"/>
  <c r="L4" i="1"/>
  <c r="O4" i="1" s="1"/>
  <c r="H4" i="1"/>
  <c r="E4" i="1"/>
  <c r="L12" i="1"/>
  <c r="O12" i="1" s="1"/>
  <c r="G12" i="1"/>
  <c r="E12" i="1"/>
  <c r="L11" i="1"/>
  <c r="O11" i="1" s="1"/>
  <c r="G11" i="1"/>
  <c r="E11" i="1"/>
  <c r="L102" i="1"/>
  <c r="O102" i="1" s="1"/>
  <c r="G102" i="1"/>
  <c r="E102" i="1"/>
  <c r="L101" i="1"/>
  <c r="O101" i="1" s="1"/>
  <c r="G101" i="1"/>
  <c r="E101" i="1"/>
  <c r="L10" i="1"/>
  <c r="O10" i="1" s="1"/>
  <c r="G10" i="1"/>
  <c r="E10" i="1"/>
  <c r="L15" i="1"/>
  <c r="O15" i="1" s="1"/>
  <c r="G15" i="1"/>
  <c r="E15" i="1"/>
  <c r="L9" i="1"/>
  <c r="O9" i="1" s="1"/>
  <c r="G9" i="1"/>
  <c r="E9" i="1"/>
  <c r="L100" i="1"/>
  <c r="O100" i="1" s="1"/>
  <c r="G100" i="1"/>
  <c r="E100" i="1"/>
  <c r="L99" i="1"/>
  <c r="O99" i="1" s="1"/>
  <c r="G99" i="1"/>
  <c r="E99" i="1"/>
  <c r="B7" i="5" l="1"/>
  <c r="B1" i="5"/>
  <c r="B3" i="5"/>
  <c r="B2" i="5"/>
  <c r="B4" i="5"/>
  <c r="H100" i="1"/>
  <c r="H15" i="1"/>
  <c r="H99" i="1"/>
  <c r="H9" i="1"/>
  <c r="H10" i="1"/>
  <c r="H102" i="1"/>
  <c r="H12" i="1"/>
  <c r="H103" i="1"/>
  <c r="H14" i="1"/>
  <c r="H104" i="1"/>
  <c r="H105" i="1"/>
  <c r="H51" i="1"/>
  <c r="H2" i="1"/>
  <c r="H203" i="1"/>
  <c r="H1035" i="1"/>
  <c r="H1037" i="1"/>
  <c r="H5" i="1"/>
  <c r="H106" i="1"/>
  <c r="H107" i="1"/>
  <c r="H8" i="1"/>
  <c r="H19" i="1"/>
  <c r="H21" i="1"/>
  <c r="H23" i="1"/>
  <c r="H24" i="1"/>
  <c r="H26" i="1"/>
  <c r="H53" i="1"/>
  <c r="H29" i="1"/>
  <c r="H31" i="1"/>
  <c r="H33" i="1"/>
  <c r="H35" i="1"/>
  <c r="H37" i="1"/>
  <c r="H39" i="1"/>
  <c r="H41" i="1"/>
  <c r="H43" i="1"/>
  <c r="H44" i="1"/>
  <c r="H48" i="1"/>
  <c r="H50" i="1"/>
  <c r="H55" i="1"/>
  <c r="H57" i="1"/>
  <c r="H62" i="1"/>
  <c r="H64" i="1"/>
  <c r="H66" i="1"/>
  <c r="H68" i="1"/>
  <c r="H70" i="1"/>
  <c r="H60" i="1"/>
  <c r="H71" i="1"/>
  <c r="H73" i="1"/>
  <c r="H1040" i="1"/>
  <c r="H75" i="1"/>
  <c r="H77" i="1"/>
  <c r="H79" i="1"/>
  <c r="H81" i="1"/>
  <c r="H83" i="1"/>
  <c r="H85" i="1"/>
  <c r="H87" i="1"/>
  <c r="H205" i="1"/>
  <c r="H212" i="1"/>
  <c r="H108" i="1"/>
  <c r="H89" i="1"/>
  <c r="H91" i="1"/>
  <c r="H113" i="1"/>
  <c r="H94" i="1"/>
  <c r="H95" i="1"/>
  <c r="H96" i="1"/>
  <c r="H97" i="1"/>
  <c r="H117" i="1"/>
  <c r="H111" i="1"/>
  <c r="H218" i="1"/>
  <c r="H119" i="1"/>
  <c r="H129" i="1"/>
  <c r="H131" i="1"/>
  <c r="H121" i="1"/>
  <c r="H132" i="1"/>
  <c r="H134" i="1"/>
  <c r="H136" i="1"/>
  <c r="H138" i="1"/>
  <c r="H122" i="1"/>
  <c r="H140" i="1"/>
  <c r="H125" i="1"/>
  <c r="H141" i="1"/>
  <c r="H143" i="1"/>
  <c r="H145" i="1"/>
  <c r="H207" i="1"/>
  <c r="H147" i="1"/>
  <c r="H153" i="1"/>
  <c r="H155" i="1"/>
  <c r="H208" i="1"/>
  <c r="H149" i="1"/>
  <c r="H214" i="1"/>
  <c r="H158" i="1"/>
  <c r="H215" i="1"/>
  <c r="H151" i="1"/>
  <c r="H152" i="1"/>
  <c r="H163" i="1"/>
  <c r="H165" i="1"/>
  <c r="H167" i="1"/>
  <c r="H216" i="1"/>
  <c r="H194" i="1"/>
  <c r="H217" i="1"/>
  <c r="H185" i="1"/>
  <c r="H168" i="1"/>
  <c r="H170" i="1"/>
  <c r="H172" i="1"/>
  <c r="H174" i="1"/>
  <c r="H176" i="1"/>
  <c r="H195" i="1"/>
  <c r="H178" i="1"/>
  <c r="H196" i="1"/>
  <c r="H187" i="1"/>
  <c r="H219" i="1"/>
  <c r="H188" i="1"/>
  <c r="H189" i="1"/>
  <c r="H227" i="1"/>
  <c r="H199" i="1"/>
  <c r="H200" i="1"/>
  <c r="H202" i="1"/>
  <c r="H222" i="1"/>
  <c r="H192" i="1"/>
  <c r="H229" i="1"/>
  <c r="H224" i="1"/>
  <c r="H226" i="1"/>
  <c r="H1041" i="1"/>
  <c r="H233" i="1"/>
  <c r="H235" i="1"/>
  <c r="H237" i="1"/>
  <c r="H239" i="1"/>
  <c r="H241" i="1"/>
  <c r="H243" i="1"/>
  <c r="H245" i="1"/>
  <c r="H247" i="1"/>
  <c r="H249" i="1"/>
  <c r="H251" i="1"/>
  <c r="H253" i="1"/>
  <c r="H254" i="1"/>
  <c r="H257" i="1"/>
  <c r="H272" i="1"/>
  <c r="H258" i="1"/>
  <c r="H260" i="1"/>
  <c r="H262" i="1"/>
  <c r="H264" i="1"/>
  <c r="H265" i="1"/>
  <c r="H267" i="1"/>
  <c r="H269" i="1"/>
  <c r="H271" i="1"/>
  <c r="H274" i="1"/>
  <c r="H276" i="1"/>
  <c r="H278" i="1"/>
  <c r="H286" i="1"/>
  <c r="H288" i="1"/>
  <c r="H290" i="1"/>
  <c r="H292" i="1"/>
  <c r="H281" i="1"/>
  <c r="H283" i="1"/>
  <c r="H285" i="1"/>
  <c r="H294" i="1"/>
  <c r="H296" i="1"/>
  <c r="H298" i="1"/>
  <c r="H299" i="1"/>
  <c r="H301" i="1"/>
  <c r="H303" i="1"/>
  <c r="H309" i="1"/>
  <c r="H311" i="1"/>
  <c r="H313" i="1"/>
  <c r="H315" i="1"/>
  <c r="H317" i="1"/>
  <c r="H319" i="1"/>
  <c r="H321" i="1"/>
  <c r="H323" i="1"/>
  <c r="H325" i="1"/>
  <c r="H332" i="1"/>
  <c r="H328" i="1"/>
  <c r="H331" i="1"/>
  <c r="H1042" i="1"/>
  <c r="H333" i="1"/>
  <c r="H335" i="1"/>
  <c r="H336" i="1"/>
  <c r="H338" i="1"/>
  <c r="H340" i="1"/>
  <c r="H342" i="1"/>
  <c r="H343" i="1"/>
  <c r="H372" i="1"/>
  <c r="H345" i="1"/>
  <c r="H347" i="1"/>
  <c r="H349" i="1"/>
  <c r="H351" i="1"/>
  <c r="H414" i="1"/>
  <c r="H1044" i="1"/>
  <c r="H353" i="1"/>
  <c r="H355" i="1"/>
  <c r="H416" i="1"/>
  <c r="H357" i="1"/>
  <c r="H359" i="1"/>
  <c r="H361" i="1"/>
  <c r="H363" i="1"/>
  <c r="H365" i="1"/>
  <c r="H366" i="1"/>
  <c r="H368" i="1"/>
  <c r="H370" i="1"/>
  <c r="H375" i="1"/>
  <c r="H377" i="1"/>
  <c r="H379" i="1"/>
  <c r="H381" i="1"/>
  <c r="H383" i="1"/>
  <c r="H385" i="1"/>
  <c r="H387" i="1"/>
  <c r="H389" i="1"/>
  <c r="H391" i="1"/>
  <c r="H393" i="1"/>
  <c r="H395" i="1"/>
  <c r="H397" i="1"/>
  <c r="H399" i="1"/>
  <c r="H401" i="1"/>
  <c r="H403" i="1"/>
  <c r="H419" i="1"/>
  <c r="H406" i="1"/>
  <c r="H422" i="1"/>
  <c r="H424" i="1"/>
  <c r="H426" i="1"/>
  <c r="H428" i="1"/>
  <c r="H429" i="1"/>
  <c r="H408" i="1"/>
  <c r="H440" i="1"/>
  <c r="H409" i="1"/>
  <c r="H411" i="1"/>
  <c r="H433" i="1"/>
  <c r="H434" i="1"/>
  <c r="H436" i="1"/>
  <c r="H438" i="1"/>
  <c r="H439" i="1"/>
  <c r="H444" i="1"/>
  <c r="H446" i="1"/>
  <c r="H445" i="1"/>
  <c r="H473" i="1"/>
  <c r="H475" i="1"/>
  <c r="H477" i="1"/>
  <c r="H479" i="1"/>
  <c r="H458" i="1"/>
  <c r="H460" i="1"/>
  <c r="H481" i="1"/>
  <c r="H448" i="1"/>
  <c r="H461" i="1"/>
  <c r="H463" i="1"/>
  <c r="H464" i="1"/>
  <c r="H498" i="1"/>
  <c r="H466" i="1"/>
  <c r="H468" i="1"/>
  <c r="H482" i="1"/>
  <c r="H484" i="1"/>
  <c r="H486" i="1"/>
  <c r="H501" i="1"/>
  <c r="H503" i="1"/>
  <c r="H505" i="1"/>
  <c r="H488" i="1"/>
  <c r="H490" i="1"/>
  <c r="H492" i="1"/>
  <c r="H494" i="1"/>
  <c r="H450" i="1"/>
  <c r="H452" i="1"/>
  <c r="H453" i="1"/>
  <c r="H454" i="1"/>
  <c r="H507" i="1"/>
  <c r="H1046" i="1"/>
  <c r="H1048" i="1"/>
  <c r="H1050" i="1"/>
  <c r="H1052" i="1"/>
  <c r="H1054" i="1"/>
  <c r="H1056" i="1"/>
  <c r="H1058" i="1"/>
  <c r="H495" i="1"/>
  <c r="H508" i="1"/>
  <c r="H510" i="1"/>
  <c r="H512" i="1"/>
  <c r="H514" i="1"/>
  <c r="H516" i="1"/>
  <c r="H528" i="1"/>
  <c r="H530" i="1"/>
  <c r="H519" i="1"/>
  <c r="H531" i="1"/>
  <c r="H533" i="1"/>
  <c r="H535" i="1"/>
  <c r="H537" i="1"/>
  <c r="H521" i="1"/>
  <c r="H539" i="1"/>
  <c r="H540" i="1"/>
  <c r="H542" i="1"/>
  <c r="H524" i="1"/>
  <c r="H1060" i="1"/>
  <c r="H1062" i="1"/>
  <c r="H1064" i="1"/>
  <c r="H1066" i="1"/>
  <c r="H1068" i="1"/>
  <c r="H1070" i="1"/>
  <c r="H1072" i="1"/>
  <c r="H1074" i="1"/>
  <c r="H1076" i="1"/>
  <c r="H1078" i="1"/>
  <c r="H545" i="1"/>
  <c r="H547" i="1"/>
  <c r="H549" i="1"/>
  <c r="H551" i="1"/>
  <c r="H553" i="1"/>
  <c r="H555" i="1"/>
  <c r="H567" i="1"/>
  <c r="H569" i="1"/>
  <c r="H1080" i="1"/>
  <c r="H1082" i="1"/>
  <c r="H1084" i="1"/>
  <c r="H557" i="1"/>
  <c r="H559" i="1"/>
  <c r="H560" i="1"/>
  <c r="H1086" i="1"/>
  <c r="H563" i="1"/>
  <c r="H565" i="1"/>
  <c r="H1088" i="1"/>
  <c r="H1090" i="1"/>
  <c r="H1092" i="1"/>
  <c r="H1094" i="1"/>
  <c r="H1096" i="1"/>
  <c r="H1098" i="1"/>
  <c r="H1100" i="1"/>
  <c r="H1102" i="1"/>
  <c r="H1104" i="1"/>
  <c r="H1106" i="1"/>
  <c r="H1108" i="1"/>
  <c r="H1110" i="1"/>
  <c r="H1112" i="1"/>
  <c r="H570" i="1"/>
  <c r="H572" i="1"/>
  <c r="H574" i="1"/>
  <c r="H576" i="1"/>
  <c r="H578" i="1"/>
  <c r="H580" i="1"/>
  <c r="H582" i="1"/>
  <c r="H584" i="1"/>
  <c r="H586" i="1"/>
  <c r="H588" i="1"/>
  <c r="H590" i="1"/>
  <c r="H592" i="1"/>
  <c r="H594" i="1"/>
  <c r="H596" i="1"/>
  <c r="H598" i="1"/>
  <c r="H600" i="1"/>
  <c r="H604" i="1"/>
  <c r="H625" i="1"/>
  <c r="H633" i="1"/>
  <c r="H607" i="1"/>
  <c r="H603" i="1"/>
  <c r="H620" i="1"/>
  <c r="H626" i="1"/>
  <c r="H622" i="1"/>
  <c r="H627" i="1"/>
  <c r="H623" i="1"/>
  <c r="H629" i="1"/>
  <c r="H611" i="1"/>
  <c r="H630" i="1"/>
  <c r="H613" i="1"/>
  <c r="H615" i="1"/>
  <c r="H617" i="1"/>
  <c r="H632" i="1"/>
  <c r="H636" i="1"/>
  <c r="H638" i="1"/>
  <c r="H640" i="1"/>
  <c r="H642" i="1"/>
  <c r="H644" i="1"/>
  <c r="H1114" i="1"/>
  <c r="H656" i="1"/>
  <c r="H658" i="1"/>
  <c r="H650" i="1"/>
  <c r="H661" i="1"/>
  <c r="H652" i="1"/>
  <c r="H662" i="1"/>
  <c r="H664" i="1"/>
  <c r="H666" i="1"/>
  <c r="H655" i="1"/>
  <c r="H678" i="1"/>
  <c r="H647" i="1"/>
  <c r="H667" i="1"/>
  <c r="H668" i="1"/>
  <c r="H670" i="1"/>
  <c r="H679" i="1"/>
  <c r="H692" i="1"/>
  <c r="H680" i="1"/>
  <c r="H674" i="1"/>
  <c r="H676" i="1"/>
  <c r="H682" i="1"/>
  <c r="H684" i="1"/>
  <c r="H677" i="1"/>
  <c r="H686" i="1"/>
  <c r="H715" i="1"/>
  <c r="H716" i="1"/>
  <c r="H687" i="1"/>
  <c r="H700" i="1"/>
  <c r="H701" i="1"/>
  <c r="H703" i="1"/>
  <c r="H705" i="1"/>
  <c r="H718" i="1"/>
  <c r="H719" i="1"/>
  <c r="H689" i="1"/>
  <c r="H707" i="1"/>
  <c r="H709" i="1"/>
  <c r="H711" i="1"/>
  <c r="H720" i="1"/>
  <c r="H721" i="1"/>
  <c r="H1116" i="1"/>
  <c r="H1118" i="1"/>
  <c r="H1146" i="1"/>
  <c r="H1153" i="1"/>
  <c r="H101" i="1"/>
  <c r="H11" i="1"/>
  <c r="H13" i="1"/>
  <c r="H16" i="1"/>
  <c r="H17" i="1"/>
  <c r="H1033" i="1"/>
  <c r="H52" i="1"/>
  <c r="H3" i="1"/>
  <c r="H1034" i="1"/>
  <c r="H1036" i="1"/>
  <c r="H1038" i="1"/>
  <c r="H204" i="1"/>
  <c r="H6" i="1"/>
  <c r="H7" i="1"/>
  <c r="H18" i="1"/>
  <c r="H20" i="1"/>
  <c r="H22" i="1"/>
  <c r="H45" i="1"/>
  <c r="H25" i="1"/>
  <c r="H27" i="1"/>
  <c r="H28" i="1"/>
  <c r="H30" i="1"/>
  <c r="H32" i="1"/>
  <c r="H34" i="1"/>
  <c r="H36" i="1"/>
  <c r="H38" i="1"/>
  <c r="H40" i="1"/>
  <c r="H42" i="1"/>
  <c r="H46" i="1"/>
  <c r="H47" i="1"/>
  <c r="H49" i="1"/>
  <c r="H54" i="1"/>
  <c r="H56" i="1"/>
  <c r="H58" i="1"/>
  <c r="H63" i="1"/>
  <c r="H65" i="1"/>
  <c r="H67" i="1"/>
  <c r="H69" i="1"/>
  <c r="H59" i="1"/>
  <c r="H61" i="1"/>
  <c r="H72" i="1"/>
  <c r="H1039" i="1"/>
  <c r="H74" i="1"/>
  <c r="H76" i="1"/>
  <c r="H78" i="1"/>
  <c r="H80" i="1"/>
  <c r="H82" i="1"/>
  <c r="H84" i="1"/>
  <c r="H86" i="1"/>
  <c r="H127" i="1"/>
  <c r="H211" i="1"/>
  <c r="H88" i="1"/>
  <c r="H109" i="1"/>
  <c r="H90" i="1"/>
  <c r="H92" i="1"/>
  <c r="H93" i="1"/>
  <c r="H114" i="1"/>
  <c r="H115" i="1"/>
  <c r="H116" i="1"/>
  <c r="H98" i="1"/>
  <c r="H110" i="1"/>
  <c r="H112" i="1"/>
  <c r="H118" i="1"/>
  <c r="H128" i="1"/>
  <c r="H130" i="1"/>
  <c r="H120" i="1"/>
  <c r="H213" i="1"/>
  <c r="H133" i="1"/>
  <c r="H135" i="1"/>
  <c r="H137" i="1"/>
  <c r="H139" i="1"/>
  <c r="H123" i="1"/>
  <c r="H124" i="1"/>
  <c r="H126" i="1"/>
  <c r="H142" i="1"/>
  <c r="H144" i="1"/>
  <c r="H206" i="1"/>
  <c r="H146" i="1"/>
  <c r="H148" i="1"/>
  <c r="H154" i="1"/>
  <c r="H156" i="1"/>
  <c r="H209" i="1"/>
  <c r="H150" i="1"/>
  <c r="H157" i="1"/>
  <c r="H159" i="1"/>
  <c r="H160" i="1"/>
  <c r="H161" i="1"/>
  <c r="H162" i="1"/>
  <c r="H164" i="1"/>
  <c r="H166" i="1"/>
  <c r="H193" i="1"/>
  <c r="H183" i="1"/>
  <c r="H184" i="1"/>
  <c r="H231" i="1"/>
  <c r="H186" i="1"/>
  <c r="H169" i="1"/>
  <c r="H171" i="1"/>
  <c r="H173" i="1"/>
  <c r="H175" i="1"/>
  <c r="H177" i="1"/>
  <c r="H210" i="1"/>
  <c r="H179" i="1"/>
  <c r="H180" i="1"/>
  <c r="H181" i="1"/>
  <c r="H182" i="1"/>
  <c r="H197" i="1"/>
  <c r="H220" i="1"/>
  <c r="H198" i="1"/>
  <c r="H190" i="1"/>
  <c r="H201" i="1"/>
  <c r="H221" i="1"/>
  <c r="H191" i="1"/>
  <c r="H228" i="1"/>
  <c r="H223" i="1"/>
  <c r="H225" i="1"/>
  <c r="H230" i="1"/>
  <c r="H232" i="1"/>
  <c r="H234" i="1"/>
  <c r="H236" i="1"/>
  <c r="H238" i="1"/>
  <c r="H240" i="1"/>
  <c r="H242" i="1"/>
  <c r="H244" i="1"/>
  <c r="H246" i="1"/>
  <c r="H248" i="1"/>
  <c r="H250" i="1"/>
  <c r="H252" i="1"/>
  <c r="H255" i="1"/>
  <c r="H256" i="1"/>
  <c r="H304" i="1"/>
  <c r="H305" i="1"/>
  <c r="H259" i="1"/>
  <c r="H261" i="1"/>
  <c r="H263" i="1"/>
  <c r="H306" i="1"/>
  <c r="H266" i="1"/>
  <c r="H268" i="1"/>
  <c r="H270" i="1"/>
  <c r="H273" i="1"/>
  <c r="H275" i="1"/>
  <c r="H277" i="1"/>
  <c r="H279" i="1"/>
  <c r="H287" i="1"/>
  <c r="H289" i="1"/>
  <c r="H291" i="1"/>
  <c r="H280" i="1"/>
  <c r="H282" i="1"/>
  <c r="H284" i="1"/>
  <c r="H293" i="1"/>
  <c r="H295" i="1"/>
  <c r="H297" i="1"/>
  <c r="H307" i="1"/>
  <c r="H300" i="1"/>
  <c r="H302" i="1"/>
  <c r="H308" i="1"/>
  <c r="H310" i="1"/>
  <c r="H312" i="1"/>
  <c r="H314" i="1"/>
  <c r="H316" i="1"/>
  <c r="H318" i="1"/>
  <c r="H320" i="1"/>
  <c r="H322" i="1"/>
  <c r="H324" i="1"/>
  <c r="H326" i="1"/>
  <c r="H327" i="1"/>
  <c r="H329" i="1"/>
  <c r="H330" i="1"/>
  <c r="H1043" i="1"/>
  <c r="H334" i="1"/>
  <c r="H371" i="1"/>
  <c r="H337" i="1"/>
  <c r="H339" i="1"/>
  <c r="H341" i="1"/>
  <c r="H404" i="1"/>
  <c r="H344" i="1"/>
  <c r="H373" i="1"/>
  <c r="H346" i="1"/>
  <c r="H348" i="1"/>
  <c r="H350" i="1"/>
  <c r="H352" i="1"/>
  <c r="H415" i="1"/>
  <c r="H1045" i="1"/>
  <c r="H354" i="1"/>
  <c r="H356" i="1"/>
  <c r="H417" i="1"/>
  <c r="H358" i="1"/>
  <c r="H360" i="1"/>
  <c r="H362" i="1"/>
  <c r="H364" i="1"/>
  <c r="H405" i="1"/>
  <c r="H367" i="1"/>
  <c r="H369" i="1"/>
  <c r="H374" i="1"/>
  <c r="H376" i="1"/>
  <c r="H378" i="1"/>
  <c r="H380" i="1"/>
  <c r="H382" i="1"/>
  <c r="H384" i="1"/>
  <c r="H386" i="1"/>
  <c r="H388" i="1"/>
  <c r="H390" i="1"/>
  <c r="H392" i="1"/>
  <c r="H394" i="1"/>
  <c r="H396" i="1"/>
  <c r="H398" i="1"/>
  <c r="H400" i="1"/>
  <c r="H402" i="1"/>
  <c r="H418" i="1"/>
  <c r="H420" i="1"/>
  <c r="H421" i="1"/>
  <c r="H423" i="1"/>
  <c r="H425" i="1"/>
  <c r="H427" i="1"/>
  <c r="H407" i="1"/>
  <c r="H430" i="1"/>
  <c r="H431" i="1"/>
  <c r="H432" i="1"/>
  <c r="H410" i="1"/>
  <c r="H412" i="1"/>
  <c r="H413" i="1"/>
  <c r="H435" i="1"/>
  <c r="H437" i="1"/>
  <c r="H441" i="1"/>
  <c r="H442" i="1"/>
  <c r="H443" i="1"/>
  <c r="H456" i="1"/>
  <c r="H472" i="1"/>
  <c r="H474" i="1"/>
  <c r="H476" i="1"/>
  <c r="H478" i="1"/>
  <c r="H457" i="1"/>
  <c r="H459" i="1"/>
  <c r="H480" i="1"/>
  <c r="H447" i="1"/>
  <c r="H449" i="1"/>
  <c r="H462" i="1"/>
  <c r="H497" i="1"/>
  <c r="H465" i="1"/>
  <c r="H499" i="1"/>
  <c r="H467" i="1"/>
  <c r="H469" i="1"/>
  <c r="H483" i="1"/>
  <c r="H485" i="1"/>
  <c r="H500" i="1"/>
  <c r="H502" i="1"/>
  <c r="H504" i="1"/>
  <c r="H487" i="1"/>
  <c r="H489" i="1"/>
  <c r="H491" i="1"/>
  <c r="H493" i="1"/>
  <c r="H526" i="1"/>
  <c r="H451" i="1"/>
  <c r="H470" i="1"/>
  <c r="H506" i="1"/>
  <c r="H455" i="1"/>
  <c r="H471" i="1"/>
  <c r="H1047" i="1"/>
  <c r="H1049" i="1"/>
  <c r="H1051" i="1"/>
  <c r="H1053" i="1"/>
  <c r="H1055" i="1"/>
  <c r="H1057" i="1"/>
  <c r="H1059" i="1"/>
  <c r="H496" i="1"/>
  <c r="H527" i="1"/>
  <c r="H509" i="1"/>
  <c r="H511" i="1"/>
  <c r="H513" i="1"/>
  <c r="H515" i="1"/>
  <c r="H517" i="1"/>
  <c r="H529" i="1"/>
  <c r="H518" i="1"/>
  <c r="H520" i="1"/>
  <c r="H532" i="1"/>
  <c r="H534" i="1"/>
  <c r="H536" i="1"/>
  <c r="H538" i="1"/>
  <c r="H522" i="1"/>
  <c r="H523" i="1"/>
  <c r="H541" i="1"/>
  <c r="H543" i="1"/>
  <c r="H525" i="1"/>
  <c r="H1061" i="1"/>
  <c r="H1063" i="1"/>
  <c r="H1065" i="1"/>
  <c r="H1067" i="1"/>
  <c r="H1069" i="1"/>
  <c r="H1071" i="1"/>
  <c r="H1073" i="1"/>
  <c r="H1075" i="1"/>
  <c r="H1077" i="1"/>
  <c r="H544" i="1"/>
  <c r="H546" i="1"/>
  <c r="H548" i="1"/>
  <c r="H550" i="1"/>
  <c r="H552" i="1"/>
  <c r="H554" i="1"/>
  <c r="H566" i="1"/>
  <c r="H568" i="1"/>
  <c r="H1079" i="1"/>
  <c r="H1081" i="1"/>
  <c r="H1083" i="1"/>
  <c r="H556" i="1"/>
  <c r="H558" i="1"/>
  <c r="H1085" i="1"/>
  <c r="H561" i="1"/>
  <c r="H562" i="1"/>
  <c r="H564" i="1"/>
  <c r="H1087" i="1"/>
  <c r="H1089" i="1"/>
  <c r="H1091" i="1"/>
  <c r="H1093" i="1"/>
  <c r="H1095" i="1"/>
  <c r="H1097" i="1"/>
  <c r="H1099" i="1"/>
  <c r="H1101" i="1"/>
  <c r="H1103" i="1"/>
  <c r="H1105" i="1"/>
  <c r="H1107" i="1"/>
  <c r="H1109" i="1"/>
  <c r="H1111" i="1"/>
  <c r="H571" i="1"/>
  <c r="H573" i="1"/>
  <c r="H575" i="1"/>
  <c r="H577" i="1"/>
  <c r="H579" i="1"/>
  <c r="H581" i="1"/>
  <c r="H583" i="1"/>
  <c r="H585" i="1"/>
  <c r="H587" i="1"/>
  <c r="H589" i="1"/>
  <c r="H591" i="1"/>
  <c r="H593" i="1"/>
  <c r="H595" i="1"/>
  <c r="H597" i="1"/>
  <c r="H599" i="1"/>
  <c r="H601" i="1"/>
  <c r="H605" i="1"/>
  <c r="H606" i="1"/>
  <c r="H618" i="1"/>
  <c r="H634" i="1"/>
  <c r="H619" i="1"/>
  <c r="H621" i="1"/>
  <c r="H608" i="1"/>
  <c r="H609" i="1"/>
  <c r="H628" i="1"/>
  <c r="H624" i="1"/>
  <c r="H610" i="1"/>
  <c r="H612" i="1"/>
  <c r="H614" i="1"/>
  <c r="H616" i="1"/>
  <c r="H631" i="1"/>
  <c r="H635" i="1"/>
  <c r="H637" i="1"/>
  <c r="H639" i="1"/>
  <c r="H641" i="1"/>
  <c r="H643" i="1"/>
  <c r="H1113" i="1"/>
  <c r="H1115" i="1"/>
  <c r="H657" i="1"/>
  <c r="H659" i="1"/>
  <c r="H660" i="1"/>
  <c r="H651" i="1"/>
  <c r="H653" i="1"/>
  <c r="H663" i="1"/>
  <c r="H665" i="1"/>
  <c r="H654" i="1"/>
  <c r="H645" i="1"/>
  <c r="H646" i="1"/>
  <c r="H648" i="1"/>
  <c r="H649" i="1"/>
  <c r="H669" i="1"/>
  <c r="H672" i="1"/>
  <c r="H671" i="1"/>
  <c r="H673" i="1"/>
  <c r="H693" i="1"/>
  <c r="H675" i="1"/>
  <c r="H681" i="1"/>
  <c r="H683" i="1"/>
  <c r="H685" i="1"/>
  <c r="H694" i="1"/>
  <c r="H695" i="1"/>
  <c r="H696" i="1"/>
  <c r="H697" i="1"/>
  <c r="H698" i="1"/>
  <c r="H699" i="1"/>
  <c r="H688" i="1"/>
  <c r="H702" i="1"/>
  <c r="H704" i="1"/>
  <c r="H717" i="1"/>
  <c r="H706" i="1"/>
  <c r="H690" i="1"/>
  <c r="H708" i="1"/>
  <c r="H710" i="1"/>
  <c r="H712" i="1"/>
  <c r="H713" i="1"/>
  <c r="H691" i="1"/>
  <c r="H1117" i="1"/>
  <c r="H788" i="1"/>
  <c r="H822" i="1"/>
  <c r="J103" i="1"/>
  <c r="J2" i="1"/>
  <c r="J203" i="1"/>
  <c r="J51" i="1"/>
  <c r="J1033" i="1"/>
  <c r="B8" i="5"/>
  <c r="J52" i="1"/>
  <c r="J3" i="1"/>
  <c r="J1022" i="1"/>
  <c r="J987" i="1"/>
  <c r="J1190" i="1"/>
  <c r="J859" i="1"/>
  <c r="J957" i="1"/>
  <c r="J935" i="1"/>
  <c r="J753" i="1"/>
  <c r="J1018" i="1"/>
  <c r="J908" i="1"/>
  <c r="J1122" i="1"/>
  <c r="J281" i="1"/>
  <c r="J239" i="1"/>
  <c r="J167" i="1"/>
  <c r="J1164" i="1"/>
  <c r="J804" i="1"/>
  <c r="J720" i="1"/>
  <c r="J1008" i="1"/>
  <c r="J963" i="1"/>
  <c r="J884" i="1"/>
  <c r="J782" i="1"/>
  <c r="J677" i="1"/>
  <c r="J117" i="1"/>
  <c r="J55" i="1"/>
  <c r="J43" i="1"/>
  <c r="J649" i="1"/>
  <c r="J809" i="1"/>
  <c r="J917" i="1"/>
  <c r="J976" i="1"/>
  <c r="J102" i="1"/>
  <c r="J17" i="1"/>
  <c r="J1037" i="1"/>
  <c r="J35" i="1"/>
  <c r="J39" i="1"/>
  <c r="J66" i="1"/>
  <c r="J71" i="1"/>
  <c r="J205" i="1"/>
  <c r="J94" i="1"/>
  <c r="J129" i="1"/>
  <c r="J134" i="1"/>
  <c r="J145" i="1"/>
  <c r="J149" i="1"/>
  <c r="J194" i="1"/>
  <c r="J170" i="1"/>
  <c r="J189" i="1"/>
  <c r="J199" i="1"/>
  <c r="J243" i="1"/>
  <c r="J247" i="1"/>
  <c r="J267" i="1"/>
  <c r="J271" i="1"/>
  <c r="J299" i="1"/>
  <c r="J303" i="1"/>
  <c r="J332" i="1"/>
  <c r="J715" i="1"/>
  <c r="J714" i="1"/>
  <c r="J718" i="1"/>
  <c r="J689" i="1"/>
  <c r="J1116" i="1"/>
  <c r="J749" i="1"/>
  <c r="J1119" i="1"/>
  <c r="J728" i="1"/>
  <c r="J738" i="1"/>
  <c r="J762" i="1"/>
  <c r="J1131" i="1"/>
  <c r="J846" i="1"/>
  <c r="J755" i="1"/>
  <c r="J766" i="1"/>
  <c r="J776" i="1"/>
  <c r="J824" i="1"/>
  <c r="J785" i="1"/>
  <c r="J814" i="1"/>
  <c r="J797" i="1"/>
  <c r="J790" i="1"/>
  <c r="J808" i="1"/>
  <c r="J819" i="1"/>
  <c r="J820" i="1"/>
  <c r="J1151" i="1"/>
  <c r="J835" i="1"/>
  <c r="J842" i="1"/>
  <c r="J888" i="1"/>
  <c r="J863" i="1"/>
  <c r="J867" i="1"/>
  <c r="J874" i="1"/>
  <c r="J1153" i="1"/>
  <c r="J891" i="1"/>
  <c r="J896" i="1"/>
  <c r="J900" i="1"/>
  <c r="J1166" i="1"/>
  <c r="J1168" i="1"/>
  <c r="J903" i="1"/>
  <c r="J909" i="1"/>
  <c r="J910" i="1"/>
  <c r="J928" i="1"/>
  <c r="J949" i="1"/>
  <c r="J937" i="1"/>
  <c r="J948" i="1"/>
  <c r="J1013" i="1"/>
  <c r="J1014" i="1"/>
  <c r="J1185" i="1"/>
  <c r="J1186" i="1"/>
  <c r="J1191" i="1"/>
  <c r="J974" i="1"/>
  <c r="J1197" i="1"/>
  <c r="J990" i="1"/>
  <c r="J1202" i="1"/>
  <c r="J1025" i="1"/>
  <c r="J1020" i="1"/>
  <c r="J983" i="1"/>
  <c r="J1188" i="1"/>
  <c r="J962" i="1"/>
  <c r="J932" i="1"/>
  <c r="J906" i="1"/>
  <c r="J919" i="1"/>
  <c r="J880" i="1"/>
  <c r="J855" i="1"/>
  <c r="J850" i="1"/>
  <c r="J811" i="1"/>
  <c r="J813" i="1"/>
  <c r="J752" i="1"/>
  <c r="J731" i="1"/>
  <c r="J709" i="1"/>
  <c r="J682" i="1"/>
  <c r="J276" i="1"/>
  <c r="J224" i="1"/>
  <c r="J163" i="1"/>
  <c r="J96" i="1"/>
  <c r="J1010" i="1"/>
  <c r="J947" i="1"/>
  <c r="J1196" i="1"/>
  <c r="J1029" i="1"/>
  <c r="J1201" i="1"/>
  <c r="J1203" i="1"/>
  <c r="J1199" i="1"/>
  <c r="J982" i="1"/>
  <c r="J1006" i="1"/>
  <c r="J978" i="1"/>
  <c r="J944" i="1"/>
  <c r="J926" i="1"/>
  <c r="J895" i="1"/>
  <c r="J916" i="1"/>
  <c r="J871" i="1"/>
  <c r="J839" i="1"/>
  <c r="J828" i="1"/>
  <c r="J793" i="1"/>
  <c r="J773" i="1"/>
  <c r="J764" i="1"/>
  <c r="J779" i="1"/>
  <c r="J703" i="1"/>
  <c r="J319" i="1"/>
  <c r="J260" i="1"/>
  <c r="J219" i="1"/>
  <c r="J141" i="1"/>
  <c r="J77" i="1"/>
  <c r="J24" i="1"/>
  <c r="J1031" i="1"/>
  <c r="J985" i="1"/>
  <c r="J1012" i="1"/>
  <c r="J975" i="1"/>
  <c r="J954" i="1"/>
  <c r="J941" i="1"/>
  <c r="J1179" i="1"/>
  <c r="J894" i="1"/>
  <c r="J899" i="1"/>
  <c r="J870" i="1"/>
  <c r="J836" i="1"/>
  <c r="J1155" i="1"/>
  <c r="J1146" i="1"/>
  <c r="J770" i="1"/>
  <c r="J746" i="1"/>
  <c r="J740" i="1"/>
  <c r="J700" i="1"/>
  <c r="J311" i="1"/>
  <c r="J254" i="1"/>
  <c r="J195" i="1"/>
  <c r="J140" i="1"/>
  <c r="J1040" i="1"/>
  <c r="J106" i="1"/>
  <c r="J249" i="1"/>
  <c r="J253" i="1"/>
  <c r="J257" i="1"/>
  <c r="J258" i="1"/>
  <c r="J262" i="1"/>
  <c r="J265" i="1"/>
  <c r="J269" i="1"/>
  <c r="J274" i="1"/>
  <c r="J278" i="1"/>
  <c r="J288" i="1"/>
  <c r="J292" i="1"/>
  <c r="J283" i="1"/>
  <c r="J294" i="1"/>
  <c r="J298" i="1"/>
  <c r="J301" i="1"/>
  <c r="J309" i="1"/>
  <c r="J313" i="1"/>
  <c r="J317" i="1"/>
  <c r="J321" i="1"/>
  <c r="J325" i="1"/>
  <c r="J328" i="1"/>
  <c r="J1042" i="1"/>
  <c r="J335" i="1"/>
  <c r="J338" i="1"/>
  <c r="J342" i="1"/>
  <c r="J372" i="1"/>
  <c r="J347" i="1"/>
  <c r="J351" i="1"/>
  <c r="J1044" i="1"/>
  <c r="J355" i="1"/>
  <c r="J357" i="1"/>
  <c r="J361" i="1"/>
  <c r="J365" i="1"/>
  <c r="J368" i="1"/>
  <c r="J375" i="1"/>
  <c r="J379" i="1"/>
  <c r="J383" i="1"/>
  <c r="J387" i="1"/>
  <c r="J391" i="1"/>
  <c r="J395" i="1"/>
  <c r="J399" i="1"/>
  <c r="J403" i="1"/>
  <c r="J406" i="1"/>
  <c r="J424" i="1"/>
  <c r="J428" i="1"/>
  <c r="J408" i="1"/>
  <c r="J409" i="1"/>
  <c r="J433" i="1"/>
  <c r="J436" i="1"/>
  <c r="J439" i="1"/>
  <c r="J446" i="1"/>
  <c r="J473" i="1"/>
  <c r="J477" i="1"/>
  <c r="J458" i="1"/>
  <c r="J481" i="1"/>
  <c r="J461" i="1"/>
  <c r="J464" i="1"/>
  <c r="J466" i="1"/>
  <c r="J482" i="1"/>
  <c r="J486" i="1"/>
  <c r="J503" i="1"/>
  <c r="J488" i="1"/>
  <c r="J492" i="1"/>
  <c r="J450" i="1"/>
  <c r="J453" i="1"/>
  <c r="J507" i="1"/>
  <c r="J1048" i="1"/>
  <c r="J1052" i="1"/>
  <c r="J1056" i="1"/>
  <c r="J1198" i="1"/>
  <c r="J508" i="1"/>
  <c r="J512" i="1"/>
  <c r="J516" i="1"/>
  <c r="J530" i="1"/>
  <c r="J531" i="1"/>
  <c r="J535" i="1"/>
  <c r="J521" i="1"/>
  <c r="J540" i="1"/>
  <c r="J524" i="1"/>
  <c r="J1062" i="1"/>
  <c r="J1066" i="1"/>
  <c r="J1070" i="1"/>
  <c r="J1074" i="1"/>
  <c r="J1078" i="1"/>
  <c r="J547" i="1"/>
  <c r="J551" i="1"/>
  <c r="J555" i="1"/>
  <c r="J569" i="1"/>
  <c r="J1082" i="1"/>
  <c r="J557" i="1"/>
  <c r="J560" i="1"/>
  <c r="J563" i="1"/>
  <c r="J1088" i="1"/>
  <c r="J1092" i="1"/>
  <c r="J1096" i="1"/>
  <c r="J1100" i="1"/>
  <c r="J1104" i="1"/>
  <c r="J1108" i="1"/>
  <c r="J1112" i="1"/>
  <c r="J572" i="1"/>
  <c r="J576" i="1"/>
  <c r="J580" i="1"/>
  <c r="J584" i="1"/>
  <c r="J588" i="1"/>
  <c r="J592" i="1"/>
  <c r="J596" i="1"/>
  <c r="J625" i="1"/>
  <c r="J607" i="1"/>
  <c r="J620" i="1"/>
  <c r="J622" i="1"/>
  <c r="J623" i="1"/>
  <c r="J611" i="1"/>
  <c r="J617" i="1"/>
  <c r="J636" i="1"/>
  <c r="J640" i="1"/>
  <c r="J644" i="1"/>
  <c r="J656" i="1"/>
  <c r="J650" i="1"/>
  <c r="J664" i="1"/>
  <c r="J655" i="1"/>
  <c r="J647" i="1"/>
  <c r="J668" i="1"/>
  <c r="J679" i="1"/>
  <c r="J680" i="1"/>
  <c r="J676" i="1"/>
  <c r="J684" i="1"/>
  <c r="J686" i="1"/>
  <c r="J716" i="1"/>
  <c r="J687" i="1"/>
  <c r="J701" i="1"/>
  <c r="J705" i="1"/>
  <c r="J719" i="1"/>
  <c r="J707" i="1"/>
  <c r="J711" i="1"/>
  <c r="J721" i="1"/>
  <c r="J1118" i="1"/>
  <c r="J750" i="1"/>
  <c r="J742" i="1"/>
  <c r="J725" i="1"/>
  <c r="J726" i="1"/>
  <c r="J1121" i="1"/>
  <c r="J733" i="1"/>
  <c r="J736" i="1"/>
  <c r="J1124" i="1"/>
  <c r="J1127" i="1"/>
  <c r="J763" i="1"/>
  <c r="J1129" i="1"/>
  <c r="J1132" i="1"/>
  <c r="J751" i="1"/>
  <c r="J757" i="1"/>
  <c r="J759" i="1"/>
  <c r="J760" i="1"/>
  <c r="J768" i="1"/>
  <c r="J772" i="1"/>
  <c r="J775" i="1"/>
  <c r="J778" i="1"/>
  <c r="J889" i="1"/>
  <c r="J780" i="1"/>
  <c r="J784" i="1"/>
  <c r="J787" i="1"/>
  <c r="J816" i="1"/>
  <c r="J1141" i="1"/>
  <c r="J795" i="1"/>
  <c r="J799" i="1"/>
  <c r="J792" i="1"/>
  <c r="J802" i="1"/>
  <c r="J806" i="1"/>
  <c r="J847" i="1"/>
  <c r="J826" i="1"/>
  <c r="J818" i="1"/>
  <c r="J821" i="1"/>
  <c r="J1134" i="1"/>
  <c r="J708" i="1"/>
  <c r="J652" i="1"/>
  <c r="J600" i="1"/>
  <c r="J100" i="1"/>
  <c r="J101" i="1"/>
  <c r="J4" i="1"/>
  <c r="J104" i="1"/>
  <c r="J204" i="1"/>
  <c r="J20" i="1"/>
  <c r="J27" i="1"/>
  <c r="J38" i="1"/>
  <c r="J47" i="1"/>
  <c r="J58" i="1"/>
  <c r="J69" i="1"/>
  <c r="J61" i="1"/>
  <c r="J76" i="1"/>
  <c r="J127" i="1"/>
  <c r="J90" i="1"/>
  <c r="J98" i="1"/>
  <c r="J128" i="1"/>
  <c r="J120" i="1"/>
  <c r="J137" i="1"/>
  <c r="J126" i="1"/>
  <c r="J146" i="1"/>
  <c r="J209" i="1"/>
  <c r="J160" i="1"/>
  <c r="J162" i="1"/>
  <c r="J166" i="1"/>
  <c r="J231" i="1"/>
  <c r="J173" i="1"/>
  <c r="J179" i="1"/>
  <c r="J198" i="1"/>
  <c r="J191" i="1"/>
  <c r="J230" i="1"/>
  <c r="J238" i="1"/>
  <c r="J246" i="1"/>
  <c r="J250" i="1"/>
  <c r="J304" i="1"/>
  <c r="J263" i="1"/>
  <c r="J275" i="1"/>
  <c r="J279" i="1"/>
  <c r="J280" i="1"/>
  <c r="J295" i="1"/>
  <c r="J302" i="1"/>
  <c r="J314" i="1"/>
  <c r="J322" i="1"/>
  <c r="J371" i="1"/>
  <c r="J373" i="1"/>
  <c r="J352" i="1"/>
  <c r="J356" i="1"/>
  <c r="J376" i="1"/>
  <c r="J410" i="1"/>
  <c r="J165" i="1"/>
  <c r="J432" i="1"/>
  <c r="J441" i="1"/>
  <c r="J472" i="1"/>
  <c r="J480" i="1"/>
  <c r="J449" i="1"/>
  <c r="J497" i="1"/>
  <c r="J469" i="1"/>
  <c r="J502" i="1"/>
  <c r="J491" i="1"/>
  <c r="J526" i="1"/>
  <c r="J455" i="1"/>
  <c r="J1047" i="1"/>
  <c r="J1055" i="1"/>
  <c r="J527" i="1"/>
  <c r="J515" i="1"/>
  <c r="J520" i="1"/>
  <c r="J538" i="1"/>
  <c r="J1061" i="1"/>
  <c r="J1069" i="1"/>
  <c r="J1077" i="1"/>
  <c r="J568" i="1"/>
  <c r="J556" i="1"/>
  <c r="J562" i="1"/>
  <c r="J1099" i="1"/>
  <c r="J1107" i="1"/>
  <c r="J1111" i="1"/>
  <c r="J575" i="1"/>
  <c r="J583" i="1"/>
  <c r="J587" i="1"/>
  <c r="J595" i="1"/>
  <c r="J605" i="1"/>
  <c r="J628" i="1"/>
  <c r="J612" i="1"/>
  <c r="J635" i="1"/>
  <c r="J639" i="1"/>
  <c r="J1115" i="1"/>
  <c r="J659" i="1"/>
  <c r="J651" i="1"/>
  <c r="J927" i="1"/>
  <c r="J929" i="1"/>
  <c r="J1183" i="1"/>
  <c r="J977" i="1"/>
  <c r="J955" i="1"/>
  <c r="J973" i="1"/>
  <c r="J1195" i="1"/>
  <c r="J1028" i="1"/>
  <c r="J988" i="1"/>
  <c r="J993" i="1"/>
  <c r="J994" i="1"/>
  <c r="J995" i="1"/>
  <c r="J1200" i="1"/>
  <c r="J1021" i="1"/>
  <c r="J1032" i="1"/>
  <c r="J1026" i="1"/>
  <c r="J991" i="1"/>
  <c r="J1187" i="1"/>
  <c r="J1172" i="1"/>
  <c r="J1161" i="1"/>
  <c r="J877" i="1"/>
  <c r="J1016" i="1"/>
  <c r="J827" i="1"/>
  <c r="J817" i="1"/>
  <c r="J745" i="1"/>
  <c r="J699" i="1"/>
  <c r="J643" i="1"/>
  <c r="J585" i="1"/>
  <c r="J1036" i="1"/>
  <c r="J7" i="1"/>
  <c r="J45" i="1"/>
  <c r="J30" i="1"/>
  <c r="J34" i="1"/>
  <c r="J42" i="1"/>
  <c r="J54" i="1"/>
  <c r="J65" i="1"/>
  <c r="J1039" i="1"/>
  <c r="J80" i="1"/>
  <c r="J84" i="1"/>
  <c r="J88" i="1"/>
  <c r="J93" i="1"/>
  <c r="J115" i="1"/>
  <c r="J112" i="1"/>
  <c r="J133" i="1"/>
  <c r="J123" i="1"/>
  <c r="J144" i="1"/>
  <c r="J154" i="1"/>
  <c r="J157" i="1"/>
  <c r="J183" i="1"/>
  <c r="J169" i="1"/>
  <c r="J177" i="1"/>
  <c r="J181" i="1"/>
  <c r="J197" i="1"/>
  <c r="J201" i="1"/>
  <c r="J223" i="1"/>
  <c r="J234" i="1"/>
  <c r="J242" i="1"/>
  <c r="J255" i="1"/>
  <c r="J259" i="1"/>
  <c r="J266" i="1"/>
  <c r="J270" i="1"/>
  <c r="J289" i="1"/>
  <c r="J284" i="1"/>
  <c r="J307" i="1"/>
  <c r="J310" i="1"/>
  <c r="J318" i="1"/>
  <c r="J326" i="1"/>
  <c r="J329" i="1"/>
  <c r="J1043" i="1"/>
  <c r="J339" i="1"/>
  <c r="J404" i="1"/>
  <c r="J348" i="1"/>
  <c r="J1045" i="1"/>
  <c r="J358" i="1"/>
  <c r="J362" i="1"/>
  <c r="J405" i="1"/>
  <c r="J369" i="1"/>
  <c r="J380" i="1"/>
  <c r="J384" i="1"/>
  <c r="J388" i="1"/>
  <c r="J392" i="1"/>
  <c r="J396" i="1"/>
  <c r="J400" i="1"/>
  <c r="J418" i="1"/>
  <c r="J421" i="1"/>
  <c r="J425" i="1"/>
  <c r="J407" i="1"/>
  <c r="J431" i="1"/>
  <c r="J413" i="1"/>
  <c r="J437" i="1"/>
  <c r="J442" i="1"/>
  <c r="J456" i="1"/>
  <c r="J474" i="1"/>
  <c r="J478" i="1"/>
  <c r="J459" i="1"/>
  <c r="J447" i="1"/>
  <c r="J462" i="1"/>
  <c r="J465" i="1"/>
  <c r="J467" i="1"/>
  <c r="J483" i="1"/>
  <c r="J500" i="1"/>
  <c r="J504" i="1"/>
  <c r="J489" i="1"/>
  <c r="J493" i="1"/>
  <c r="J451" i="1"/>
  <c r="J506" i="1"/>
  <c r="J471" i="1"/>
  <c r="J1049" i="1"/>
  <c r="J1053" i="1"/>
  <c r="J1057" i="1"/>
  <c r="J496" i="1"/>
  <c r="J509" i="1"/>
  <c r="J513" i="1"/>
  <c r="J517" i="1"/>
  <c r="J518" i="1"/>
  <c r="J532" i="1"/>
  <c r="J536" i="1"/>
  <c r="J522" i="1"/>
  <c r="J541" i="1"/>
  <c r="J525" i="1"/>
  <c r="J1063" i="1"/>
  <c r="J1067" i="1"/>
  <c r="J1071" i="1"/>
  <c r="J1075" i="1"/>
  <c r="J544" i="1"/>
  <c r="J548" i="1"/>
  <c r="J552" i="1"/>
  <c r="J566" i="1"/>
  <c r="J1079" i="1"/>
  <c r="J1083" i="1"/>
  <c r="J558" i="1"/>
  <c r="J561" i="1"/>
  <c r="J564" i="1"/>
  <c r="J1089" i="1"/>
  <c r="J1093" i="1"/>
  <c r="J1097" i="1"/>
  <c r="J1101" i="1"/>
  <c r="J1105" i="1"/>
  <c r="J1109" i="1"/>
  <c r="J1154" i="1"/>
  <c r="J573" i="1"/>
  <c r="J577" i="1"/>
  <c r="J581" i="1"/>
  <c r="J589" i="1"/>
  <c r="J593" i="1"/>
  <c r="J597" i="1"/>
  <c r="J601" i="1"/>
  <c r="J606" i="1"/>
  <c r="J634" i="1"/>
  <c r="J609" i="1"/>
  <c r="J624" i="1"/>
  <c r="J602" i="1"/>
  <c r="J614" i="1"/>
  <c r="J631" i="1"/>
  <c r="J637" i="1"/>
  <c r="J641" i="1"/>
  <c r="J1113" i="1"/>
  <c r="J657" i="1"/>
  <c r="J660" i="1"/>
  <c r="J653" i="1"/>
  <c r="J665" i="1"/>
  <c r="J645" i="1"/>
  <c r="J648" i="1"/>
  <c r="J669" i="1"/>
  <c r="J671" i="1"/>
  <c r="J693" i="1"/>
  <c r="J685" i="1"/>
  <c r="J695" i="1"/>
  <c r="J697" i="1"/>
  <c r="J702" i="1"/>
  <c r="J717" i="1"/>
  <c r="J810" i="1"/>
  <c r="J712" i="1"/>
  <c r="J691" i="1"/>
  <c r="J739" i="1"/>
  <c r="J743" i="1"/>
  <c r="J723" i="1"/>
  <c r="J727" i="1"/>
  <c r="J734" i="1"/>
  <c r="J737" i="1"/>
  <c r="J1125" i="1"/>
  <c r="J747" i="1"/>
  <c r="J1130" i="1"/>
  <c r="J1133" i="1"/>
  <c r="J758" i="1"/>
  <c r="J1135" i="1"/>
  <c r="J761" i="1"/>
  <c r="J1137" i="1"/>
  <c r="J1138" i="1"/>
  <c r="J823" i="1"/>
  <c r="J781" i="1"/>
  <c r="J1139" i="1"/>
  <c r="J1000" i="1"/>
  <c r="J1142" i="1"/>
  <c r="J796" i="1"/>
  <c r="J789" i="1"/>
  <c r="J800" i="1"/>
  <c r="J807" i="1"/>
  <c r="J1145" i="1"/>
  <c r="J822" i="1"/>
  <c r="J1147" i="1"/>
  <c r="J1149" i="1"/>
  <c r="J853" i="1"/>
  <c r="J834" i="1"/>
  <c r="J838" i="1"/>
  <c r="J844" i="1"/>
  <c r="J854" i="1"/>
  <c r="J858" i="1"/>
  <c r="J862" i="1"/>
  <c r="J886" i="1"/>
  <c r="J873" i="1"/>
  <c r="J879" i="1"/>
  <c r="J883" i="1"/>
  <c r="J913" i="1"/>
  <c r="J892" i="1"/>
  <c r="J1158" i="1"/>
  <c r="J918" i="1"/>
  <c r="J1163" i="1"/>
  <c r="J1003" i="1"/>
  <c r="J1167" i="1"/>
  <c r="J958" i="1"/>
  <c r="J902" i="1"/>
  <c r="J905" i="1"/>
  <c r="J1174" i="1"/>
  <c r="J1177" i="1"/>
  <c r="J912" i="1"/>
  <c r="J925" i="1"/>
  <c r="J931" i="1"/>
  <c r="J769" i="1"/>
  <c r="J744" i="1"/>
  <c r="J621" i="1"/>
  <c r="J99" i="1"/>
  <c r="J10" i="1"/>
  <c r="J12" i="1"/>
  <c r="J16" i="1"/>
  <c r="J1035" i="1"/>
  <c r="J5" i="1"/>
  <c r="J107" i="1"/>
  <c r="J19" i="1"/>
  <c r="J23" i="1"/>
  <c r="J26" i="1"/>
  <c r="J29" i="1"/>
  <c r="J33" i="1"/>
  <c r="J37" i="1"/>
  <c r="J41" i="1"/>
  <c r="J44" i="1"/>
  <c r="J50" i="1"/>
  <c r="J57" i="1"/>
  <c r="J64" i="1"/>
  <c r="J68" i="1"/>
  <c r="J60" i="1"/>
  <c r="J73" i="1"/>
  <c r="J75" i="1"/>
  <c r="J79" i="1"/>
  <c r="J83" i="1"/>
  <c r="J87" i="1"/>
  <c r="J212" i="1"/>
  <c r="J89" i="1"/>
  <c r="J113" i="1"/>
  <c r="J95" i="1"/>
  <c r="J97" i="1"/>
  <c r="J111" i="1"/>
  <c r="J119" i="1"/>
  <c r="J131" i="1"/>
  <c r="J132" i="1"/>
  <c r="J136" i="1"/>
  <c r="J122" i="1"/>
  <c r="J125" i="1"/>
  <c r="J143" i="1"/>
  <c r="J207" i="1"/>
  <c r="J153" i="1"/>
  <c r="J208" i="1"/>
  <c r="J214" i="1"/>
  <c r="J215" i="1"/>
  <c r="J152" i="1"/>
  <c r="J216" i="1"/>
  <c r="J217" i="1"/>
  <c r="J168" i="1"/>
  <c r="J172" i="1"/>
  <c r="J176" i="1"/>
  <c r="J178" i="1"/>
  <c r="J187" i="1"/>
  <c r="J188" i="1"/>
  <c r="J227" i="1"/>
  <c r="J200" i="1"/>
  <c r="J222" i="1"/>
  <c r="J229" i="1"/>
  <c r="J226" i="1"/>
  <c r="J233" i="1"/>
  <c r="J237" i="1"/>
  <c r="J241" i="1"/>
  <c r="J245" i="1"/>
  <c r="J15" i="1"/>
  <c r="J11" i="1"/>
  <c r="J14" i="1"/>
  <c r="J105" i="1"/>
  <c r="J1034" i="1"/>
  <c r="J1038" i="1"/>
  <c r="J6" i="1"/>
  <c r="J18" i="1"/>
  <c r="J22" i="1"/>
  <c r="J25" i="1"/>
  <c r="J28" i="1"/>
  <c r="J32" i="1"/>
  <c r="J36" i="1"/>
  <c r="J40" i="1"/>
  <c r="J46" i="1"/>
  <c r="J49" i="1"/>
  <c r="J56" i="1"/>
  <c r="J63" i="1"/>
  <c r="J67" i="1"/>
  <c r="J59" i="1"/>
  <c r="J72" i="1"/>
  <c r="J74" i="1"/>
  <c r="J78" i="1"/>
  <c r="J82" i="1"/>
  <c r="J86" i="1"/>
  <c r="J211" i="1"/>
  <c r="J109" i="1"/>
  <c r="J92" i="1"/>
  <c r="J114" i="1"/>
  <c r="J116" i="1"/>
  <c r="J110" i="1"/>
  <c r="J118" i="1"/>
  <c r="J130" i="1"/>
  <c r="J213" i="1"/>
  <c r="J135" i="1"/>
  <c r="J139" i="1"/>
  <c r="J124" i="1"/>
  <c r="J142" i="1"/>
  <c r="J206" i="1"/>
  <c r="J148" i="1"/>
  <c r="J156" i="1"/>
  <c r="J150" i="1"/>
  <c r="J159" i="1"/>
  <c r="J161" i="1"/>
  <c r="J164" i="1"/>
  <c r="J193" i="1"/>
  <c r="J184" i="1"/>
  <c r="J186" i="1"/>
  <c r="J171" i="1"/>
  <c r="J175" i="1"/>
  <c r="J210" i="1"/>
  <c r="J180" i="1"/>
  <c r="J182" i="1"/>
  <c r="J220" i="1"/>
  <c r="J190" i="1"/>
  <c r="J221" i="1"/>
  <c r="J228" i="1"/>
  <c r="J225" i="1"/>
  <c r="J232" i="1"/>
  <c r="J236" i="1"/>
  <c r="J240" i="1"/>
  <c r="J244" i="1"/>
  <c r="J248" i="1"/>
  <c r="J252" i="1"/>
  <c r="J256" i="1"/>
  <c r="J305" i="1"/>
  <c r="J261" i="1"/>
  <c r="J306" i="1"/>
  <c r="J268" i="1"/>
  <c r="J273" i="1"/>
  <c r="J277" i="1"/>
  <c r="J287" i="1"/>
  <c r="J291" i="1"/>
  <c r="J282" i="1"/>
  <c r="J293" i="1"/>
  <c r="J297" i="1"/>
  <c r="J300" i="1"/>
  <c r="J308" i="1"/>
  <c r="J312" i="1"/>
  <c r="J316" i="1"/>
  <c r="J320" i="1"/>
  <c r="J324" i="1"/>
  <c r="J327" i="1"/>
  <c r="J330" i="1"/>
  <c r="J334" i="1"/>
  <c r="J337" i="1"/>
  <c r="J341" i="1"/>
  <c r="J344" i="1"/>
  <c r="J346" i="1"/>
  <c r="J350" i="1"/>
  <c r="J415" i="1"/>
  <c r="J354" i="1"/>
  <c r="J417" i="1"/>
  <c r="J360" i="1"/>
  <c r="J364" i="1"/>
  <c r="J367" i="1"/>
  <c r="J374" i="1"/>
  <c r="J378" i="1"/>
  <c r="J382" i="1"/>
  <c r="J386" i="1"/>
  <c r="J390" i="1"/>
  <c r="J394" i="1"/>
  <c r="J398" i="1"/>
  <c r="J402" i="1"/>
  <c r="J420" i="1"/>
  <c r="J423" i="1"/>
  <c r="J427" i="1"/>
  <c r="J430" i="1"/>
  <c r="J412" i="1"/>
  <c r="J435" i="1"/>
  <c r="J443" i="1"/>
  <c r="J476" i="1"/>
  <c r="J457" i="1"/>
  <c r="J499" i="1"/>
  <c r="J485" i="1"/>
  <c r="J487" i="1"/>
  <c r="J470" i="1"/>
  <c r="J1051" i="1"/>
  <c r="J1059" i="1"/>
  <c r="J511" i="1"/>
  <c r="J529" i="1"/>
  <c r="J534" i="1"/>
  <c r="J523" i="1"/>
  <c r="J543" i="1"/>
  <c r="J1065" i="1"/>
  <c r="J1073" i="1"/>
  <c r="J546" i="1"/>
  <c r="J550" i="1"/>
  <c r="J554" i="1"/>
  <c r="J1081" i="1"/>
  <c r="J1085" i="1"/>
  <c r="J1087" i="1"/>
  <c r="J1091" i="1"/>
  <c r="J1095" i="1"/>
  <c r="J1103" i="1"/>
  <c r="J571" i="1"/>
  <c r="J579" i="1"/>
  <c r="J591" i="1"/>
  <c r="J599" i="1"/>
  <c r="J618" i="1"/>
  <c r="J619" i="1"/>
  <c r="J608" i="1"/>
  <c r="J610" i="1"/>
  <c r="J616" i="1"/>
  <c r="J663" i="1"/>
  <c r="J654" i="1"/>
  <c r="J646" i="1"/>
  <c r="J672" i="1"/>
  <c r="J673" i="1"/>
  <c r="J675" i="1"/>
  <c r="J683" i="1"/>
  <c r="J694" i="1"/>
  <c r="J696" i="1"/>
  <c r="J698" i="1"/>
  <c r="J688" i="1"/>
  <c r="J704" i="1"/>
  <c r="J706" i="1"/>
  <c r="J690" i="1"/>
  <c r="J710" i="1"/>
  <c r="J713" i="1"/>
  <c r="J1117" i="1"/>
  <c r="J722" i="1"/>
  <c r="J741" i="1"/>
  <c r="J724" i="1"/>
  <c r="J1120" i="1"/>
  <c r="J729" i="1"/>
  <c r="J732" i="1"/>
  <c r="J735" i="1"/>
  <c r="J1123" i="1"/>
  <c r="J1126" i="1"/>
  <c r="J1128" i="1"/>
  <c r="J748" i="1"/>
  <c r="J756" i="1"/>
  <c r="J812" i="1"/>
  <c r="J765" i="1"/>
  <c r="J754" i="1"/>
  <c r="J1136" i="1"/>
  <c r="J767" i="1"/>
  <c r="J771" i="1"/>
  <c r="J774" i="1"/>
  <c r="J777" i="1"/>
  <c r="J1143" i="1"/>
  <c r="J788" i="1"/>
  <c r="J783" i="1"/>
  <c r="J786" i="1"/>
  <c r="J815" i="1"/>
  <c r="J1140" i="1"/>
  <c r="J798" i="1"/>
  <c r="J791" i="1"/>
  <c r="J801" i="1"/>
  <c r="J805" i="1"/>
  <c r="J825" i="1"/>
  <c r="J829" i="1"/>
  <c r="J849" i="1"/>
  <c r="J851" i="1"/>
  <c r="J830" i="1"/>
  <c r="J832" i="1"/>
  <c r="J840" i="1"/>
  <c r="J887" i="1"/>
  <c r="J856" i="1"/>
  <c r="J860" i="1"/>
  <c r="J864" i="1"/>
  <c r="J868" i="1"/>
  <c r="J875" i="1"/>
  <c r="J890" i="1"/>
  <c r="J885" i="1"/>
  <c r="J950" i="1"/>
  <c r="J1156" i="1"/>
  <c r="J1157" i="1"/>
  <c r="J1160" i="1"/>
  <c r="J1002" i="1"/>
  <c r="J920" i="1"/>
  <c r="J1169" i="1"/>
  <c r="J1004" i="1"/>
  <c r="J1009" i="1"/>
  <c r="J1171" i="1"/>
  <c r="J924" i="1"/>
  <c r="J1178" i="1"/>
  <c r="J1180" i="1"/>
  <c r="J938" i="1"/>
  <c r="J945" i="1"/>
  <c r="J1184" i="1"/>
  <c r="J952" i="1"/>
  <c r="J967" i="1"/>
  <c r="J972" i="1"/>
  <c r="J998" i="1"/>
  <c r="J965" i="1"/>
  <c r="J942" i="1"/>
  <c r="J1182" i="1"/>
  <c r="J1175" i="1"/>
  <c r="J1170" i="1"/>
  <c r="J1165" i="1"/>
  <c r="J898" i="1"/>
  <c r="J881" i="1"/>
  <c r="J866" i="1"/>
  <c r="J1194" i="1"/>
  <c r="J1150" i="1"/>
  <c r="J848" i="1"/>
  <c r="J803" i="1"/>
  <c r="J794" i="1"/>
  <c r="J1144" i="1"/>
  <c r="J730" i="1"/>
  <c r="J681" i="1"/>
  <c r="J613" i="1"/>
  <c r="J943" i="1"/>
  <c r="J964" i="1"/>
  <c r="J971" i="1"/>
  <c r="J1024" i="1"/>
  <c r="J997" i="1"/>
  <c r="J989" i="1"/>
  <c r="J1193" i="1"/>
  <c r="J969" i="1"/>
  <c r="J961" i="1"/>
  <c r="J940" i="1"/>
  <c r="J1148" i="1"/>
  <c r="J852" i="1"/>
  <c r="J831" i="1"/>
  <c r="J833" i="1"/>
  <c r="J837" i="1"/>
  <c r="J841" i="1"/>
  <c r="J843" i="1"/>
  <c r="J845" i="1"/>
  <c r="J857" i="1"/>
  <c r="J861" i="1"/>
  <c r="J865" i="1"/>
  <c r="J869" i="1"/>
  <c r="J872" i="1"/>
  <c r="J876" i="1"/>
  <c r="J878" i="1"/>
  <c r="J882" i="1"/>
  <c r="J1152" i="1"/>
  <c r="J914" i="1"/>
  <c r="J897" i="1"/>
  <c r="J915" i="1"/>
  <c r="J1159" i="1"/>
  <c r="J1001" i="1"/>
  <c r="J1162" i="1"/>
  <c r="J893" i="1"/>
  <c r="J921" i="1"/>
  <c r="J922" i="1"/>
  <c r="J923" i="1"/>
  <c r="J901" i="1"/>
  <c r="J904" i="1"/>
  <c r="J907" i="1"/>
  <c r="J1173" i="1"/>
  <c r="J1176" i="1"/>
  <c r="J911" i="1"/>
  <c r="J1181" i="1"/>
  <c r="J959" i="1"/>
  <c r="J930" i="1"/>
  <c r="J933" i="1"/>
  <c r="J936" i="1"/>
  <c r="J939" i="1"/>
  <c r="J1011" i="1"/>
  <c r="J946" i="1"/>
  <c r="J960" i="1"/>
  <c r="J951" i="1"/>
  <c r="J1027" i="1"/>
  <c r="J953" i="1"/>
  <c r="J956" i="1"/>
  <c r="J968" i="1"/>
  <c r="J970" i="1"/>
  <c r="J1189" i="1"/>
  <c r="J1192" i="1"/>
  <c r="J986" i="1"/>
  <c r="J1007" i="1"/>
  <c r="J1017" i="1"/>
  <c r="J979" i="1"/>
  <c r="J980" i="1"/>
  <c r="J981" i="1"/>
  <c r="J984" i="1"/>
  <c r="J996" i="1"/>
  <c r="J999" i="1"/>
  <c r="J1019" i="1"/>
  <c r="J1015" i="1"/>
  <c r="J1023" i="1"/>
  <c r="J1204" i="1"/>
  <c r="J1205" i="1"/>
  <c r="J1030" i="1"/>
  <c r="J992" i="1"/>
  <c r="J1005" i="1"/>
  <c r="J966" i="1"/>
  <c r="J934" i="1"/>
  <c r="J9" i="1"/>
  <c r="J8" i="1"/>
  <c r="J31" i="1"/>
  <c r="J48" i="1"/>
  <c r="J70" i="1"/>
  <c r="J81" i="1"/>
  <c r="J91" i="1"/>
  <c r="J218" i="1"/>
  <c r="J138" i="1"/>
  <c r="J147" i="1"/>
  <c r="J151" i="1"/>
  <c r="J185" i="1"/>
  <c r="J196" i="1"/>
  <c r="J202" i="1"/>
  <c r="J235" i="1"/>
  <c r="J251" i="1"/>
  <c r="J264" i="1"/>
  <c r="J286" i="1"/>
  <c r="J296" i="1"/>
  <c r="J315" i="1"/>
  <c r="J331" i="1"/>
  <c r="J333" i="1"/>
  <c r="J336" i="1"/>
  <c r="J340" i="1"/>
  <c r="J343" i="1"/>
  <c r="J345" i="1"/>
  <c r="J349" i="1"/>
  <c r="J414" i="1"/>
  <c r="J353" i="1"/>
  <c r="J416" i="1"/>
  <c r="J359" i="1"/>
  <c r="J363" i="1"/>
  <c r="J366" i="1"/>
  <c r="J370" i="1"/>
  <c r="J377" i="1"/>
  <c r="J381" i="1"/>
  <c r="J385" i="1"/>
  <c r="J389" i="1"/>
  <c r="J393" i="1"/>
  <c r="J397" i="1"/>
  <c r="J401" i="1"/>
  <c r="J419" i="1"/>
  <c r="J422" i="1"/>
  <c r="J426" i="1"/>
  <c r="J429" i="1"/>
  <c r="J440" i="1"/>
  <c r="J411" i="1"/>
  <c r="J434" i="1"/>
  <c r="J438" i="1"/>
  <c r="J444" i="1"/>
  <c r="J445" i="1"/>
  <c r="J475" i="1"/>
  <c r="J479" i="1"/>
  <c r="J460" i="1"/>
  <c r="J448" i="1"/>
  <c r="J463" i="1"/>
  <c r="J498" i="1"/>
  <c r="J468" i="1"/>
  <c r="J484" i="1"/>
  <c r="J501" i="1"/>
  <c r="J505" i="1"/>
  <c r="J490" i="1"/>
  <c r="J494" i="1"/>
  <c r="J452" i="1"/>
  <c r="J454" i="1"/>
  <c r="J1046" i="1"/>
  <c r="J1050" i="1"/>
  <c r="J1054" i="1"/>
  <c r="J1058" i="1"/>
  <c r="J495" i="1"/>
  <c r="J510" i="1"/>
  <c r="J514" i="1"/>
  <c r="J528" i="1"/>
  <c r="J519" i="1"/>
  <c r="J533" i="1"/>
  <c r="J537" i="1"/>
  <c r="J539" i="1"/>
  <c r="J542" i="1"/>
  <c r="J1060" i="1"/>
  <c r="J1064" i="1"/>
  <c r="J1068" i="1"/>
  <c r="J1072" i="1"/>
  <c r="J1076" i="1"/>
  <c r="J545" i="1"/>
  <c r="J549" i="1"/>
  <c r="J553" i="1"/>
  <c r="J567" i="1"/>
  <c r="J1080" i="1"/>
  <c r="J1084" i="1"/>
  <c r="J559" i="1"/>
  <c r="J1086" i="1"/>
  <c r="J565" i="1"/>
  <c r="J1090" i="1"/>
  <c r="J1094" i="1"/>
  <c r="J1098" i="1"/>
  <c r="J1102" i="1"/>
  <c r="J1106" i="1"/>
  <c r="J1110" i="1"/>
  <c r="J570" i="1"/>
  <c r="J574" i="1"/>
  <c r="J578" i="1"/>
  <c r="J582" i="1"/>
  <c r="J586" i="1"/>
  <c r="J590" i="1"/>
  <c r="J594" i="1"/>
  <c r="J598" i="1"/>
  <c r="J604" i="1"/>
  <c r="J633" i="1"/>
  <c r="J603" i="1"/>
  <c r="J626" i="1"/>
  <c r="J627" i="1"/>
  <c r="J629" i="1"/>
  <c r="J630" i="1"/>
  <c r="J615" i="1"/>
  <c r="J632" i="1"/>
  <c r="J638" i="1"/>
  <c r="J642" i="1"/>
  <c r="J1114" i="1"/>
  <c r="J658" i="1"/>
  <c r="J661" i="1"/>
  <c r="J662" i="1"/>
  <c r="J666" i="1"/>
  <c r="J678" i="1"/>
  <c r="J667" i="1"/>
  <c r="J670" i="1"/>
  <c r="J692" i="1"/>
  <c r="J674" i="1"/>
  <c r="J323" i="1"/>
  <c r="J285" i="1"/>
  <c r="J290" i="1"/>
  <c r="J272" i="1"/>
  <c r="J1041" i="1"/>
  <c r="J192" i="1"/>
  <c r="J174" i="1"/>
  <c r="J158" i="1"/>
  <c r="J155" i="1"/>
  <c r="J121" i="1"/>
  <c r="J108" i="1"/>
  <c r="J85" i="1"/>
  <c r="J62" i="1"/>
  <c r="J53" i="1"/>
  <c r="J21" i="1"/>
  <c r="J13" i="1"/>
  <c r="B5" i="5" l="1"/>
  <c r="B6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E4CD389-FDBE-467B-91CE-8F4CF9201E38}" name="Connection" type="104" refreshedVersion="0" background="1">
    <extLst>
      <ext xmlns:x15="http://schemas.microsoft.com/office/spreadsheetml/2010/11/main" uri="{DE250136-89BD-433C-8126-D09CA5730AF9}">
        <x15:connection id="Calendar"/>
      </ext>
    </extLst>
  </connection>
  <connection id="2" xr16:uid="{953C9292-1D3D-43EC-BC58-4E12178BA8C0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799596F6-3E0F-4C6A-8ED5-D26895AB8594}" name="WorksheetConnection_Personal dashboard1.xlsm!Table1" type="102" refreshedVersion="7" minRefreshableVersion="5">
    <extLst>
      <ext xmlns:x15="http://schemas.microsoft.com/office/spreadsheetml/2010/11/main" uri="{DE250136-89BD-433C-8126-D09CA5730AF9}">
        <x15:connection id="Table1" autoDelete="1">
          <x15:rangePr sourceName="_xlcn.WorksheetConnection_Personaldashboard1.xlsmTable1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Table1].[Overall Status].[All]}"/>
    <s v="{[Table1].[Overall Status].&amp;[Rejected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<sst xmlns="http://schemas.openxmlformats.org/spreadsheetml/2006/main" count="9357" uniqueCount="2510">
  <si>
    <t>Question ID</t>
  </si>
  <si>
    <t>Grade</t>
  </si>
  <si>
    <t>Chapter Name</t>
  </si>
  <si>
    <t>Link to Source</t>
  </si>
  <si>
    <t>Clickable Link</t>
  </si>
  <si>
    <t>Assigned</t>
  </si>
  <si>
    <t>Deadline</t>
  </si>
  <si>
    <t>Deadline (days to go)</t>
  </si>
  <si>
    <t>Last Submission Date</t>
  </si>
  <si>
    <t>Revision Status</t>
  </si>
  <si>
    <t>Overall Status</t>
  </si>
  <si>
    <t>Number of Rejection</t>
  </si>
  <si>
    <t>Long Video</t>
  </si>
  <si>
    <t>Rate</t>
  </si>
  <si>
    <t>M0280391P156</t>
  </si>
  <si>
    <t>SMA</t>
  </si>
  <si>
    <t>Persamaan Trigonometri</t>
  </si>
  <si>
    <t>https://drive.google.com/open?id=1vtPCv5_Po_AW58I-HUlLtXuKPrmEy1xh</t>
  </si>
  <si>
    <t>no</t>
  </si>
  <si>
    <t>paid</t>
  </si>
  <si>
    <t>M0221702P014</t>
  </si>
  <si>
    <t>Peluang Wajib</t>
  </si>
  <si>
    <t>https://drive.google.com/open?id=1M1TI18hfZ8Wl1zBpvEIHQzYntE1i3tpm</t>
  </si>
  <si>
    <t>M0221713E021</t>
  </si>
  <si>
    <t>https://drive.google.com/open?id=1vTfZU_5clZZ1Q3wbilRFl_7sJ09o8xyz</t>
  </si>
  <si>
    <t>M0270541P084</t>
  </si>
  <si>
    <t>https://drive.google.com/open?id=1d6bjZfPytYCuxRvYh7LlVGQqNrx2zy7i</t>
  </si>
  <si>
    <t>M0070061a008</t>
  </si>
  <si>
    <t>SMP</t>
  </si>
  <si>
    <t>https://drive.google.com/open?id=1J65bLT54yVSpsnnhBq7BsFzKJu4VtvPT</t>
  </si>
  <si>
    <t>yes</t>
  </si>
  <si>
    <t>M0070061E005</t>
  </si>
  <si>
    <t>https://drive.google.com/open?id=16SmwxIdvalKaa5IS7Ki3WWo9IHqGqyvp</t>
  </si>
  <si>
    <t>M0070061E007</t>
  </si>
  <si>
    <t>https://drive.google.com/open?id=1Jmj_8nDy4YywD68O8po5KWpS4Agc7CGz</t>
  </si>
  <si>
    <t>M0070731P032</t>
  </si>
  <si>
    <t>https://drive.google.com/open?id=1ymthlIWHrvK5hYG1hlhWfTsTJ_wUoJTO</t>
  </si>
  <si>
    <t>M0070742b003</t>
  </si>
  <si>
    <t>https://drive.google.com/open?id=1YUsEWHLy2fy-rmyERzpe1I4QrMZAyv8-</t>
  </si>
  <si>
    <t>C0090431P001</t>
  </si>
  <si>
    <t>https://drive.google.com/open?id=1GKIthOQQCHOzsO43iioO2MyAzLElEMQ3</t>
  </si>
  <si>
    <t>C0090041P027</t>
  </si>
  <si>
    <t>https://drive.google.com/open?id=16hJU8VmnBIzroMGVyO0nmlYAjCmkP6s0</t>
  </si>
  <si>
    <t>C0090041P030</t>
  </si>
  <si>
    <t>https://drive.google.com/open?id=1B2R8-btRV8lBO8AKBMQindcF8fAU4Wg5</t>
  </si>
  <si>
    <t>M1871111P002</t>
  </si>
  <si>
    <t>Transformasi</t>
  </si>
  <si>
    <t>https://drive.google.com/open?id=1CaTU4Hu4w5UukakAr4_8LfFaMDYjmJ9Q</t>
  </si>
  <si>
    <t>M1871141a001</t>
  </si>
  <si>
    <t>https://drive.google.com/open?id=1q-ytBHVJ8rgXYu2f9NWZyi3XvpFYmoYr</t>
  </si>
  <si>
    <t>M1871141a002</t>
  </si>
  <si>
    <t>https://drive.google.com/open?id=1xJEqqbXLY4kFh8HvbvGO86he-Qm6QwEQ</t>
  </si>
  <si>
    <t>M2400881E001</t>
  </si>
  <si>
    <t>Program Linear</t>
  </si>
  <si>
    <t>https://drive.google.com/open?id=1DSk6ltXo5oozVC1PRnyVQJGTxATmGKUE</t>
  </si>
  <si>
    <t>B0035541E001</t>
  </si>
  <si>
    <t>https://drive.google.com/open?id=1CCRs94a-rtWAvr1Yh_cLf55UnLeRxwNh</t>
  </si>
  <si>
    <t>C0040021P006</t>
  </si>
  <si>
    <t>https://drive.google.com/open?id=11SLotIkVuJxjJQreq6nfgY2OyN3CyY7e</t>
  </si>
  <si>
    <t>C0040011P005</t>
  </si>
  <si>
    <t>https://drive.google.com/open?id=1P38DKmKoe7lQUgI0doEZqealGfvTbiyi</t>
  </si>
  <si>
    <t>C0040021P007</t>
  </si>
  <si>
    <t>https://drive.google.com/open?id=1WxeI--uJGRjMQd6QgjR1DaarxZvLJkgI</t>
  </si>
  <si>
    <t>C0040011P002</t>
  </si>
  <si>
    <t>https://drive.google.com/open?id=1XkRVCsz4y-TLz5q8IW8S52ldLCcHyQpi</t>
  </si>
  <si>
    <t>M0300582E005</t>
  </si>
  <si>
    <t>Pola Bilangan Dan Barisan Bilangan</t>
  </si>
  <si>
    <t>https://drive.google.com/open?id=1CVH4Ys_2yiSwpB8pax62bbROhJcmWmf7</t>
  </si>
  <si>
    <t>C0171481P035</t>
  </si>
  <si>
    <t>https://drive.google.com/open?id=1EzoN4Zv85JUAXWfHU5DzPKGvJmKFjbJ1</t>
  </si>
  <si>
    <t>C0171371P026</t>
  </si>
  <si>
    <t>https://drive.google.com/open?id=1pQljazc28xg5Bl8iNspwz2Zrnzrp9OL7</t>
  </si>
  <si>
    <t>C0171371P027</t>
  </si>
  <si>
    <t>https://drive.google.com/open?id=1nnjOh78W7-oXvOyMj4zcyywDv3PBQGsB</t>
  </si>
  <si>
    <t>C0171371P028</t>
  </si>
  <si>
    <t>https://drive.google.com/open?id=1V5awMhO_P_uB-PTAHoolqBIPnGDczwea</t>
  </si>
  <si>
    <t>C0171371P029</t>
  </si>
  <si>
    <t>https://drive.google.com/open?id=1n9ebRobhZkK_MC-lMHzYXBfMuYC-wI3_</t>
  </si>
  <si>
    <t>C0171371P030</t>
  </si>
  <si>
    <t>https://drive.google.com/open?id=1mK8MBCUZt1uDkQKJ_sdU-h1ffu8Wx9ZJ</t>
  </si>
  <si>
    <t>C0171371P031</t>
  </si>
  <si>
    <t>https://drive.google.com/open?id=1Ri9YKs08u1I5fmwLc5khRhXm7xcEAEbT</t>
  </si>
  <si>
    <t>C0171371P032</t>
  </si>
  <si>
    <t>https://drive.google.com/open?id=1hhVG0xzDwiaHz8U5rD2te7z2OV2G1fn0</t>
  </si>
  <si>
    <t>C0171371P033</t>
  </si>
  <si>
    <t>https://drive.google.com/open?id=1JoCs8fKhkXSL9hj-rpgBxEqWIkEFxkii</t>
  </si>
  <si>
    <t>C0171371P034</t>
  </si>
  <si>
    <t>https://drive.google.com/open?id=1_uF-nF1e9qw6Cli4wdnpegpoYAKeRN9X</t>
  </si>
  <si>
    <t>C0171371P035</t>
  </si>
  <si>
    <t>https://drive.google.com/open?id=1-pV_HFCNKGUykmwS5YD1ZaOhQdRtJquO</t>
  </si>
  <si>
    <t>C0171441E001</t>
  </si>
  <si>
    <t>https://drive.google.com/open?id=1N38xmnyOKc0AGzV2NgOrgcx-0UGHH6iE</t>
  </si>
  <si>
    <t>C0171441E002</t>
  </si>
  <si>
    <t>https://drive.google.com/open?id=1E4MFKBsTbYg69dEylJ2utDVFJ9U6cmWy</t>
  </si>
  <si>
    <t>C0171441E003</t>
  </si>
  <si>
    <t>https://drive.google.com/open?id=1mgmBlV0uv2kUrb4_z-WKAmmCZ3bd-yuF</t>
  </si>
  <si>
    <t>C0171471P031</t>
  </si>
  <si>
    <t>https://drive.google.com/open?id=1zdTGs8IIpYAH5bZGk4wlB3TjQkxjIa-y</t>
  </si>
  <si>
    <t>C0171471P032</t>
  </si>
  <si>
    <t>https://drive.google.com/open?id=11S6fNPT2eaqVBYn92GcuGcfSQOOdTjBK</t>
  </si>
  <si>
    <t>C0171471P033</t>
  </si>
  <si>
    <t>https://drive.google.com/open?id=1hnXJwIEXFR50t_GH5tZrK1LYspHGvio-</t>
  </si>
  <si>
    <t>C0171481P034</t>
  </si>
  <si>
    <t>https://drive.google.com/open?id=1dsdF3vQwj64oJ-gS1ipO5uOzGujcjvdI</t>
  </si>
  <si>
    <t>C0171521E001</t>
  </si>
  <si>
    <t>https://drive.google.com/open?id=1zkDfIaU0FgZgp05_SI59Urhb9nffvDMe</t>
  </si>
  <si>
    <t>C0171531E002</t>
  </si>
  <si>
    <t>https://drive.google.com/open?id=133H1wZ6bi6wi4DqBGke4ij5BqGzVIww5</t>
  </si>
  <si>
    <t>M2231411E004</t>
  </si>
  <si>
    <t>https://drive.google.com/open?id=1J7ntTpwAmirhUAXSvb8a5G0PtcAUTTrk</t>
  </si>
  <si>
    <t>M2231411E005</t>
  </si>
  <si>
    <t>https://drive.google.com/open?id=16rI0NU7wqhCtddgD3nYHI2qsg1xjOXqM</t>
  </si>
  <si>
    <t>M2231411E006</t>
  </si>
  <si>
    <t>https://drive.google.com/open?id=1zyKyqUoxgPf_83ImxE-gLo8sYy3k9T9Z</t>
  </si>
  <si>
    <t>M2231411E007</t>
  </si>
  <si>
    <t>https://drive.google.com/open?id=1TmPpKTvqWXXVj2ggiMJItmEB0c5W6plr</t>
  </si>
  <si>
    <t>M2231411E008</t>
  </si>
  <si>
    <t>https://drive.google.com/open?id=1s57R3-rJ8bnDUkzqBaS8opeXvct9aIPr</t>
  </si>
  <si>
    <t>M2231411E009</t>
  </si>
  <si>
    <t>https://drive.google.com/open?id=1RkabEN0avopv_P5Yf05c2dmZtycED7aS</t>
  </si>
  <si>
    <t>M2231411E010</t>
  </si>
  <si>
    <t>https://drive.google.com/open?id=17_ma55ZkP5RNCSfSTfC7RYOYEswnXf1S</t>
  </si>
  <si>
    <t>M2231411E011</t>
  </si>
  <si>
    <t>https://drive.google.com/open?id=13suz0_TQO_m7vdefUps7a1QoJnYuu3MU</t>
  </si>
  <si>
    <t>M2231421E012</t>
  </si>
  <si>
    <t>https://drive.google.com/open?id=1YgZ2X4TPBhf7fm41ihRTIGjRYoopC6YM</t>
  </si>
  <si>
    <t>M2231421E013</t>
  </si>
  <si>
    <t>https://drive.google.com/open?id=14TDUymcJxN3r8-BdTpQrtBP_D3aVbrj6</t>
  </si>
  <si>
    <t>M2231421E014</t>
  </si>
  <si>
    <t>https://drive.google.com/open?id=1TPs0l_ycuXO_fOlf7D34BoScJbjQFo9t</t>
  </si>
  <si>
    <t>M2231421E015</t>
  </si>
  <si>
    <t>https://drive.google.com/open?id=1GgOutdmAozNJJdvNbbOHOy5f5JZwXZYD</t>
  </si>
  <si>
    <t>M2231422E001</t>
  </si>
  <si>
    <t>https://drive.google.com/open?id=1TtTZIVGjZYmQPnf3KTdhSX_G76k069xM</t>
  </si>
  <si>
    <t>M2231431E001</t>
  </si>
  <si>
    <t>https://drive.google.com/open?id=1eWIwk69D8KHbkmUK0FXaFuL4VkTDvOEY</t>
  </si>
  <si>
    <t>M2231432E001</t>
  </si>
  <si>
    <t>https://drive.google.com/open?id=1x_al1w6X74jS8ZqVQlpkMap0g2SjVQHg</t>
  </si>
  <si>
    <t>M2231441E001</t>
  </si>
  <si>
    <t>https://drive.google.com/open?id=1vSaBajSh0o-wfkpkmts1CZjZD5BVELuo</t>
  </si>
  <si>
    <t>M2231441E002</t>
  </si>
  <si>
    <t>https://drive.google.com/open?id=1_kMr3aIVAhivIXsuqpuBk0GkNxQ4eV-j</t>
  </si>
  <si>
    <t>M2231441E003</t>
  </si>
  <si>
    <t>https://drive.google.com/open?id=1Vj7ijL-C5jOLOxpmHDW11P9DDJPLR77w</t>
  </si>
  <si>
    <t>M2231451E004</t>
  </si>
  <si>
    <t>https://drive.google.com/open?id=19T9ySz1CEK-ETrLZJPyLn032_x9roYJ0</t>
  </si>
  <si>
    <t>M2231451E005</t>
  </si>
  <si>
    <t>https://drive.google.com/open?id=1cSo_Q3oRU6r2nwvH7kjJIR16EUjCg3dw</t>
  </si>
  <si>
    <t>M0941921P021</t>
  </si>
  <si>
    <t>Polinomial</t>
  </si>
  <si>
    <t>https://drive.google.com/open?id=1NEeIu0YdrumvrvGTBfRiDhSSnqKlzmUm</t>
  </si>
  <si>
    <t>M0941921P022</t>
  </si>
  <si>
    <t>https://drive.google.com/open?id=1UMZIi31WZVNmuoeK8IwXwxaXolw3tg4u</t>
  </si>
  <si>
    <t>M0941931P023</t>
  </si>
  <si>
    <t>https://drive.google.com/open?id=1YDuVLc6IrtJiTaEpjr-lrXDLaeJXSltF</t>
  </si>
  <si>
    <t>M0941931P024</t>
  </si>
  <si>
    <t>https://drive.google.com/open?id=1-J2kYerkDiRUlnmC6SET8OuSnBOJqVbN</t>
  </si>
  <si>
    <t>M0941931P025</t>
  </si>
  <si>
    <t>https://drive.google.com/open?id=1T1MSVLgVpX4N_foZ9DzDiktxhEv9TdM3</t>
  </si>
  <si>
    <t>M1712371P012</t>
  </si>
  <si>
    <t>Turunan</t>
  </si>
  <si>
    <t>https://drive.google.com/open?id=1jNerNPAx0Q0uEkVyXY-9mdGCRzgISfBO</t>
  </si>
  <si>
    <t>M1712371P013</t>
  </si>
  <si>
    <t>https://drive.google.com/open?id=1A942_RZugyFiw1UFNllR2BvCIRsRgJeN</t>
  </si>
  <si>
    <t>M1712371P014</t>
  </si>
  <si>
    <t>https://drive.google.com/open?id=189DEedW35rTEP0dWV5UgmkrHirpeb_EO</t>
  </si>
  <si>
    <t>M1712371P015</t>
  </si>
  <si>
    <t>https://drive.google.com/open?id=1YxM2b15LjCd7GMPCd7d_8UgJqYupUUpm</t>
  </si>
  <si>
    <t>M1712371P016</t>
  </si>
  <si>
    <t>https://drive.google.com/open?id=13aY0Uj7BRSEWMMWlIH5wtaBkCbtQnemu</t>
  </si>
  <si>
    <t>M1712371P017</t>
  </si>
  <si>
    <t>https://drive.google.com/open?id=1rm8gTmTSmiwYFEiGSkPxHmioADXl9vQK</t>
  </si>
  <si>
    <t>M1712371P018</t>
  </si>
  <si>
    <t>https://drive.google.com/open?id=1iCIG6KEEwwxT4OHEctXrdhuJpgXSU4an</t>
  </si>
  <si>
    <t>M1712371P019</t>
  </si>
  <si>
    <t>https://drive.google.com/open?id=11ePSFsWTeYtmUmgTrNuuiBvNNBh0D2gd</t>
  </si>
  <si>
    <t>M1712371P020</t>
  </si>
  <si>
    <t>https://drive.google.com/open?id=1H3l68cUDIjxRMqE0GH2jvjS02-SoRLz1</t>
  </si>
  <si>
    <t>M1072051a002</t>
  </si>
  <si>
    <t>https://drive.google.com/open?id=1Id0genanF-228EAg3bGvvxYtjLdfCX-H</t>
  </si>
  <si>
    <t>M1072051b002</t>
  </si>
  <si>
    <t>https://drive.google.com/open?id=1Y5e58SCrGXJ23cDASZicHbzMnNS8jtQy</t>
  </si>
  <si>
    <t>M1072051c002</t>
  </si>
  <si>
    <t>https://drive.google.com/open?id=1TlwD8mHKuD9t55-dKu_DAaBSsh-J1aYG</t>
  </si>
  <si>
    <t>M1072051d002</t>
  </si>
  <si>
    <t>https://drive.google.com/open?id=1ZcTKtDIY5d1-QGWq7csVJwHgUTeFfIY7</t>
  </si>
  <si>
    <t>M1072051e002</t>
  </si>
  <si>
    <t>https://drive.google.com/open?id=1nzQob6fLzskkmuDT-iznVJ5heOXJAxaa</t>
  </si>
  <si>
    <t>M1072051f002</t>
  </si>
  <si>
    <t>https://drive.google.com/open?id=1d00O-rLpM2ibBkuxOAOUHxBfJmxqEG1d</t>
  </si>
  <si>
    <t>M1872382E002</t>
  </si>
  <si>
    <t>Integral</t>
  </si>
  <si>
    <t>https://drive.google.com/open?id=1LYhxHLD3eHxFIQ1ws0Kz9Ui7Lg241V5x</t>
  </si>
  <si>
    <t>M1800764E002</t>
  </si>
  <si>
    <t>https://drive.google.com/open?id=1QiLfV6OpqYz0qb-GmNI_zCC5VIz3H2gg</t>
  </si>
  <si>
    <t>M2641391P002</t>
  </si>
  <si>
    <t>https://drive.google.com/open?id=1mUHTHdDNhzcZi2jgNprcbZRewqmLofog</t>
  </si>
  <si>
    <t>M2641391P003</t>
  </si>
  <si>
    <t>https://drive.google.com/open?id=1K4sqY_eAHtENASwGbLy-AuWjIUtN7HWw</t>
  </si>
  <si>
    <t>M2641391P004</t>
  </si>
  <si>
    <t>https://drive.google.com/open?id=14ZNl3McOPgySgK5v739yqTkNC4RHXpy5</t>
  </si>
  <si>
    <t>M2641391P005</t>
  </si>
  <si>
    <t>https://drive.google.com/open?id=1myBBHw5Llb31ujtaavWpm-EGsstBmu4o</t>
  </si>
  <si>
    <t>M2641391P006</t>
  </si>
  <si>
    <t>https://drive.google.com/open?id=1sRn226OAndn0lzUljkHbz3KoEIwEmHFP</t>
  </si>
  <si>
    <t>M2641391P007</t>
  </si>
  <si>
    <t>https://drive.google.com/open?id=1fLonbYKz8bE-BIvuafxs3toJVHE03963</t>
  </si>
  <si>
    <t>M2641391P008</t>
  </si>
  <si>
    <t>https://drive.google.com/open?id=1WruPHyWWHH6TkxyOmW1CzSb6ubMtRkis</t>
  </si>
  <si>
    <t>M2641401P009</t>
  </si>
  <si>
    <t>https://drive.google.com/open?id=1jhvfR6xm8JxJMN__aQis4G5n5-vxq9Tk</t>
  </si>
  <si>
    <t>M2641401P010</t>
  </si>
  <si>
    <t>https://drive.google.com/open?id=1o-5LotfA4eHSyYQnOYk86qT0qyRJFrIy</t>
  </si>
  <si>
    <t>M2641401P011</t>
  </si>
  <si>
    <t>https://drive.google.com/open?id=1uhVuN1uJHlgKtndbTWCyFcYiviMwDYPo</t>
  </si>
  <si>
    <t>M2641401P012</t>
  </si>
  <si>
    <t>https://drive.google.com/open?id=1LGdwaYpR7pICN07N5hjcIHBeyZTqfm14</t>
  </si>
  <si>
    <t>M2641401P013</t>
  </si>
  <si>
    <t>https://drive.google.com/open?id=14CpM3GfzZhjmP9D8QKvSJ1-lfRdcds66</t>
  </si>
  <si>
    <t>M2641401P014</t>
  </si>
  <si>
    <t>https://drive.google.com/open?id=1V5wAYcKchKccQufs6M2hK0kX2qlwNwQA</t>
  </si>
  <si>
    <t>M2641401P015</t>
  </si>
  <si>
    <t>https://drive.google.com/open?id=1Cu8yYYQ7QaSKusxba1liumKum9q6b1HD</t>
  </si>
  <si>
    <t>B0053924P006</t>
  </si>
  <si>
    <t>https://drive.google.com/open?id=1Rf9cuRJ8ugQphfGwq43ZuZs1mPgPkkLE</t>
  </si>
  <si>
    <t>M1083201P044</t>
  </si>
  <si>
    <t>https://drive.google.com/open?id=1h93iXLjEQDwt1BxgIzKTnxOXZuaM-Rdc</t>
  </si>
  <si>
    <t>M1083201P045</t>
  </si>
  <si>
    <t>https://drive.google.com/open?id=1aX5Y-64J1HEQRlzagLnzv9MNPbpkEIGp</t>
  </si>
  <si>
    <t>M1083201P046</t>
  </si>
  <si>
    <t>https://drive.google.com/open?id=1EM5TnsafzvS9EuMWznAqByRn5OYolxvS</t>
  </si>
  <si>
    <t>M1083201P047</t>
  </si>
  <si>
    <t>https://drive.google.com/open?id=1MDwwLp7SxPMlUUwHYBGRWwo-Zqw5k5HP</t>
  </si>
  <si>
    <t>M1083201P048</t>
  </si>
  <si>
    <t>https://drive.google.com/open?id=1DxsD8uUOffZK-eJSTydAgyv_JCNFcZnO</t>
  </si>
  <si>
    <t>M1083201P049</t>
  </si>
  <si>
    <t>https://drive.google.com/open?id=13UUEL4FUr1nkLtbT_wRTHrYtrEKZUkUg</t>
  </si>
  <si>
    <t>M2790641P010</t>
  </si>
  <si>
    <t>Trigonometri</t>
  </si>
  <si>
    <t>https://drive.google.com/open?id=1bV2BQdvtDX0mNrng2cFn38zfNdRs00Ma</t>
  </si>
  <si>
    <t>M2790651P011</t>
  </si>
  <si>
    <t>https://drive.google.com/open?id=1Lh8R1V-2LRTqdLM70dhade2EBMBvsL3J</t>
  </si>
  <si>
    <t>M2790651P012</t>
  </si>
  <si>
    <t>https://drive.google.com/open?id=1QL6jmBnSomEEhk29PwVT3aUaf8ThlxMV</t>
  </si>
  <si>
    <t>M2790651P013</t>
  </si>
  <si>
    <t>https://drive.google.com/open?id=1JyqcYUY2-i4DzdAnuWEK6aWyX-neU8kI</t>
  </si>
  <si>
    <t>M2790651P014</t>
  </si>
  <si>
    <t>https://drive.google.com/open?id=1vEHWQPdWGM8Duc7hduQ_3qivN1sUH-YU</t>
  </si>
  <si>
    <t>M2790651P015</t>
  </si>
  <si>
    <t>https://drive.google.com/open?id=1RMAKj1z8U-1CeKg81jrjaaRmNU87dbFP</t>
  </si>
  <si>
    <t>M2790651P016</t>
  </si>
  <si>
    <t>https://drive.google.com/open?id=13R5DKVuaGd4PR4WqASh1RItq6T_gCwrQ</t>
  </si>
  <si>
    <t>M2790651P017</t>
  </si>
  <si>
    <t>https://drive.google.com/open?id=1WS2cc4kz9vWPgcLYVrLQTSboCTzcln6W</t>
  </si>
  <si>
    <t>M2790651P018</t>
  </si>
  <si>
    <t>https://drive.google.com/open?id=1-Emh5CwOSWdNqOhyYBwNuu8LetJ32z1L</t>
  </si>
  <si>
    <t>M2622421E016</t>
  </si>
  <si>
    <t>Statistika Inferensia</t>
  </si>
  <si>
    <t>https://drive.google.com/open?id=14daKGw8PZvR9G_GO8Ct6ddnmxobk-_k_</t>
  </si>
  <si>
    <t>M2622471P015</t>
  </si>
  <si>
    <t>https://drive.google.com/open?id=19uIWqbm7qJqrTV10c9qYsjfSrmKgDgjC</t>
  </si>
  <si>
    <t>M2631241E004</t>
  </si>
  <si>
    <t>Fungsi</t>
  </si>
  <si>
    <t>https://drive.google.com/open?id=1vbDHg0Pm_fAMPczqKc6k167hYyweh-Yk</t>
  </si>
  <si>
    <t>M2631241E005</t>
  </si>
  <si>
    <t>https://drive.google.com/open?id=13lO4qHPAp4FXIT0Mg8bU1K6R_MSsHMDe</t>
  </si>
  <si>
    <t>M2631241E013</t>
  </si>
  <si>
    <t>https://drive.google.com/open?id=1aPW_rbbaG6JNgHAeEYhqQwQ1j0gjjqgY</t>
  </si>
  <si>
    <t>M2631241E014</t>
  </si>
  <si>
    <t>https://drive.google.com/open?id=1V73O1MGT_XkWI9v5z23MbxAb0UyeZtLO</t>
  </si>
  <si>
    <t>M2631241E015</t>
  </si>
  <si>
    <t>https://drive.google.com/open?id=1as6gQffXagKQTK3gUqwCaASa5TegoE7X</t>
  </si>
  <si>
    <t>M2631251a001</t>
  </si>
  <si>
    <t>https://drive.google.com/open?id=1v58rfvMiAaszejV1O8Qm3xpec-rOaLTM</t>
  </si>
  <si>
    <t>M2631251b001</t>
  </si>
  <si>
    <t>https://drive.google.com/open?id=14EEuENnsFQVxcnuWYObJWYzKaVixq81b</t>
  </si>
  <si>
    <t>A0021114P023</t>
  </si>
  <si>
    <t>https://drive.google.com/open?id=1OyiP7GgZiqtWgYVBimXWbcSFVU3Krp-1</t>
  </si>
  <si>
    <t>M0841121E006</t>
  </si>
  <si>
    <t>https://drive.google.com/open?id=1FZy5maHqayHWGnmLoigZtKI5cIOYq7aZ</t>
  </si>
  <si>
    <t>C0171101P008</t>
  </si>
  <si>
    <t>https://drive.google.com/open?id=18TRgovRvlrbOGVDHKFg467_8DhqpFpLT</t>
  </si>
  <si>
    <t>M2790672E003</t>
  </si>
  <si>
    <t>https://drive.google.com/open?id=1yQsX8rlgNbikQT3hNzxhqeBesahex57b</t>
  </si>
  <si>
    <t>M2622461P004</t>
  </si>
  <si>
    <t>https://drive.google.com/open?id=1iCKyI-XijUGIY1yAKKMidDAgrK1olXmt</t>
  </si>
  <si>
    <t>M2622481P021</t>
  </si>
  <si>
    <t>https://drive.google.com/open?id=1-zARn-XTc_7BRmQhuhgq6tBLB-lWbWmc</t>
  </si>
  <si>
    <t>M2622482E003</t>
  </si>
  <si>
    <t>https://drive.google.com/open?id=1W-qT7Tr11laE0rWyTea_jGYZYCMOloqt</t>
  </si>
  <si>
    <t>M1110603E001</t>
  </si>
  <si>
    <t>Statistika Wajib</t>
  </si>
  <si>
    <t>https://drive.google.com/open?id=19BfV-zVWMRJB5o9ttdnrW-ANNJGvWDKC</t>
  </si>
  <si>
    <t>M1110681E001</t>
  </si>
  <si>
    <t>https://drive.google.com/open?id=1lRYjXuq5t3vCSh9gzXwX0tR64H_U7U44</t>
  </si>
  <si>
    <t>M2900811P051</t>
  </si>
  <si>
    <t>https://drive.google.com/open?id=1IwPKzNETwXnMTUO8DrYGV2QBbj2TmHe7</t>
  </si>
  <si>
    <t>M2900811P050</t>
  </si>
  <si>
    <t>https://drive.google.com/open?id=1cBWLApW-Z62zK7cMFq1Jo-u-rWaOvzwQ</t>
  </si>
  <si>
    <t>M2900811P052</t>
  </si>
  <si>
    <t>https://drive.google.com/open?id=1EdQlnAcAG3pNmpiyrHK_nF4Lf2Z2UlOd</t>
  </si>
  <si>
    <t>M2900871P100</t>
  </si>
  <si>
    <t>https://drive.google.com/open?id=1s1kR1RMa4utt7rJbWmZAOGxLsXC6Aqm8</t>
  </si>
  <si>
    <t>M2900871P101</t>
  </si>
  <si>
    <t>https://drive.google.com/open?id=19gFMuwU2hGTtwirt3nEgUR3ya17zn7qT</t>
  </si>
  <si>
    <t>M2900871P102</t>
  </si>
  <si>
    <t>https://drive.google.com/open?id=1yF7Ft9VGIMmP6bJ3mCXEfBEfkE7yqNOI</t>
  </si>
  <si>
    <t>M2901171P062</t>
  </si>
  <si>
    <t>https://drive.google.com/open?id=1Nzq_Fu6qzKLdA0VheaVBIGsaTcNL96cx</t>
  </si>
  <si>
    <t>M2901181P063</t>
  </si>
  <si>
    <t>https://drive.google.com/open?id=1_DCPAmd3i1AyTs_YOjNKrazlkfD_USSj</t>
  </si>
  <si>
    <t>M2901181P064</t>
  </si>
  <si>
    <t>https://drive.google.com/open?id=1aVkXs6REjK_-voypP2t6QNhGuKv2y8Tv</t>
  </si>
  <si>
    <t>M2901431P033</t>
  </si>
  <si>
    <t>Barisan</t>
  </si>
  <si>
    <t>https://drive.google.com/open?id=1UDAr5gabOU2nLxRKyuec3UAWJlF_xVXt</t>
  </si>
  <si>
    <t>M2901431P034</t>
  </si>
  <si>
    <t>https://drive.google.com/open?id=1N2t_vakSb-pyhNE5J1yhvtgvISaXz0yX</t>
  </si>
  <si>
    <t>M2901431P035</t>
  </si>
  <si>
    <t>https://drive.google.com/open?id=1d1Aqx_IbcyDn3ydRTpK3aWn4G8cawfFD</t>
  </si>
  <si>
    <t>M2902691P035</t>
  </si>
  <si>
    <t>Limit Fungsi</t>
  </si>
  <si>
    <t>https://drive.google.com/open?id=1AHf5rWPIW3_rEyx8WOZo6GU_xQ2LbRj_</t>
  </si>
  <si>
    <t>M2902691P036</t>
  </si>
  <si>
    <t>https://drive.google.com/open?id=10VfQr2vMmOCeZUQYUqaH2VBpbmlQXIXh</t>
  </si>
  <si>
    <t>M2902691P037</t>
  </si>
  <si>
    <t>https://drive.google.com/open?id=1e-4WbROK48_yVErGzyGDWxxBNU_1LpR8</t>
  </si>
  <si>
    <t>M3130501P013</t>
  </si>
  <si>
    <t>https://drive.google.com/open?id=1jrRLebBdboerDnOAV2ZIf-OvdPozpUcg</t>
  </si>
  <si>
    <t>M2380751E008</t>
  </si>
  <si>
    <t>Irisan Kerucut</t>
  </si>
  <si>
    <t>https://drive.google.com/open?id=1F4H4l4TAF0OHZaX7l_b-tfVnJv5pHI1m</t>
  </si>
  <si>
    <t>M2960021P005</t>
  </si>
  <si>
    <t>https://drive.google.com/open?id=1dWTZEPz5O22meM6OfuxzjIhzFluPdq6M</t>
  </si>
  <si>
    <t>M0430842E001</t>
  </si>
  <si>
    <t>https://drive.google.com/open?id=16L-qI3tYq9pNYGgb8Ioxr7SfWCXrnpxD</t>
  </si>
  <si>
    <t>M2671031P006</t>
  </si>
  <si>
    <t>Dimensi Tiga</t>
  </si>
  <si>
    <t>https://drive.google.com/open?id=1P3_Mot-fSpe09G6d-uZG5pVtMaiGddbb</t>
  </si>
  <si>
    <t>M2671051P016</t>
  </si>
  <si>
    <t>https://drive.google.com/open?id=1W3iDlw6B4FjLPLuqDKSJZk1RO-zk8D37</t>
  </si>
  <si>
    <t>B0101021P020</t>
  </si>
  <si>
    <t>https://drive.google.com/open?id=1N7wm2JWxFx794hbVcIpyLTXfuJ0oprDc</t>
  </si>
  <si>
    <t>B0101131c001</t>
  </si>
  <si>
    <t>https://drive.google.com/open?id=1-H1eHTxeoZ-XqBlcjzdIMslNrdnW5V_a</t>
  </si>
  <si>
    <t>M2671861P002</t>
  </si>
  <si>
    <t>https://drive.google.com/open?id=1giwpFxcQl3a0vqrOtXOVB9laeTDUTJkq</t>
  </si>
  <si>
    <t>M2870752E009</t>
  </si>
  <si>
    <t>https://drive.google.com/open?id=1Em5mEJW6jcunW10emtDKuvxVyOFsf21M</t>
  </si>
  <si>
    <t>M2780371E001</t>
  </si>
  <si>
    <t>https://drive.google.com/open?id=1WYkC3TX64nwmMy3KK0HKKWeukhot9a0q</t>
  </si>
  <si>
    <t>M2780422E001</t>
  </si>
  <si>
    <t>https://drive.google.com/open?id=1LkcPQFNDbBCbQkpWGPT66cMglKmyV_Jt</t>
  </si>
  <si>
    <t>M2780481E001</t>
  </si>
  <si>
    <t>https://drive.google.com/open?id=1oEUfhONtGPvFTnMLIIFBN1-3gWzmWpYt</t>
  </si>
  <si>
    <t>M2903581P077</t>
  </si>
  <si>
    <t>https://drive.google.com/open?id=1nwjx7K6UcYKg1eus1rHc6EzvBQ8I6hMp</t>
  </si>
  <si>
    <t>M2640351P044</t>
  </si>
  <si>
    <t>Sistem Pertidaksamaan Dua Variabel</t>
  </si>
  <si>
    <t>https://drive.google.com/open?id=1moHA_0PYjuGFE1wnfRs4dLlyi0JUgoSH</t>
  </si>
  <si>
    <t>M2640371P053</t>
  </si>
  <si>
    <t>https://drive.google.com/open?id=14RUEOV9hD9gejk9fWCu7hf_WOR6nFlbO</t>
  </si>
  <si>
    <t>M2640401P065</t>
  </si>
  <si>
    <t>https://drive.google.com/open?id=17p0vcG3rUPJdrXT1JHLzBbWadIb8WNW5</t>
  </si>
  <si>
    <t>M2640631P027</t>
  </si>
  <si>
    <t>https://drive.google.com/open?id=1uvZuDWkVFnO8klFVM0TsK6kxz63jEYu5</t>
  </si>
  <si>
    <t>M2640662E008</t>
  </si>
  <si>
    <t>https://drive.google.com/open?id=15BpRggrDZgn3LNE1hVWbFpUYlTAYE6oN</t>
  </si>
  <si>
    <t>M2650131E001</t>
  </si>
  <si>
    <t>https://drive.google.com/open?id=1OK-TJgGzEfU949vtT8QrTOKNmg9Lyrrw</t>
  </si>
  <si>
    <t>M2650141a003</t>
  </si>
  <si>
    <t>https://drive.google.com/open?id=1U4sgkv1xLk6liwpBJum_DPcwMC_oADz7</t>
  </si>
  <si>
    <t>M2650242E007</t>
  </si>
  <si>
    <t>Sistem Persamaan Linear</t>
  </si>
  <si>
    <t>https://drive.google.com/open?id=1YuMMALM0XJ3J48lJQseC3ZTzDzV3eknb</t>
  </si>
  <si>
    <t>M2650261E005</t>
  </si>
  <si>
    <t>https://drive.google.com/open?id=1zW08dDm6w4pzj5BJZtkP6DTRD1_GsYTH</t>
  </si>
  <si>
    <t>M2650452c010</t>
  </si>
  <si>
    <t>https://drive.google.com/open?id=1Agq1bvb6mxTPriwHDrjqvmtsYzr-DpuC</t>
  </si>
  <si>
    <t>M2651282E001</t>
  </si>
  <si>
    <t>https://drive.google.com/open?id=19uXDdjJZFxKQ_cNBY6CVrQsLJuufydOM</t>
  </si>
  <si>
    <t>M2651452a008</t>
  </si>
  <si>
    <t>https://drive.google.com/open?id=1Kd5e0-PuIXSqNIFOi61fzU-Sfwwr4Y9a</t>
  </si>
  <si>
    <t>M2770601E001</t>
  </si>
  <si>
    <t>https://drive.google.com/open?id=1y-kwm_Ymy8nUlz54qvltWaKxyDiM9UJD</t>
  </si>
  <si>
    <t>M2780301E001</t>
  </si>
  <si>
    <t>https://drive.google.com/open?id=1P_LOg5VVKQBfmXhxzqvOQcxgNXyorXNv</t>
  </si>
  <si>
    <t>M2640641P033</t>
  </si>
  <si>
    <t>https://drive.google.com/open?id=17tnUv2Bt_tJTgE1sgr2zsJr4urVQPcrR</t>
  </si>
  <si>
    <t>M3201571E001</t>
  </si>
  <si>
    <t>https://drive.google.com/open?id=1fH-7cm8MxyXBhF5MZ58lZoqVLfxFiaSE</t>
  </si>
  <si>
    <t>M1170681P026</t>
  </si>
  <si>
    <t>https://drive.google.com/open?id=1RuHhzQavQI7rcJwMhwSJQV0t_2ReRAl0</t>
  </si>
  <si>
    <t>M1170681P030</t>
  </si>
  <si>
    <t>https://drive.google.com/open?id=1J5XK5pUGnmUL1ajuvjochLdDj6fj1BbZ</t>
  </si>
  <si>
    <t>M1170721P001</t>
  </si>
  <si>
    <t>Matriks</t>
  </si>
  <si>
    <t>https://drive.google.com/open?id=1t5nOrUt1kywdTtetcCyvRZYy0JgAYVQK</t>
  </si>
  <si>
    <t>M2111081E003</t>
  </si>
  <si>
    <t>Transformasi Geometri</t>
  </si>
  <si>
    <t>https://drive.google.com/open?id=1qOQniQZpuZHFfjppvIm9WwDfIHNaAcBG</t>
  </si>
  <si>
    <t>M1800881E002</t>
  </si>
  <si>
    <t>https://drive.google.com/open?id=1sm2wVddua3mRlch7N-G1dIg-CwFeCLRH</t>
  </si>
  <si>
    <t>M2570432E008</t>
  </si>
  <si>
    <t>https://drive.google.com/open?id=138zFez85VYl1mj2nKIW1iH7KGYRRyOql</t>
  </si>
  <si>
    <t>M2671861P006</t>
  </si>
  <si>
    <t>https://drive.google.com/open?id=1wDAWCGTSc4SkkIocynnSqtq4amlWJh7P</t>
  </si>
  <si>
    <t>M3201521E005</t>
  </si>
  <si>
    <t>https://drive.google.com/open?id=1vyRi4e4jGq3bEErn1cyfV6s5R6BUtgYT</t>
  </si>
  <si>
    <t>M1172291P012</t>
  </si>
  <si>
    <t>https://drive.google.com/open?id=1NT60xg9wXpX7nOoh6oXXjMgdntEwY4tm</t>
  </si>
  <si>
    <t>M2942461P003</t>
  </si>
  <si>
    <t>https://drive.google.com/open?id=17Dj4htzs4P3CcPKPqPp3nmoJhODwNVRf</t>
  </si>
  <si>
    <t>M3010254E019</t>
  </si>
  <si>
    <t>https://drive.google.com/open?id=1-phNohaOd8GCH5uss5Tnt-YkX0jxzJ44</t>
  </si>
  <si>
    <t>M3020541P020</t>
  </si>
  <si>
    <t>https://drive.google.com/open?id=1PKSAi7E6hDLzNx8jcgUfpMQVWyswDGWK</t>
  </si>
  <si>
    <t>A0030120E007</t>
  </si>
  <si>
    <t>https://drive.google.com/open?id=1s7Guk0fhX8YWAIKwore0lUdsYFJGCdWy</t>
  </si>
  <si>
    <t>A0030269E003</t>
  </si>
  <si>
    <t>https://drive.google.com/open?id=1ODlDBTzwcllYYgsCb3HK-WO0bl2dUGEv</t>
  </si>
  <si>
    <t>A0030426P005</t>
  </si>
  <si>
    <t>https://drive.google.com/open?id=13C5yM9F96D1wAAbJVC6hPRz4gg3sQ-Aa</t>
  </si>
  <si>
    <t>A0030803E008</t>
  </si>
  <si>
    <t>https://drive.google.com/open?id=1gbqIMnguwaLEVnQwGetsvSQXajjFuZxl</t>
  </si>
  <si>
    <t>B0030182E001</t>
  </si>
  <si>
    <t>https://drive.google.com/open?id=1FkkVl11XzEGSZQPIgj07F0s3iyxapvFg</t>
  </si>
  <si>
    <t>B0030482E001</t>
  </si>
  <si>
    <t>https://drive.google.com/open?id=1h-VRyJLjfCqvNDMAvFwt2Fz0dkkdpuaD</t>
  </si>
  <si>
    <t>B0030562E001</t>
  </si>
  <si>
    <t>https://drive.google.com/open?id=1JoZbSe42dTAT6Xp2ZiQivMkNyb-TjPlx</t>
  </si>
  <si>
    <t>B0030722E001</t>
  </si>
  <si>
    <t>https://drive.google.com/open?id=1degn2HpE5eTVyzXYnszvaYAILfdgDEyv</t>
  </si>
  <si>
    <t>B0030872E001</t>
  </si>
  <si>
    <t>https://drive.google.com/open?id=1Xx6oRcZ0v_OnNoWZmhkidTzNvNhuOixw</t>
  </si>
  <si>
    <t>B0031012E001</t>
  </si>
  <si>
    <t>https://drive.google.com/open?id=1PERTopcFMI8Gfu3oDGg-oVHyraFZL46m</t>
  </si>
  <si>
    <t>B0031162E001</t>
  </si>
  <si>
    <t>https://drive.google.com/open?id=1MaSizkB7q7qS300-wvCDWUmQosZiwXDv</t>
  </si>
  <si>
    <t>B0031322E001</t>
  </si>
  <si>
    <t>https://drive.google.com/open?id=17AvdEiBIavoUSM810lYxNmKXhGEAsezw</t>
  </si>
  <si>
    <t>B0031472E001</t>
  </si>
  <si>
    <t>https://drive.google.com/open?id=1ZG3qgu5dNwVW52Wq_u1Rmi6ML5Z0mLu8</t>
  </si>
  <si>
    <t>B0031622a001</t>
  </si>
  <si>
    <t>https://drive.google.com/open?id=1RcCrMhFc17yKY4PbxZjMCHKC1h0MBLLo</t>
  </si>
  <si>
    <t>B0031762E001</t>
  </si>
  <si>
    <t>https://drive.google.com/open?id=1zu2sZGwucDI5wvBU2e1QzTcNwzqWBDIl</t>
  </si>
  <si>
    <t>B0031902E001</t>
  </si>
  <si>
    <t>https://drive.google.com/open?id=1zzemCnZACWRXIx7CPPBwsMcp5HBfdJo7</t>
  </si>
  <si>
    <t>B0031962E004</t>
  </si>
  <si>
    <t>https://drive.google.com/open?id=1lesimwwcoIvq80LEJjE4jryyzPcFzt53</t>
  </si>
  <si>
    <t>B0031982a001</t>
  </si>
  <si>
    <t>https://drive.google.com/open?id=1UoJWPEhN92A1hIA_HSKwKMaaXG3ysx6m</t>
  </si>
  <si>
    <t>B0032022E002</t>
  </si>
  <si>
    <t>https://drive.google.com/open?id=18tjxzIV5vedSwUClfx9-Ynl2JiZ0h05H</t>
  </si>
  <si>
    <t>B0032052a001</t>
  </si>
  <si>
    <t>https://drive.google.com/open?id=1b0GrcGnG9WibVmqx4A79dsbIp1zdwfd0</t>
  </si>
  <si>
    <t>B0032092E002</t>
  </si>
  <si>
    <t>https://drive.google.com/open?id=1MnvQ6WZvRbSfIc3AR4oMPaYxSjA5p_tJ</t>
  </si>
  <si>
    <t>B0032132a002</t>
  </si>
  <si>
    <t>https://drive.google.com/open?id=1C162ZFY9n9lI-BLBg7ZEjudArxVfef1_</t>
  </si>
  <si>
    <t>B0032172P001</t>
  </si>
  <si>
    <t>https://drive.google.com/open?id=1SGI8IMnVwtpDs8017qGqpVFmRGhdL-WH</t>
  </si>
  <si>
    <t>B0032212E001</t>
  </si>
  <si>
    <t>https://drive.google.com/open?id=1DflnGbNLkCjm5q7DHqCzgZMFZ8ctdxLI</t>
  </si>
  <si>
    <t>B0032252E001</t>
  </si>
  <si>
    <t>https://drive.google.com/open?id=1ZrcrB5fIcaptbPkWyIPlJMSPBNzACI0C</t>
  </si>
  <si>
    <t>M3200082E002</t>
  </si>
  <si>
    <t>https://drive.google.com/open?id=1eghSKEPqgJ6cz3d1pyvAvKvndqeVFutZ</t>
  </si>
  <si>
    <t>M3200082E003</t>
  </si>
  <si>
    <t>https://drive.google.com/open?id=1ZqnIUZL7OqOO6TwxsoeK4wlQwp3GnaKs</t>
  </si>
  <si>
    <t>M3200082E004</t>
  </si>
  <si>
    <t>https://drive.google.com/open?id=1MRbW_CrXgPE4XDulno4gS6t6lq3xwpBi</t>
  </si>
  <si>
    <t>M3200092E005</t>
  </si>
  <si>
    <t>https://drive.google.com/open?id=1aFEe_IIOk4-JRq81wIxQ02fillWqp6yD</t>
  </si>
  <si>
    <t>M3200121E001</t>
  </si>
  <si>
    <t>https://drive.google.com/open?id=1epcNPyRKeX4JNuussZjNlkjdMQxttkod</t>
  </si>
  <si>
    <t>M3200121E002</t>
  </si>
  <si>
    <t>https://drive.google.com/open?id=1ECWwgYs9moiXgFEg_WY4YuDqYMDnQS6v</t>
  </si>
  <si>
    <t>M3200121E003</t>
  </si>
  <si>
    <t>https://drive.google.com/open?id=18sqNGuOAfyjmjcSPrkMBgktY1_vqnM5i</t>
  </si>
  <si>
    <t>M3200121E004</t>
  </si>
  <si>
    <t>https://drive.google.com/open?id=1L6S3FEz8H8Lj7MO6rge-Bl8qMirsL6X2</t>
  </si>
  <si>
    <t>M3200151E001</t>
  </si>
  <si>
    <t>https://drive.google.com/open?id=1BPpEi_RHCSaJZxPZjIZF0QZmyG4i52Rg</t>
  </si>
  <si>
    <t>M3200151E002</t>
  </si>
  <si>
    <t>https://drive.google.com/open?id=1YP511R8ovm43eenizJ_RjljOMUHTStQI</t>
  </si>
  <si>
    <t>M2901871P094</t>
  </si>
  <si>
    <t>https://drive.google.com/open?id=1oBIRNE4SlB79Hd3Rq-cXQzILl2ZZrE7R</t>
  </si>
  <si>
    <t>M3010193E014</t>
  </si>
  <si>
    <t>https://drive.google.com/open?id=1uXYAsIS0gWVhrVvxpF2YviEQmw1b53R7</t>
  </si>
  <si>
    <t>A0030469E005</t>
  </si>
  <si>
    <t>https://drive.google.com/open?id=1LjlNjKsqgPLXCRK9VCLKBH6et5o97IJ5</t>
  </si>
  <si>
    <t>B0031712E001</t>
  </si>
  <si>
    <t>https://drive.google.com/open?id=1dhTjsnnznoRTulZKmIQ6cqLOQT6YjiyV</t>
  </si>
  <si>
    <t>M2904071P171</t>
  </si>
  <si>
    <t>https://drive.google.com/open?id=1vgXpLJcWlb21CEHn_C1HW8UCrjoU6UmP</t>
  </si>
  <si>
    <t>M2970451P006</t>
  </si>
  <si>
    <t>Sistem Persamaan Dua Variabel</t>
  </si>
  <si>
    <t>https://drive.google.com/open?id=135iCVVquStfJbUFXswmHsajc6hh2GVUH</t>
  </si>
  <si>
    <t>M1013933P003</t>
  </si>
  <si>
    <t>https://drive.google.com/open?id=14hSV_ZzBuUOmbjAlWvs6PUxl-n0CdKuf</t>
  </si>
  <si>
    <t>B0056903E004</t>
  </si>
  <si>
    <t>Logika Matematika</t>
  </si>
  <si>
    <t>https://drive.google.com/open?id=1gPH2W6HBVnyRnz0U7xUfJ0Tu7yNVg4hD</t>
  </si>
  <si>
    <t>M2631351c001</t>
  </si>
  <si>
    <t>https://drive.google.com/open?id=1RIJRdmPDMz1sOrJwFgpjeodO4X0enCl8</t>
  </si>
  <si>
    <t>B0113201E001</t>
  </si>
  <si>
    <t>https://drive.google.com/open?id=1ujv5QAEQ0ebN1DXmXbdSp7bTwKr5CQFj</t>
  </si>
  <si>
    <t>B0113211E001</t>
  </si>
  <si>
    <t>https://drive.google.com/open?id=1LibamCDpekL4OYIlJf5fYR9iXF4RTA2y</t>
  </si>
  <si>
    <t>B0113221E001</t>
  </si>
  <si>
    <t>https://drive.google.com/open?id=1A0SsbBkEPk5ofIRv8XHr_YPxdDiFJ8Hj</t>
  </si>
  <si>
    <t>B0113241E034</t>
  </si>
  <si>
    <t>https://drive.google.com/open?id=1urog-tWfzETPVZ_sgeGI55NPWnMNhCTf</t>
  </si>
  <si>
    <t>B0113261E010</t>
  </si>
  <si>
    <t>https://drive.google.com/open?id=1tw2C2Z2bPRVt-Dm-TPaMAxAs-Qr-DAVm</t>
  </si>
  <si>
    <t>B0050771E001</t>
  </si>
  <si>
    <t>Limit Fungsi Trigonometri</t>
  </si>
  <si>
    <t>https://drive.google.com/open?id=1JdCTzeYne3Zdj9sI3bw5GQUnGgfb8rb7</t>
  </si>
  <si>
    <t>B0050771E002</t>
  </si>
  <si>
    <t>https://drive.google.com/open?id=1vL6UHQRAmZi-7kTtSK1fv2RYORHAZH9l</t>
  </si>
  <si>
    <t>B0050771E003</t>
  </si>
  <si>
    <t>https://drive.google.com/open?id=1mNSVdpAAAnnPVxe0V_XT2CDdfnxrQOmM</t>
  </si>
  <si>
    <t>B0050771E004</t>
  </si>
  <si>
    <t>https://drive.google.com/open?id=1y9p9dFmZ-CiyBMV4KibLL0xf2RWNJfQ2</t>
  </si>
  <si>
    <t>B0050771E005</t>
  </si>
  <si>
    <t>https://drive.google.com/open?id=1Xw8qELoVT7HvWPeLeazYQAQlSLU0t8Bs</t>
  </si>
  <si>
    <t>B0050771E006</t>
  </si>
  <si>
    <t>https://drive.google.com/open?id=1mUMOhL7iFYxHyg_dzEcccPRWSglMd9en</t>
  </si>
  <si>
    <t>M3260171E003</t>
  </si>
  <si>
    <t>https://drive.google.com/open?id=1DWyoNVY6gue_lY3iWBR2lr7hW7YCILfS</t>
  </si>
  <si>
    <t>B0112781P001</t>
  </si>
  <si>
    <t>https://drive.google.com/open?id=1_5idWnKJNLZD3ANkLPy66MpDP31z_7Kv</t>
  </si>
  <si>
    <t>M3272721b002</t>
  </si>
  <si>
    <t>https://drive.google.com/open?id=1tB75TRls73zVACrditj7kSJg4pETRIhD</t>
  </si>
  <si>
    <t>M3240701P030</t>
  </si>
  <si>
    <t>https://drive.google.com/open?id=1U9cREgpcNFi2px0KjNAeiVlfQZC9HYr2</t>
  </si>
  <si>
    <t>M3240711P032</t>
  </si>
  <si>
    <t>https://drive.google.com/open?id=10AKY1PsYY-vO7VpWUWN2gi0suG9qnYzV</t>
  </si>
  <si>
    <t>M3240711P034</t>
  </si>
  <si>
    <t>https://drive.google.com/open?id=1RAnNeLr-ZfC2E4UzvUcEPFted66S1OQj</t>
  </si>
  <si>
    <t>M3240711P035</t>
  </si>
  <si>
    <t>https://drive.google.com/open?id=1ApgNNa5wT1KV0FdBtCEQTnH-vLpEOWt_</t>
  </si>
  <si>
    <t>M3240711P036</t>
  </si>
  <si>
    <t>https://drive.google.com/open?id=1ois1v59GKJKNbUFYqfLHQ0sKoSPF_1a3</t>
  </si>
  <si>
    <t>M3322701P022</t>
  </si>
  <si>
    <t>https://drive.google.com/open?id=148HkmqL0tKREJiyyapUKY3rlzEwFCw0D</t>
  </si>
  <si>
    <t>M3322701P023</t>
  </si>
  <si>
    <t>https://drive.google.com/open?id=1kpMiIb7kaSrM-GgXqN4sUmoEEhbdV5dX</t>
  </si>
  <si>
    <t>M3322711P028</t>
  </si>
  <si>
    <t>https://drive.google.com/open?id=1n3xf8X4sbIewZYyyId6KVUbgg2Cdbwpb</t>
  </si>
  <si>
    <t>M3322712E031</t>
  </si>
  <si>
    <t>https://drive.google.com/open?id=1MIG32bT3RIOeSizSXejQ2xOeApaj1T-G</t>
  </si>
  <si>
    <t>M0233251E001</t>
  </si>
  <si>
    <t>https://drive.google.com/open?id=1JOuZkHpUAEkGtzuoyvzrnzGlyZ2VS67q</t>
  </si>
  <si>
    <t>M0233251E003</t>
  </si>
  <si>
    <t>https://drive.google.com/open?id=18rYukd0_R1e8thVnem2HJYUEvx9xFHXk</t>
  </si>
  <si>
    <t>M0233251E004</t>
  </si>
  <si>
    <t>https://drive.google.com/open?id=1P1hpmAvDlDTa-KelzEXfDPQ3K-x04Vdz</t>
  </si>
  <si>
    <t>B0102091E004</t>
  </si>
  <si>
    <t>https://drive.google.com/open?id=1-7Um2jHsksHF_B2NCCNnjCZwVCsphkeX</t>
  </si>
  <si>
    <t>C0201541P089</t>
  </si>
  <si>
    <t>https://drive.google.com/open?id=1DU0gQmtUgqfAWLBggfiewapJ85mzRpbj</t>
  </si>
  <si>
    <t>C0231722E001</t>
  </si>
  <si>
    <t>https://drive.google.com/open?id=1IyJtUSn-zyImbMfrs_oCLAUQnSqPEMY6</t>
  </si>
  <si>
    <t>C0630211b001</t>
  </si>
  <si>
    <t>https://drive.google.com/open?id=1gYOuTgc9z04CvKeZLdO88j1fZsloncVJ</t>
  </si>
  <si>
    <t>M3060462E001</t>
  </si>
  <si>
    <t>Turunan Fungsi Trigonometri</t>
  </si>
  <si>
    <t>https://drive.google.com/open?id=1jk3K9ekGcN2q_UpMHmeiwwYuHfn7eCxT</t>
  </si>
  <si>
    <t>M3060462E002</t>
  </si>
  <si>
    <t>https://drive.google.com/open?id=1F5_Y1SvXrnNA3ThIVaW2OYRBxj-fUg-X</t>
  </si>
  <si>
    <t>M3060471E002</t>
  </si>
  <si>
    <t>https://drive.google.com/open?id=1mcXF3P_AzD8sFOqkWMLJ_t6QJJCP6oUR</t>
  </si>
  <si>
    <t>M3060471E003</t>
  </si>
  <si>
    <t>https://drive.google.com/open?id=1_VgbAhK1Ep8X63-Esucs-fUJt0FGxbMI</t>
  </si>
  <si>
    <t>M3060471E004</t>
  </si>
  <si>
    <t>https://drive.google.com/open?id=1a9-2IHyEb2K6CfJpkT3UQAPi_0gOfcTI</t>
  </si>
  <si>
    <t>M3070632b001</t>
  </si>
  <si>
    <t>https://drive.google.com/open?id=1ImiZOT0nBTMxJFUvG-EF7EPKMpLfgxLD</t>
  </si>
  <si>
    <t>M3070642a003</t>
  </si>
  <si>
    <t>https://drive.google.com/open?id=1ta1WwrC0_uL0Hl5-9geR9x9-YlK1ceKY</t>
  </si>
  <si>
    <t>M3070642b003</t>
  </si>
  <si>
    <t>https://drive.google.com/open?id=1o6SXhDdMnLamksb-FJKJDpOmEltjyee1</t>
  </si>
  <si>
    <t>M3070642E002</t>
  </si>
  <si>
    <t>https://drive.google.com/open?id=1qreCVw-MSUdhYwB0yTLn1XGY_tthb_eK</t>
  </si>
  <si>
    <t>M3070651a001</t>
  </si>
  <si>
    <t>https://drive.google.com/open?id=1KCHU9Ycq2hVZ5uUuHOJ4RTeoutnJ1F9j</t>
  </si>
  <si>
    <t>M3070651b001</t>
  </si>
  <si>
    <t>https://drive.google.com/open?id=1oDHiSEiJtIclDk9cZ_noA7ab2Trba47L</t>
  </si>
  <si>
    <t>M3070652E004</t>
  </si>
  <si>
    <t>https://drive.google.com/open?id=1WMO3L9-RcIy3oA_awhVT3oZPqpbKdMw7</t>
  </si>
  <si>
    <t>M3070661a002</t>
  </si>
  <si>
    <t>https://drive.google.com/open?id=1yEFYwLqplAnUtPQdYfhdGSFRXr_acLDc</t>
  </si>
  <si>
    <t>C0371981P025</t>
  </si>
  <si>
    <t>https://drive.google.com/open?id=1RBpTY0fHXnWLknoXqZPBwZYdG0KeoYgk</t>
  </si>
  <si>
    <t>C0630562E009</t>
  </si>
  <si>
    <t>https://drive.google.com/open?id=18GOd3GduPX6Dmevd3nNjhyWbB-fjnhlq</t>
  </si>
  <si>
    <t>M3060411P008</t>
  </si>
  <si>
    <t>https://drive.google.com/open?id=18HWUxSd7Cg9NuQE7sEzba-tnvHuaZtcf</t>
  </si>
  <si>
    <t>M3443282e002</t>
  </si>
  <si>
    <t>https://drive.google.com/open?id=1uVxTaxWHqAHajAsGq7hr_pNMUFs9F0wh</t>
  </si>
  <si>
    <t>M0960791E004</t>
  </si>
  <si>
    <t>https://drive.google.com/open?id=168ea1nNXZCCHbXh-qsvl7VXYN4zpB_wn</t>
  </si>
  <si>
    <t>M3160382E005</t>
  </si>
  <si>
    <t>https://drive.google.com/open?id=13qgQFk7OfFIQLdEJIkIzrXTNlb1Jym8A</t>
  </si>
  <si>
    <t>M3240722E002</t>
  </si>
  <si>
    <t>https://drive.google.com/open?id=1bZlHYwBWMFwJ5JjvRoQCbFsc_sOLb7BB</t>
  </si>
  <si>
    <t>M3392681a013</t>
  </si>
  <si>
    <t>https://drive.google.com/open?id=1PYDzBFeemEOLDJ-zIC6gA0oh60lDC-o-</t>
  </si>
  <si>
    <t>M3392681b012</t>
  </si>
  <si>
    <t>https://drive.google.com/open?id=1HVhcNZDGJQHOYwJd6dGVJ2xLz8e5cWtD</t>
  </si>
  <si>
    <t>M3392681b013</t>
  </si>
  <si>
    <t>https://drive.google.com/open?id=1WIGuyS2VmIL9ZAIx1CcMmZU2M48IHZRh</t>
  </si>
  <si>
    <t>M3392691a014</t>
  </si>
  <si>
    <t>https://drive.google.com/open?id=1D_50Rb0VYRzVEg1-wmSu0KbjhVsVXT9q</t>
  </si>
  <si>
    <t>M3392711a019</t>
  </si>
  <si>
    <t>https://drive.google.com/open?id=17UBQpKVULprTkfifaMK3Lpg1bkMlX8Eu</t>
  </si>
  <si>
    <t>M3392711b019</t>
  </si>
  <si>
    <t>https://drive.google.com/open?id=1eCcll40VTM2bAgMF4WOYMkUwUXBgY8SW</t>
  </si>
  <si>
    <t>M3392711E018</t>
  </si>
  <si>
    <t>https://drive.google.com/open?id=1xjRZ2RCqgB8wwUAFFDkYI6_00yCq_pRK</t>
  </si>
  <si>
    <t>A014V701E001</t>
  </si>
  <si>
    <t>https://drive.google.com/open?id=1mo9Tj7xjWddYqUfzgBwhS80JyJ12NE5A</t>
  </si>
  <si>
    <t>A014V901E001</t>
  </si>
  <si>
    <t>https://drive.google.com/open?id=1OftdQWa8Y6Ybc00vPgqmR5wBPQgQvpVB</t>
  </si>
  <si>
    <t>C0200621P132</t>
  </si>
  <si>
    <t>https://drive.google.com/open?id=1CpomigRb0AHefX3TJ0FPNmV6XcDdkeTE</t>
  </si>
  <si>
    <t>C0401241P009</t>
  </si>
  <si>
    <t>https://drive.google.com/open?id=1JKfbJ35nLtrSIPQnYvl43m8Cd9D3inDo</t>
  </si>
  <si>
    <t>C0401241P010</t>
  </si>
  <si>
    <t>https://drive.google.com/open?id=1MvFSkm7nd8hTzn7gYoaQ0WPEBI52eYWY</t>
  </si>
  <si>
    <t>C0550761P001</t>
  </si>
  <si>
    <t>https://drive.google.com/open?id=1YqREcIxjoV6wv7tygxe0Bg0oEKAOLmDI</t>
  </si>
  <si>
    <t>C0550761P002</t>
  </si>
  <si>
    <t>https://drive.google.com/open?id=1RzGlBTWGywGz_VxCVgd2lBJPHTTYw_sY</t>
  </si>
  <si>
    <t>C0550761P003</t>
  </si>
  <si>
    <t>https://drive.google.com/open?id=1XX5U_xzmSVQ6e44bQzireyuxncYzhZLC</t>
  </si>
  <si>
    <t>C0400741b001</t>
  </si>
  <si>
    <t>https://drive.google.com/open?id=171RsTtyzd3i95-B3J4ynjW9sm8C54lg7</t>
  </si>
  <si>
    <t>C0400741c001</t>
  </si>
  <si>
    <t>https://drive.google.com/open?id=1AUlFG2YkhdqOBKNn2d9MJiHa_vEwDzEh</t>
  </si>
  <si>
    <t>C0400751P001</t>
  </si>
  <si>
    <t>https://drive.google.com/open?id=1zAyALwVra40JmfPfilILhhooMN3xBidr</t>
  </si>
  <si>
    <t>C0401161P029</t>
  </si>
  <si>
    <t>https://drive.google.com/open?id=1bK1v0z823SK0m9jglSAHZlnxvDI1oP2v</t>
  </si>
  <si>
    <t>C0401211P029</t>
  </si>
  <si>
    <t>https://drive.google.com/open?id=18NEfkfNnO0tiJh7X_24RFaf2-qlkbexY</t>
  </si>
  <si>
    <t>C0401271P029</t>
  </si>
  <si>
    <t>https://drive.google.com/open?id=19MVOZvjZomyzsoC5BFhptlkq9ORuX-FC</t>
  </si>
  <si>
    <t>C0401271P030</t>
  </si>
  <si>
    <t>https://drive.google.com/open?id=19sA2w6MQjlalMV9oWRs0IF3cHVSwDJ5i</t>
  </si>
  <si>
    <t>C0401321P030</t>
  </si>
  <si>
    <t>https://drive.google.com/open?id=1Euihsn9Ky1aes6LpyxyQwbXRkXQ_4Iq7</t>
  </si>
  <si>
    <t>C0590531E001</t>
  </si>
  <si>
    <t>https://drive.google.com/open?id=18OvABBwG4hW1sEmtHu1JmVqem4vp85yP</t>
  </si>
  <si>
    <t>C0590541E001</t>
  </si>
  <si>
    <t>https://drive.google.com/open?id=1fT6gKSjDaNNdFNrS_XwqQ1f246c3PGWc</t>
  </si>
  <si>
    <t>M3440652P009</t>
  </si>
  <si>
    <t>https://drive.google.com/open?id=1vqkufR4Chnm1SsrUaH10YwrIwWol1qdJ</t>
  </si>
  <si>
    <t>M3440662P012</t>
  </si>
  <si>
    <t>https://drive.google.com/open?id=1lIs6ujzr_wy4iD-KB5a_iEQUb1GTc8gZ</t>
  </si>
  <si>
    <t>AV</t>
  </si>
  <si>
    <t>M3440662P013</t>
  </si>
  <si>
    <t>https://drive.google.com/open?id=1HTb5Ok2HNR1qBz74N_bYvanPBxD48nnb</t>
  </si>
  <si>
    <t>M3440662P019</t>
  </si>
  <si>
    <t>https://drive.google.com/open?id=1hYV7e5Qe6RrZdCQ4XUxp316dsq0JK9V6</t>
  </si>
  <si>
    <t>M3440672P020</t>
  </si>
  <si>
    <t>https://drive.google.com/open?id=1V6jbyQxvhcWuNmVBUKJLJjCCGEsxJO8B</t>
  </si>
  <si>
    <t>M3440672P021</t>
  </si>
  <si>
    <t>https://drive.google.com/open?id=1pbC_wTHgaqg3eUjt6HhEI2ZUbNdxhRE-</t>
  </si>
  <si>
    <t>M3440672P023</t>
  </si>
  <si>
    <t>https://drive.google.com/open?id=10wKWtg36y8lqaX88M8I4Nm9l-X0K8ki1</t>
  </si>
  <si>
    <t>M3440672P024</t>
  </si>
  <si>
    <t>https://drive.google.com/open?id=1C2-kdZwSlIeXTJcRJOgnsLZ5OxTqgEcd</t>
  </si>
  <si>
    <t>M3440682P025</t>
  </si>
  <si>
    <t>https://drive.google.com/open?id=1QFU_TxCF_iEVh5L0YwVWzct_G3eQN2RV</t>
  </si>
  <si>
    <t>M3440682P026</t>
  </si>
  <si>
    <t>https://drive.google.com/open?id=1zMrtrpwvOcXzK-5RCQqmYL0_WlB4fbo8</t>
  </si>
  <si>
    <t>C0630733E004</t>
  </si>
  <si>
    <t>https://drive.google.com/open?id=1sJUHIHUG3Ip6QKP-8WHm0Zc9ThV5dCq-</t>
  </si>
  <si>
    <t>B0097681E001</t>
  </si>
  <si>
    <t>https://drive.google.com/open?id=1j4Edukzrsed1SuiJElJ7TNwYPagQpLE8</t>
  </si>
  <si>
    <t>B0097701E001</t>
  </si>
  <si>
    <t>https://drive.google.com/open?id=1HQPqgtqYey0JTGxtGKtZA1y2VJsI24g0</t>
  </si>
  <si>
    <t>B0097711P001</t>
  </si>
  <si>
    <t>https://drive.google.com/open?id=1hYAoJgCd4bbe7u7yT6jhl8Bu8V0ECVh1</t>
  </si>
  <si>
    <t>B0097751E003</t>
  </si>
  <si>
    <t>https://drive.google.com/open?id=1a5NqbVrTtXcWeEPnA8D78JImePyklTRa</t>
  </si>
  <si>
    <t>B0097951E009</t>
  </si>
  <si>
    <t>https://drive.google.com/open?id=1ibLZSwUxUFBG8hf1b7vE1mVcB8OLYxVh</t>
  </si>
  <si>
    <t>B0097971P001</t>
  </si>
  <si>
    <t>https://drive.google.com/open?id=1y1UX0YUNaQ0LkaLh8iKuhTGsIuEoC4mJ</t>
  </si>
  <si>
    <t>B0098051P018</t>
  </si>
  <si>
    <t>https://drive.google.com/open?id=1MnMtKn2oG6EnFeQ_EDVclzkpAFXCKjpd</t>
  </si>
  <si>
    <t>B0098071E001</t>
  </si>
  <si>
    <t>https://drive.google.com/open?id=1sFD4XTgYmSseKUwAwspg3zmTvMIbwJFQ</t>
  </si>
  <si>
    <t>B0098111E001</t>
  </si>
  <si>
    <t>https://drive.google.com/open?id=1K6N1OeaU270xgRZFqyhYnFQTYnegVjv6</t>
  </si>
  <si>
    <t>B0098181E001</t>
  </si>
  <si>
    <t>https://drive.google.com/open?id=1q1DvRMeQTvk7fhbtq55dUSlj-wQgazoP</t>
  </si>
  <si>
    <t>B0098291P021</t>
  </si>
  <si>
    <t>https://drive.google.com/open?id=1LQ-tR_ud3jUGkOb107ctyt-C_fkjmRsq</t>
  </si>
  <si>
    <t>B0098311P027</t>
  </si>
  <si>
    <t>https://drive.google.com/open?id=185O_oULEDd_LEE_H3OzBIZL9TdsXFobO</t>
  </si>
  <si>
    <t>B0098021E001</t>
  </si>
  <si>
    <t>https://drive.google.com/open?id=1NBHgYfP3597CTZyrC3C0nRyWTa2xvL1x</t>
  </si>
  <si>
    <t>M3392691b014</t>
  </si>
  <si>
    <t>https://drive.google.com/open?id=1UuCuATSs5JyqQjRMPtMUoodBro6mO7IU</t>
  </si>
  <si>
    <t>B0098041E002</t>
  </si>
  <si>
    <t>https://drive.google.com/open?id=1H9s4bzRXfihVsz5zpQPSMnUMVtsMuN-N</t>
  </si>
  <si>
    <t>Inquiry</t>
  </si>
  <si>
    <t>B0098251E002</t>
  </si>
  <si>
    <t>https://drive.google.com/open?id=1p9Upgrb-b40Pbh6fVgHM1lxG_ICjPznK</t>
  </si>
  <si>
    <t>S0220202a002</t>
  </si>
  <si>
    <t>SD</t>
  </si>
  <si>
    <t>https://drive.google.com/open?id=1Ca5bVc8nSgfwQY0qWxIDrAMrMiE8R7Ph</t>
  </si>
  <si>
    <t>S0220202b002</t>
  </si>
  <si>
    <t>https://drive.google.com/open?id=180HucIcP0ygk1sEUNwH0Q6FuNylpz3bO</t>
  </si>
  <si>
    <t>S0220202c002</t>
  </si>
  <si>
    <t>https://drive.google.com/open?id=11280xWcluPtph45v3LFYqMFuk4y57q49</t>
  </si>
  <si>
    <t>S0220212E003</t>
  </si>
  <si>
    <t>https://drive.google.com/open?id=1SYSlbFnkV01pJ--MB68A7pPW2DcthOuU</t>
  </si>
  <si>
    <t>S0220212E004</t>
  </si>
  <si>
    <t>https://drive.google.com/open?id=1ushpSP0-ktm0xbS41NlLnqfKq4WQ_X7t</t>
  </si>
  <si>
    <t>S0220212E005</t>
  </si>
  <si>
    <t>https://drive.google.com/open?id=1aBDiw4vCqj3YbQB92MDdSZFenzCoL8HA</t>
  </si>
  <si>
    <t>S0220212E006</t>
  </si>
  <si>
    <t>https://drive.google.com/open?id=1kwuK7TOfnKM2H5R4VsRr0Ax3GfkiqzTM</t>
  </si>
  <si>
    <t>S0220212E007</t>
  </si>
  <si>
    <t>https://drive.google.com/open?id=1JKha0OAoi3JZjnTvT9n9Rp6egpqfnmx1</t>
  </si>
  <si>
    <t>S0220212E008</t>
  </si>
  <si>
    <t>https://drive.google.com/open?id=1jghmaKIwnuEu5_FsWP8Foq7bm-IVnHiS</t>
  </si>
  <si>
    <t>S0371472E005</t>
  </si>
  <si>
    <t>Skala</t>
  </si>
  <si>
    <t>https://drive.google.com/open?id=1VJKzZewciCVztyaq2WBk-kZQx9-DY8-K</t>
  </si>
  <si>
    <t>S0371581E001</t>
  </si>
  <si>
    <t>https://drive.google.com/open?id=1K5pPj-43yGXu42BoT-OLWIezq-IIRwCQ</t>
  </si>
  <si>
    <t>S0371591a001</t>
  </si>
  <si>
    <t>https://drive.google.com/open?id=1GBE6bUs1xqfyql03XrAJIH_SLQWSU6NT</t>
  </si>
  <si>
    <t>S0371652E003</t>
  </si>
  <si>
    <t>https://drive.google.com/open?id=1nzkUE8uY7nbCD5F2ylF8Ai4EJhTt91L_</t>
  </si>
  <si>
    <t>S0371791P004</t>
  </si>
  <si>
    <t>https://drive.google.com/open?id=1Ya9ySzHeMtFrd13YWnj_rKOZiz9rt6im</t>
  </si>
  <si>
    <t>S0371822E003</t>
  </si>
  <si>
    <t>https://drive.google.com/open?id=1W0bGKMFGRd7Ib9cpmrNQApXDYSdG6Y08</t>
  </si>
  <si>
    <t>S0371823E003</t>
  </si>
  <si>
    <t>https://drive.google.com/open?id=1XAuJLaHOkdjiEKwDiIXNW3H5Iq7fzH7n</t>
  </si>
  <si>
    <t>S0401451E001</t>
  </si>
  <si>
    <t>https://drive.google.com/open?id=1WRsJEdttpz2HOYkeclfbmDJk7lPD6-G-</t>
  </si>
  <si>
    <t>S0041364E001</t>
  </si>
  <si>
    <t>Statistika 6</t>
  </si>
  <si>
    <t>https://drive.google.com/open?id=1_c1ZNqYKjAmYHQIfK8j2I-Uz5NtpdQJA</t>
  </si>
  <si>
    <t>S0041365E001</t>
  </si>
  <si>
    <t>https://drive.google.com/open?id=1lbs3pBkJKrZCr3sytr97_MIToxBudfgW</t>
  </si>
  <si>
    <t>https://drive.google.com/open?id=1k78_WXTcLitW7IBPTRiKC7nFau5lVSIY</t>
  </si>
  <si>
    <t>S0041372E001</t>
  </si>
  <si>
    <t>https://drive.google.com/open?id=1emiNN8OWCuZ9uBj2ObtWVbBFr2xurYq6</t>
  </si>
  <si>
    <t>S0041372E002</t>
  </si>
  <si>
    <t>https://drive.google.com/open?id=1j_WQdXaGYGqfj2tVI3br8EuP1maztGOT</t>
  </si>
  <si>
    <t>S0041382E004</t>
  </si>
  <si>
    <t>https://drive.google.com/open?id=1ZYqh_6OucFH9Zd-2InRc0A4hallsCwOU</t>
  </si>
  <si>
    <t>S0041382E005</t>
  </si>
  <si>
    <t>https://drive.google.com/open?id=1BEGmkUKzy11pIRDnK4iVLcmZVlaRgK3i</t>
  </si>
  <si>
    <t>S0041401P001</t>
  </si>
  <si>
    <t>https://drive.google.com/open?id=13pntwI3CcNyUZF0Tq7C3LwO6P4Dc9Xb2</t>
  </si>
  <si>
    <t>S0041401P002</t>
  </si>
  <si>
    <t>https://drive.google.com/open?id=1p82zDz6cW54oVCsDlJGagwBuclIRMU7Y</t>
  </si>
  <si>
    <t>S0041382E003</t>
  </si>
  <si>
    <t>https://drive.google.com/open?id=1XvUKFf0jynZpTYMaZLI5VgrKpYH-sLgU</t>
  </si>
  <si>
    <t>Corr</t>
  </si>
  <si>
    <t>S0401451E002</t>
  </si>
  <si>
    <t>https://drive.google.com/open?id=1JkQPUIi7MVI-LApHe1vgIC7u6rbHYSAd</t>
  </si>
  <si>
    <t>S0061951P014</t>
  </si>
  <si>
    <t>https://drive.google.com/open?id=1AIzxhRKmyL6N4YeON3I-XFxX37PLPTEn</t>
  </si>
  <si>
    <t>S0061951P015</t>
  </si>
  <si>
    <t>https://drive.google.com/open?id=1a7UoLtIJL9cYJCpqMOvW6TB7iPoCrFF2</t>
  </si>
  <si>
    <t>S0061961P018</t>
  </si>
  <si>
    <t>https://drive.google.com/open?id=11ChbygW4uXGhtILBsi6DA4FgkoDFrmIT</t>
  </si>
  <si>
    <t>S0410203E001</t>
  </si>
  <si>
    <t>https://drive.google.com/open?id=1mm_Y49dZ_UFqN2ZR0k7tcvqbNYoUAkYQ</t>
  </si>
  <si>
    <t>S0061971P019</t>
  </si>
  <si>
    <t>https://drive.google.com/open?id=1CCVjREcsmNP96vYD0HnTf2Dj3aUuPRPE</t>
  </si>
  <si>
    <t>S0061971P020</t>
  </si>
  <si>
    <t>https://drive.google.com/open?id=1g9IN3cSskwp0CwtQJzS4JqWISaAhU8hM</t>
  </si>
  <si>
    <t>S0442342E005</t>
  </si>
  <si>
    <t>Operasi Bilangan Pecahan</t>
  </si>
  <si>
    <t>https://drive.google.com/open?id=1g_9OFNycUUvMDHSw55aU8d-TSWMK2nMI</t>
  </si>
  <si>
    <t>S0441723E002</t>
  </si>
  <si>
    <t>https://drive.google.com/open?id=1Csx50Aibrc_LdD8xZMRM83LUPZhcIoNh</t>
  </si>
  <si>
    <t>S0441451E002</t>
  </si>
  <si>
    <t>https://drive.google.com/open?id=1QX6vhl90YeNeIHi2xqrb3TFnZ-d3qRgY</t>
  </si>
  <si>
    <t>S0441451E003</t>
  </si>
  <si>
    <t>https://drive.google.com/open?id=19Cqv7IRoE-9B41LlD3ZnGws0jgW824vr</t>
  </si>
  <si>
    <t>S0441451E004</t>
  </si>
  <si>
    <t>https://drive.google.com/open?id=14c2YeNealdNQrs3T1dJZJ3njI9HT7MKT</t>
  </si>
  <si>
    <t>S0441451E005</t>
  </si>
  <si>
    <t>https://drive.google.com/open?id=1v6vTgehHVncmdM5aVA2NcP1mI7un5AXR</t>
  </si>
  <si>
    <t>S0441452E001</t>
  </si>
  <si>
    <t>https://drive.google.com/open?id=1VsWVVGvkCqB34eHIV_glnxMn2uSA-HTA</t>
  </si>
  <si>
    <t>S0441452E002</t>
  </si>
  <si>
    <t>https://drive.google.com/open?id=1cUgJdnKUnhCk_lodJYHeLMRlNMflTOE7</t>
  </si>
  <si>
    <t>S0441452E003</t>
  </si>
  <si>
    <t>https://drive.google.com/open?id=1vSQVlQbGikAZmaCwekjBUBGRfHUUZRFI</t>
  </si>
  <si>
    <t>S0441551E010</t>
  </si>
  <si>
    <t>https://drive.google.com/open?id=1Io7-dzAHlsNPon6hR_ONw5dcXojZ1hFU</t>
  </si>
  <si>
    <t>S0441552E002</t>
  </si>
  <si>
    <t>https://drive.google.com/open?id=1DkWyouFGqQeB9llME29Qwa5mHzoOPL51</t>
  </si>
  <si>
    <t>S0490091E002</t>
  </si>
  <si>
    <t>https://drive.google.com/open?id=1FsBL71V4YbZnl7CADA8C7kFvd_OWQ3Ib</t>
  </si>
  <si>
    <t>S0490101E001</t>
  </si>
  <si>
    <t>https://drive.google.com/open?id=1YYhmRjfjoPb_kOorPM0pq_nDY9v65jWa</t>
  </si>
  <si>
    <t>S0490101E002</t>
  </si>
  <si>
    <t>https://drive.google.com/open?id=1znfDV2rCqCbBG5EheHQCGfisijxOg-Xg</t>
  </si>
  <si>
    <t>S0490101E003</t>
  </si>
  <si>
    <t>https://drive.google.com/open?id=1NcdiEvI1RKQFcqrv9VvS2Q21G_JEqt3j</t>
  </si>
  <si>
    <t>S0500531E004</t>
  </si>
  <si>
    <t>https://drive.google.com/open?id=14uKMjtBJwRPL5lYQZWVXDnb0EGT33U_0</t>
  </si>
  <si>
    <t>S0500531E005</t>
  </si>
  <si>
    <t>https://drive.google.com/open?id=1uvxgThguVq1Ug5I8oAL3yZT3kmEvZ6NV</t>
  </si>
  <si>
    <t>S0500531E006</t>
  </si>
  <si>
    <t>https://drive.google.com/open?id=1Cf79MPeuAn70V-nJPsSRRcQgaGSvDsDq</t>
  </si>
  <si>
    <t>S0500531E007</t>
  </si>
  <si>
    <t>https://drive.google.com/open?id=1l6dMb3pJi6LSS07DvwJTxxQlvS4bbYTc</t>
  </si>
  <si>
    <t>S0500531E008</t>
  </si>
  <si>
    <t>https://drive.google.com/open?id=1liSfb7I9YiU77wY9kcBVNQQbfIQjUDpA</t>
  </si>
  <si>
    <t>S0500541E001</t>
  </si>
  <si>
    <t>https://drive.google.com/open?id=1F2B36B1QkC4-Jqh10u2ISbG9BIFUOBrv</t>
  </si>
  <si>
    <t>S0500541E002</t>
  </si>
  <si>
    <t>https://drive.google.com/open?id=1hdU-A6-Mc-oNPncpy3MXpxHWsWCbzsOb</t>
  </si>
  <si>
    <t>S0500541E003</t>
  </si>
  <si>
    <t>https://drive.google.com/open?id=1lXOsrzBdqFJ7v-xjwLZDN-s-R03T41qP</t>
  </si>
  <si>
    <t>S0500541E004</t>
  </si>
  <si>
    <t>https://drive.google.com/open?id=141Ax2bpdmZtQa2xJbA4pmXqBT6jZy4Gt</t>
  </si>
  <si>
    <t>S0500541E005</t>
  </si>
  <si>
    <t>https://drive.google.com/open?id=1wGHgXcmnuzc2IhECvwV0F_vGO3t9ehPk</t>
  </si>
  <si>
    <t>S0500551E006</t>
  </si>
  <si>
    <t>https://drive.google.com/open?id=1U0du47Pdvmuw6BlcVhYAggfARNz8B4M9</t>
  </si>
  <si>
    <t>S0500551E007</t>
  </si>
  <si>
    <t>https://drive.google.com/open?id=1lBFQMWhVPua6ImDICTWCH_2Ix6iM73po</t>
  </si>
  <si>
    <t>S0500551E008</t>
  </si>
  <si>
    <t>https://drive.google.com/open?id=1mlhayIAjxeilxdiLzt8g47uAMhUnHAsV</t>
  </si>
  <si>
    <t>S0500551E009</t>
  </si>
  <si>
    <t>https://drive.google.com/open?id=1_dcHuLaYyfAR2CwkvPfjlm9IEIv7dzUf</t>
  </si>
  <si>
    <t>S0500552E001</t>
  </si>
  <si>
    <t>https://drive.google.com/open?id=1jfQiZLsUHsg45Um4eKZJW2UvdSYm-C7E</t>
  </si>
  <si>
    <t>S0500552E002</t>
  </si>
  <si>
    <t>https://drive.google.com/open?id=1YGHjgM7hVrxIkrdQu_G0yPoB8ENQljwY</t>
  </si>
  <si>
    <t>S0500552E003</t>
  </si>
  <si>
    <t>https://drive.google.com/open?id=1mu4dFprg2T5giVdL7hfzKi3ZuQyngFOb</t>
  </si>
  <si>
    <t>S0500552E004</t>
  </si>
  <si>
    <t>https://drive.google.com/open?id=1ZER8pH4L_Us7V8iCGmQClyUGheLGorVM</t>
  </si>
  <si>
    <t>S0500552E005</t>
  </si>
  <si>
    <t>https://drive.google.com/open?id=1bpdhWU5Ass8XBpIHdNj-XJxkIQBckUfp</t>
  </si>
  <si>
    <t>S0500553E001</t>
  </si>
  <si>
    <t>https://drive.google.com/open?id=13D3ehDG-3EQTFNMAo0X0wGQl2_a33wqJ</t>
  </si>
  <si>
    <t>S0500553E002</t>
  </si>
  <si>
    <t>https://drive.google.com/open?id=1xS7amEO1a1fG_sAZ3W6iD6fxGX9elLEm</t>
  </si>
  <si>
    <t>S0500553E003</t>
  </si>
  <si>
    <t>https://drive.google.com/open?id=1wEXMdey5ti9qah2uPJTYGKGOdL8JPOhF</t>
  </si>
  <si>
    <t>S0500553E004</t>
  </si>
  <si>
    <t>https://drive.google.com/open?id=15W-eQKb6C1dpp9aonu1P6MGZLcOcW7iU</t>
  </si>
  <si>
    <t>S0500553E005</t>
  </si>
  <si>
    <t>https://drive.google.com/open?id=1omKNjLY5vBiLiQMxQHnwZhv3FEdu4yNA</t>
  </si>
  <si>
    <t>S0500563E006</t>
  </si>
  <si>
    <t>https://drive.google.com/open?id=1loaeYLCJwGxqGanhVyT2Z1CkhDNi-Ju-</t>
  </si>
  <si>
    <t>S0500563E007</t>
  </si>
  <si>
    <t>https://drive.google.com/open?id=15PMwlRcphXO1NSsDFWcJmFkvmDcIZu_S</t>
  </si>
  <si>
    <t>S0500563E008</t>
  </si>
  <si>
    <t>https://drive.google.com/open?id=19fcearIh2Il7MUB4AciwEVwRVj1_cIVc</t>
  </si>
  <si>
    <t>S0500563E009</t>
  </si>
  <si>
    <t>https://drive.google.com/open?id=1WK50T5l43ffLuNDu3mRQZhdglNfWM9QU</t>
  </si>
  <si>
    <t>S0500563E010</t>
  </si>
  <si>
    <t>https://drive.google.com/open?id=1lMN7r0aywMgw1vK_cs8FtYJ15dPYWkzr</t>
  </si>
  <si>
    <t>S0500561E001</t>
  </si>
  <si>
    <t>https://drive.google.com/open?id=1jNkhjWT_xtZ3BIil4tY8H3tF1kh5eBB-</t>
  </si>
  <si>
    <t>S0300962E001</t>
  </si>
  <si>
    <t>https://drive.google.com/open?id=18NpkxQ_IsllZrF9sdPZteGKRQNJruuy_</t>
  </si>
  <si>
    <t>S0300962E002</t>
  </si>
  <si>
    <t>https://drive.google.com/open?id=1-ugTkG6dTNQvSXvjcm4-rSAIBDafUvd9</t>
  </si>
  <si>
    <t>S0300962E003</t>
  </si>
  <si>
    <t>https://drive.google.com/open?id=1R_ww2oSzwTu5hwgIY1uy5-3qtCoTGh6N</t>
  </si>
  <si>
    <t>S0300991E001</t>
  </si>
  <si>
    <t>https://drive.google.com/open?id=1HOoe0jrZnOHbF1szrce_ZmcPydhf5Qam</t>
  </si>
  <si>
    <t>S0301001E001</t>
  </si>
  <si>
    <t>https://drive.google.com/open?id=17N9Dcrj3i-vRCaljxIQ3XtLEJFs4Me0g</t>
  </si>
  <si>
    <t>S0301001E002</t>
  </si>
  <si>
    <t>https://drive.google.com/open?id=1BOUt4jV3exxdmR7aySRslourd5kBhbY0</t>
  </si>
  <si>
    <t>S0301001E003</t>
  </si>
  <si>
    <t>https://drive.google.com/open?id=11-XVSOYyZpFaCh-yFCShIYjsYEc9hVPq</t>
  </si>
  <si>
    <t>S0301001E004</t>
  </si>
  <si>
    <t>https://drive.google.com/open?id=11Mi9W5lRVjbogVaAp73NE-qmJzWo1X2f</t>
  </si>
  <si>
    <t>S0301002E001</t>
  </si>
  <si>
    <t>https://drive.google.com/open?id=1uyECuVt-VmRRPvWhuECC5mhT5s3Lrv-u</t>
  </si>
  <si>
    <t>S0301002E002</t>
  </si>
  <si>
    <t>https://drive.google.com/open?id=1QON2Cxof4enI3bepM3gGY1vdlJlv2cc4</t>
  </si>
  <si>
    <t>S0301002E003</t>
  </si>
  <si>
    <t>https://drive.google.com/open?id=198q6WUuJREFVNmxslubWY49d_1NPgreO</t>
  </si>
  <si>
    <t>S0301002E004</t>
  </si>
  <si>
    <t>https://drive.google.com/open?id=1L-HFi_-4K47wzWpyyOPvpWwGJVFu2mEc</t>
  </si>
  <si>
    <t>S0301003E001</t>
  </si>
  <si>
    <t>https://drive.google.com/open?id=1Ho2q2fKBUaBkHfak-7P_2px7gjAaVW4F</t>
  </si>
  <si>
    <t>S0301021E001</t>
  </si>
  <si>
    <t>https://drive.google.com/open?id=1AuTdP59oCbAVTVId-DBaPN7umuSU6ARN</t>
  </si>
  <si>
    <t>S0301021E004</t>
  </si>
  <si>
    <t>https://drive.google.com/open?id=1F2vJE5awnUBjwhPFKKSpO_ylr6NUvliQ</t>
  </si>
  <si>
    <t>S0301022E001</t>
  </si>
  <si>
    <t>https://drive.google.com/open?id=1lX7pjhSg9K7HjkBQCw0lpY9Uit-QS1zc</t>
  </si>
  <si>
    <t>S0301032E002</t>
  </si>
  <si>
    <t>https://drive.google.com/open?id=1m_nLDb3tMo0PtQcWec4kuRwFFHM-LEEt</t>
  </si>
  <si>
    <t>S0301032E003</t>
  </si>
  <si>
    <t>https://drive.google.com/open?id=1uqCtBTFIiCVpv-EycHeLu47D7X9ZG0Mt</t>
  </si>
  <si>
    <t>S0301032E004</t>
  </si>
  <si>
    <t>https://drive.google.com/open?id=1Mv1WCjpaXvWF-CNohvwC5cmEj_qHCNlI</t>
  </si>
  <si>
    <t>S0301042E006</t>
  </si>
  <si>
    <t>https://drive.google.com/open?id=1W9V-oZhYY4ZOhdn2swcKBf8uxTD6IxOQ</t>
  </si>
  <si>
    <t>S0301051E001</t>
  </si>
  <si>
    <t>https://drive.google.com/open?id=1-qHZAxdmmLNxGHOLp0SRJ3PSx5de9xYh</t>
  </si>
  <si>
    <t>S0301051E002</t>
  </si>
  <si>
    <t>https://drive.google.com/open?id=1MFMpEYj5LfqqniBcOVF9kab7ONTxS3Q6</t>
  </si>
  <si>
    <t>S0301051E003</t>
  </si>
  <si>
    <t>https://drive.google.com/open?id=17UuPaSUn1DjSKX0bjMzYSPV0cqWDwrWQ</t>
  </si>
  <si>
    <t>S0301051E004</t>
  </si>
  <si>
    <t>https://drive.google.com/open?id=1Te2O1yMqxHSbEFxX7vQ4E3Fw2PK3Z-Xa</t>
  </si>
  <si>
    <t>S0301051E005</t>
  </si>
  <si>
    <t>https://drive.google.com/open?id=1w11CqDENUIZyvRwjcCF9NZUIoZNyeM5K</t>
  </si>
  <si>
    <t>S0301051E007</t>
  </si>
  <si>
    <t>https://drive.google.com/open?id=1CnLy1K7H6KQqD29HqatTa5KBhWS9xj4d</t>
  </si>
  <si>
    <t>S0301051E008</t>
  </si>
  <si>
    <t>https://drive.google.com/open?id=1omz-6iL_1DRmYf1nV5hkols5fcVfiOaF</t>
  </si>
  <si>
    <t>S0380912E011</t>
  </si>
  <si>
    <t>Pecahan</t>
  </si>
  <si>
    <t>https://drive.google.com/open?id=1Z_1rv36Q_oe9V3hybBFPp9SFTesHXXuw</t>
  </si>
  <si>
    <t>S0380912E012</t>
  </si>
  <si>
    <t>https://drive.google.com/open?id=1d9ttjJJkE2u_FVlBqb3Gs_C1iQ3XCcEG</t>
  </si>
  <si>
    <t>S0380912E013</t>
  </si>
  <si>
    <t>https://drive.google.com/open?id=1HjZpZSYE_wQqegT9t8IaabN4B9DiFb7B</t>
  </si>
  <si>
    <t>S0380912E014</t>
  </si>
  <si>
    <t>https://drive.google.com/open?id=1oBI4Thzl3dY57O7cljILpx8A3iK_9i1i</t>
  </si>
  <si>
    <t>S0380912E015</t>
  </si>
  <si>
    <t>https://drive.google.com/open?id=1jiW3_yIQFqU3OtX8gRMFiadeTErgG5U5</t>
  </si>
  <si>
    <t>S0380922E001</t>
  </si>
  <si>
    <t>https://drive.google.com/open?id=1-VqAAg-qjAIV2y_6xU7OOgjPhpSH0TcQ</t>
  </si>
  <si>
    <t>S0442363E004</t>
  </si>
  <si>
    <t>https://drive.google.com/open?id=1Bp1zCbAbuOUrsGBttsjHTv8YkGfqzSFx</t>
  </si>
  <si>
    <t>S0061961P016</t>
  </si>
  <si>
    <t>https://drive.google.com/open?id=1KtMu1g8ymnWGQtR1lUPSt9O8qEzBCh0S</t>
  </si>
  <si>
    <t>S0061961P017</t>
  </si>
  <si>
    <t>https://drive.google.com/open?id=1CRmOObGMqRWhmgUmtpkKG0vD7CipiCM5</t>
  </si>
  <si>
    <t>S0442352E010</t>
  </si>
  <si>
    <t>https://drive.google.com/open?id=1kJUsNn-iZJwn_-T7iDp2QIb8knozsjTR</t>
  </si>
  <si>
    <t>S0300952E004</t>
  </si>
  <si>
    <t>https://drive.google.com/open?id=1XTvlrRkRS3PELbdVHYVrhsw6jUJykSqw</t>
  </si>
  <si>
    <t>S0490091E001</t>
  </si>
  <si>
    <t>https://drive.google.com/open?id=1YeHn5PDZgTwuXUm58prER0hYTTKKPBi1</t>
  </si>
  <si>
    <t>S0490101E005</t>
  </si>
  <si>
    <t>https://drive.google.com/open?id=1l3U55XE3CuhkGxw00ikvAIbFPAvjhTwb</t>
  </si>
  <si>
    <t>S0490101E007</t>
  </si>
  <si>
    <t>https://drive.google.com/open?id=1WhXlx3EPRz6SE4Ke4Em4BaKHsPOr9N9P</t>
  </si>
  <si>
    <t>S0490101E008</t>
  </si>
  <si>
    <t>https://drive.google.com/open?id=1MwwBtriBafhm4ZwJIj9mB8zgPB-oHUC3</t>
  </si>
  <si>
    <t>S0490101E010</t>
  </si>
  <si>
    <t>https://drive.google.com/open?id=1KG0VP48ys1x7bQ6K30uA-QWyH-kOvV97</t>
  </si>
  <si>
    <t>S0490102E001</t>
  </si>
  <si>
    <t>https://drive.google.com/open?id=1NTUa-8QoGQq2Jm0TVc84YMGga2W_Tt66</t>
  </si>
  <si>
    <t>S0490112E002</t>
  </si>
  <si>
    <t>https://drive.google.com/open?id=1NpUszQYk51Ty9p_DNcBza9Z7vWaiCZHc</t>
  </si>
  <si>
    <t>S0490112E004</t>
  </si>
  <si>
    <t>https://drive.google.com/open?id=1PwSIiP60mptw8SCmJ-btXmC6RCEVQFUC</t>
  </si>
  <si>
    <t>S0300952E005</t>
  </si>
  <si>
    <t>https://drive.google.com/open?id=1eHgYU0LPdGxlOWqrCDodbp5HBLDn1ChA</t>
  </si>
  <si>
    <t>S0300952E006</t>
  </si>
  <si>
    <t>https://drive.google.com/open?id=1seuQ8J59EYeBq3hRGpxZ9lMSW-QgmP6D</t>
  </si>
  <si>
    <t>S0300952E007</t>
  </si>
  <si>
    <t>https://drive.google.com/open?id=1PTC5RV0uPPymYrcuGdCejG-P2UjAQq0l</t>
  </si>
  <si>
    <t>S0300952E008</t>
  </si>
  <si>
    <t>https://drive.google.com/open?id=1XJgu2GYbUVtNV8WZW-INl6_7n0ROk2Ck</t>
  </si>
  <si>
    <t>S0300961E001</t>
  </si>
  <si>
    <t>https://drive.google.com/open?id=1mU9o2WGnIj0dPrZJq0QQ34kpqzDJC1im</t>
  </si>
  <si>
    <t>S0300962E004</t>
  </si>
  <si>
    <t>https://drive.google.com/open?id=15QSRhZUQvK0UApNQ5v3joHaRN-7tozE2</t>
  </si>
  <si>
    <t>S0380922E002</t>
  </si>
  <si>
    <t>https://drive.google.com/open?id=1nEEZsyYAzOI1uZwhCW69IWvDQotSOyCO</t>
  </si>
  <si>
    <t>S0041513E004</t>
  </si>
  <si>
    <t>Bangun Ruang Sisi Lengkung</t>
  </si>
  <si>
    <t>https://drive.google.com/open?id=17O3_04mVHETpd1_Nygdnfn1Q14qA3nRF</t>
  </si>
  <si>
    <t>S0050931E001</t>
  </si>
  <si>
    <t>https://drive.google.com/open?id=170sMxZdORIgcOgOEFlcbl-qxNH4SXEhc</t>
  </si>
  <si>
    <t>S0050952E001</t>
  </si>
  <si>
    <t>https://drive.google.com/open?id=1060uoJJHmGBWWvmcFYFAfAmUfUBScUVS</t>
  </si>
  <si>
    <t>S0501001E001</t>
  </si>
  <si>
    <t>Bangun Datar</t>
  </si>
  <si>
    <t>https://drive.google.com/open?id=12OYWKGZT71lZC3VvvVbVyCVEkGmT_zPy</t>
  </si>
  <si>
    <t>S0501001E002</t>
  </si>
  <si>
    <t>https://drive.google.com/open?id=1jtSOlrJhbJiPZpSU8tQ19yCs1cC4XiQN</t>
  </si>
  <si>
    <t>S0501011E003</t>
  </si>
  <si>
    <t>https://drive.google.com/open?id=1zb62WYlqV7g3GfffjkSgWsQgVJr3zVRP</t>
  </si>
  <si>
    <t>S0501011E004</t>
  </si>
  <si>
    <t>https://drive.google.com/open?id=1ZNrz4D_BAqK1pU23FgYw57EfhU-M-Ez5</t>
  </si>
  <si>
    <t>S0501011E005</t>
  </si>
  <si>
    <t>https://drive.google.com/open?id=1mWmyE-uQ5w2spra2Z4-ufvQ5c9Jnr_1C</t>
  </si>
  <si>
    <t>S0501011E006</t>
  </si>
  <si>
    <t>https://drive.google.com/open?id=19gwLy2UlZav6pBkoWpjLE4L0BPB9XiDh</t>
  </si>
  <si>
    <t>S0501011E007</t>
  </si>
  <si>
    <t>https://drive.google.com/open?id=1OojLo7MshjN1cLXQRgHMB7Npx78zsYpy</t>
  </si>
  <si>
    <t>S0501011E008</t>
  </si>
  <si>
    <t>https://drive.google.com/open?id=15LnBRmXm_kWOMbU69urVdA7xaWjwmgKx</t>
  </si>
  <si>
    <t>S0501011E009</t>
  </si>
  <si>
    <t>https://drive.google.com/open?id=1qSxOjZgS9Q2ttVaT-wMc8CRW45PS_R2X</t>
  </si>
  <si>
    <t>S0501011E010</t>
  </si>
  <si>
    <t>https://drive.google.com/open?id=1FIT9OcqJRcKeOZ3VQw4GUlDXMW5qrKaP</t>
  </si>
  <si>
    <t>S0501031E005</t>
  </si>
  <si>
    <t>https://drive.google.com/open?id=1neAGWoiEIGaAo1aigSd84vil3wRBUYLH</t>
  </si>
  <si>
    <t>S0501031E006</t>
  </si>
  <si>
    <t>https://drive.google.com/open?id=1XSR2NkkPnUn2hD4rA9oZTmfBD_GGvISC</t>
  </si>
  <si>
    <t>S0501031E007</t>
  </si>
  <si>
    <t>https://drive.google.com/open?id=16LA7ezGSUwMyUFiQI-Y_qEVLHSPqj1Qw</t>
  </si>
  <si>
    <t>S0501031E008</t>
  </si>
  <si>
    <t>https://drive.google.com/open?id=1bO3knMAyj8BJPeMZlr7EiTsT5ZClqYv7</t>
  </si>
  <si>
    <t>S0501031E009</t>
  </si>
  <si>
    <t>https://drive.google.com/open?id=1Kx7q9EXxYLGLFbuK6F_JpuMq8bL5PClP</t>
  </si>
  <si>
    <t>S0501031E010</t>
  </si>
  <si>
    <t>https://drive.google.com/open?id=1EkI4cpDLkaHnqbXl2HRJS1H_iKpP9n8D</t>
  </si>
  <si>
    <t>S0501041E001</t>
  </si>
  <si>
    <t>https://drive.google.com/open?id=1CccR1iqM2r8cvogCTb5WqPIGYifX9hdR</t>
  </si>
  <si>
    <t>S0501041E002</t>
  </si>
  <si>
    <t>https://drive.google.com/open?id=16sDRPljjo86QejjY4a3S52j4mqz1tv5-</t>
  </si>
  <si>
    <t>S0501042E001</t>
  </si>
  <si>
    <t>https://drive.google.com/open?id=1s7DNT9ap0CJy9O1M83nqcmHIW1bt5vKe</t>
  </si>
  <si>
    <t>S0501042E002</t>
  </si>
  <si>
    <t>https://drive.google.com/open?id=1Vw4z_WVSB4D4DO_mUjvV-9M9Grni8sdi</t>
  </si>
  <si>
    <t>S0501042E003</t>
  </si>
  <si>
    <t>https://drive.google.com/open?id=1RVSHI9Zses5LaibNBj-JVvOtq5OJEkiU</t>
  </si>
  <si>
    <t>S0501042E004</t>
  </si>
  <si>
    <t>https://drive.google.com/open?id=1ya5RaYeDTQc0AwYP9f_zy-dEDD_FvHr1</t>
  </si>
  <si>
    <t>S0501051E001</t>
  </si>
  <si>
    <t>https://drive.google.com/open?id=1UGtCfIVsjWh2O9jSXQ1Is3Jpw5yMdVIA</t>
  </si>
  <si>
    <t>S0501052E001</t>
  </si>
  <si>
    <t>https://drive.google.com/open?id=12h4k590LjO-uwbNw56OWSbvqrZY4jJvk</t>
  </si>
  <si>
    <t>S0501052E002</t>
  </si>
  <si>
    <t>https://drive.google.com/open?id=1iR6HSgaHfzhj-Wt816pha9Lid1VJALre</t>
  </si>
  <si>
    <t>S0501101E002</t>
  </si>
  <si>
    <t>Bangun Ruang</t>
  </si>
  <si>
    <t>https://drive.google.com/open?id=1hJ5Zfu0tDHzO5AALYu0KoNPrifZpbptP</t>
  </si>
  <si>
    <t>S0501101E003</t>
  </si>
  <si>
    <t>https://drive.google.com/open?id=17YlS7PXiSMrqwCP7E_WZMCPLLa8afC00</t>
  </si>
  <si>
    <t>S0501101E004</t>
  </si>
  <si>
    <t>https://drive.google.com/open?id=1kJX-k-8NWKmmUIdjQiMtKFBjyBlr32jZ</t>
  </si>
  <si>
    <t>S0501101E005</t>
  </si>
  <si>
    <t>https://drive.google.com/open?id=1algcfUIHDlr0Rn2XYEa_swfafas2SFx-</t>
  </si>
  <si>
    <t>S0501112E001</t>
  </si>
  <si>
    <t>https://drive.google.com/open?id=1KbCXoTsrecVxiT2Pll5MriloAdcB3BWs</t>
  </si>
  <si>
    <t>S0501131E001</t>
  </si>
  <si>
    <t>https://drive.google.com/open?id=1yJL8ojXanVPZ09T-qCaGByCI3bUFjKSx</t>
  </si>
  <si>
    <t>S0041541P022</t>
  </si>
  <si>
    <t>https://drive.google.com/open?id=1VBFVHdxrjK_ivVdNBQRzYXjq92K6M8Uk</t>
  </si>
  <si>
    <t>S0041562E004</t>
  </si>
  <si>
    <t>https://drive.google.com/open?id=1Q5NgrdlMNuvponVt8ys-blLD7CxvceGq</t>
  </si>
  <si>
    <t>S0050892E001</t>
  </si>
  <si>
    <t>https://drive.google.com/open?id=11RHgSOIRSrmRqfQ5SQAuZFQv7tMrajXk</t>
  </si>
  <si>
    <t>S0050901E001</t>
  </si>
  <si>
    <t>https://drive.google.com/open?id=1imvyTs3fXxNO0TPTxczuPcY0j37tTjIB</t>
  </si>
  <si>
    <t>S0050901E003</t>
  </si>
  <si>
    <t>https://drive.google.com/open?id=1Sqd1IfRGGcpo7g_ncidL8ZqKvKqC8D1a</t>
  </si>
  <si>
    <t>S0050922E001</t>
  </si>
  <si>
    <t>https://drive.google.com/open?id=1gHJDo7egxO6M6lx6r50IKn37_7TSedE0</t>
  </si>
  <si>
    <t>S0050901E004</t>
  </si>
  <si>
    <t>https://drive.google.com/open?id=1OkFe-BoyM6LSFOx9qYjlo6otG1xsgYJ7</t>
  </si>
  <si>
    <t>S0050921E001</t>
  </si>
  <si>
    <t>https://drive.google.com/open?id=1AISnUvHmBixo7i19oC16M_eeOcrWZyYX</t>
  </si>
  <si>
    <t>S0050931E002</t>
  </si>
  <si>
    <t>https://drive.google.com/open?id=1a5p_050vIKRU8aYjk48UEFf6BkbRWIMN</t>
  </si>
  <si>
    <t>S0050931E004</t>
  </si>
  <si>
    <t>https://drive.google.com/open?id=1oy7y9mH_Ww66tE97SPYC3Nm2ySwbSXjO</t>
  </si>
  <si>
    <t>S0041211P014</t>
  </si>
  <si>
    <t>https://drive.google.com/open?id=1TSloVj-dflFYS_RQXP90gFk3LPlnWXPQ</t>
  </si>
  <si>
    <t>S0041211P015</t>
  </si>
  <si>
    <t>https://drive.google.com/open?id=1q6XqNyanzGrRr2Mn44ch6fMyvgUcEO8n</t>
  </si>
  <si>
    <t>S0081061E001</t>
  </si>
  <si>
    <t>https://drive.google.com/open?id=1yXx9VjXMK7ezewPC8vU8W8K9bNmuQg-r</t>
  </si>
  <si>
    <t>S0510741E001</t>
  </si>
  <si>
    <t>https://drive.google.com/open?id=1A6yyeWnN7sX0w7cuC8pQIUqPkAJ-Ap1B</t>
  </si>
  <si>
    <t>S0510741E002</t>
  </si>
  <si>
    <t>https://drive.google.com/open?id=1xBhGxExJrnE1xerG7QXsOZI-vS2F_ny5</t>
  </si>
  <si>
    <t>S0501221E029</t>
  </si>
  <si>
    <t>https://drive.google.com/open?id=1B9aeuJExZTYH3gHN6IEqeeeUV-b8-rcX</t>
  </si>
  <si>
    <t>S0510981E020</t>
  </si>
  <si>
    <t>https://drive.google.com/open?id=1QZFEHy0GEzPi_AxKEADTOeQ2E6AfPgZg</t>
  </si>
  <si>
    <t>S0511001E015</t>
  </si>
  <si>
    <t>https://drive.google.com/open?id=1yKvaB2jpHmpwFzlANWKYVsKd26KQvjij</t>
  </si>
  <si>
    <t>S0511022E042</t>
  </si>
  <si>
    <t>https://drive.google.com/open?id=1-z8e6TdGaM2phDpnGTB47MGhLFjufSRU</t>
  </si>
  <si>
    <t>S0501131E002</t>
  </si>
  <si>
    <t>https://drive.google.com/open?id=1Ta3MxbYNBEN0fLUFIn9BN79S66YxedbF</t>
  </si>
  <si>
    <t>S0501211E022</t>
  </si>
  <si>
    <t>https://drive.google.com/open?id=1i_81EPAA19xoFtzh3MIjhgzneLP_zPEM</t>
  </si>
  <si>
    <t>S0501221E030</t>
  </si>
  <si>
    <t>https://drive.google.com/open?id=1-f8v2F2gUEGnvw6lAugaUSp9MR1g5CFv</t>
  </si>
  <si>
    <t>S0501221E031</t>
  </si>
  <si>
    <t>https://drive.google.com/open?id=1HBJjADanacTFbCVqkOTR4S4B-0QLZPQi</t>
  </si>
  <si>
    <t>S0501231E032</t>
  </si>
  <si>
    <t>https://drive.google.com/open?id=18YfsS_it6OgPaVbQFEtM6I62CJj75KO8</t>
  </si>
  <si>
    <t>S0081033E001</t>
  </si>
  <si>
    <t>https://drive.google.com/open?id=1-A6x4Q_XVJ5ryREDR6x7s0UHlTaH3NuH</t>
  </si>
  <si>
    <t>S0441723E001</t>
  </si>
  <si>
    <t>https://drive.google.com/open?id=1JDkiznhSPJKQTyAEn5G6zeoVbThy5uNi</t>
  </si>
  <si>
    <t>S0490101E006</t>
  </si>
  <si>
    <t>https://drive.google.com/open?id=1JeEJJYCrL-R3DtMeUv5eJ5sgwBt3AJpX</t>
  </si>
  <si>
    <t>S0220202E001</t>
  </si>
  <si>
    <t>https://drive.google.com/open?id=1mae7Xis61Sm53mNPumoiES6onv6w8o4n</t>
  </si>
  <si>
    <t>S0371591b001</t>
  </si>
  <si>
    <t>https://drive.google.com/open?id=1pt7gFu6zVrIsuhDseLaghfpn0clpdywl</t>
  </si>
  <si>
    <t>S0441451E001</t>
  </si>
  <si>
    <t>https://drive.google.com/open?id=1CEMm4E7KajdBN4mflBntYioc_uDb9w5y</t>
  </si>
  <si>
    <t>S0301021E003</t>
  </si>
  <si>
    <t>https://drive.google.com/open?id=1KFTe0RknaTKGd26PkBzTmEkOjHO2UYLq</t>
  </si>
  <si>
    <t>S0301031E001</t>
  </si>
  <si>
    <t>https://drive.google.com/open?id=1bX4yOXwugQqMdrW6guOjvn9uxL3BihA1</t>
  </si>
  <si>
    <t>S0301042E005</t>
  </si>
  <si>
    <t>https://drive.google.com/open?id=1xU0W_khFoRmTs9Il1btRSjSK4dV5e6ed</t>
  </si>
  <si>
    <t>S0301051E006</t>
  </si>
  <si>
    <t>https://drive.google.com/open?id=17numnPsXmuQhMU7mImqQS2cf8sEVundO</t>
  </si>
  <si>
    <t>S0301051E009</t>
  </si>
  <si>
    <t>https://drive.google.com/open?id=1Yy0nn300eLczYASx_NSYkYqyiaO88Fxl</t>
  </si>
  <si>
    <t>S0380912E016</t>
  </si>
  <si>
    <t>https://drive.google.com/open?id=17smxs5mCbTCn2d38m09TFJ5_epxhPczB</t>
  </si>
  <si>
    <t>S0380912E017</t>
  </si>
  <si>
    <t>https://drive.google.com/open?id=1vB-Ei-fHdtzNICDhnMG6dDKVTbDRqXiM</t>
  </si>
  <si>
    <t>S0380921E002</t>
  </si>
  <si>
    <t>https://drive.google.com/open?id=1K_Ru4ysLI7TmjGOVlo7MGw-8ieqgNMqT</t>
  </si>
  <si>
    <t>S0501081E001</t>
  </si>
  <si>
    <t>https://drive.google.com/open?id=1Ri_6MmCiy13CglVyhYz6Vl6LW1O2B4eG</t>
  </si>
  <si>
    <t>S0501091E002</t>
  </si>
  <si>
    <t>https://drive.google.com/open?id=1Rd-MR2YCl6R_hJhp3nmiEXIYtmYmRJsp</t>
  </si>
  <si>
    <t>S0501101E001</t>
  </si>
  <si>
    <t>https://drive.google.com/open?id=13F8O9S2Yu2eLaXWI6o7aVMmGLEDGjzBq</t>
  </si>
  <si>
    <t>S0040843E004</t>
  </si>
  <si>
    <t>Lingkaran</t>
  </si>
  <si>
    <t>https://drive.google.com/open?id=1dl3pjdeXYUP4YoKeZy3GY5QZco4lFusu</t>
  </si>
  <si>
    <t>S0040841E001</t>
  </si>
  <si>
    <t>https://drive.google.com/open?id=1WgHY8NI0AQDIRk_0EkdrHqFjNR76L1zC</t>
  </si>
  <si>
    <t>S0030881a002</t>
  </si>
  <si>
    <t>https://drive.google.com/open?id=1KxAgk4nw7aTzj2N3OwKoUZoilucKrp2H</t>
  </si>
  <si>
    <t>S0170115E001</t>
  </si>
  <si>
    <t>https://drive.google.com/open?id=1hRtViTdbSEYwdLkI2uNsOqAuJtIbhb32</t>
  </si>
  <si>
    <t>S0140531P001</t>
  </si>
  <si>
    <t>https://drive.google.com/open?id=1ULoQH-PcgydWcQROKnDFM_DejuK_gctB</t>
  </si>
  <si>
    <t>S0140531P002</t>
  </si>
  <si>
    <t>https://drive.google.com/open?id=12wTKsDK8Z8hRETMbW2nnFc_jlWkYA9RH</t>
  </si>
  <si>
    <t>S0140531P003</t>
  </si>
  <si>
    <t>https://drive.google.com/open?id=13NaA4GSgL-LvGsfw7El1q2H5FsUaBkzP</t>
  </si>
  <si>
    <t>S0140531P004</t>
  </si>
  <si>
    <t>https://drive.google.com/open?id=1tP9oAjlnIEkn2AUN2mQk_-qj7tWa-SqH</t>
  </si>
  <si>
    <t>S0140531P005</t>
  </si>
  <si>
    <t>https://drive.google.com/open?id=1Bmi_ml7ythdQLLv_tyQOz0pxSY8K-2TT</t>
  </si>
  <si>
    <t>S0140531P006</t>
  </si>
  <si>
    <t>https://drive.google.com/open?id=15gZBrCifnTdNWrCoWKBkCQZNEMlG3V3l</t>
  </si>
  <si>
    <t>S0140531P007</t>
  </si>
  <si>
    <t>https://drive.google.com/open?id=19vWJeEZAvJ62ad8PXFsmzDeDegnoU7u9</t>
  </si>
  <si>
    <t>S0370511E010</t>
  </si>
  <si>
    <t>https://drive.google.com/open?id=1mJd2CkunCk0bfAWLPv7ZvUiHQc2uIYRo</t>
  </si>
  <si>
    <t>S0390851E003</t>
  </si>
  <si>
    <t>https://drive.google.com/open?id=1hH8qO7s8pJZXwT7XVDdWrRfTgVhnxfr8</t>
  </si>
  <si>
    <t>S0390851E004</t>
  </si>
  <si>
    <t>https://drive.google.com/open?id=1bOzbXSzzyte_qvZ39OpHSbiKXchzfjq4</t>
  </si>
  <si>
    <t>S0040811E002</t>
  </si>
  <si>
    <t>https://drive.google.com/open?id=1g2fYZhV23mtVqWO5ryAWOzimqKdsSM6P</t>
  </si>
  <si>
    <t>S0140531P008</t>
  </si>
  <si>
    <t>https://drive.google.com/open?id=1W5VoYTHvABt9tQdeIePQnq-7APutQnr1</t>
  </si>
  <si>
    <t>S0370501E001</t>
  </si>
  <si>
    <t>https://drive.google.com/open?id=1gRO46ziZ247ebSECqmNHkXA_ShaoIKNM</t>
  </si>
  <si>
    <t>S0371452E001</t>
  </si>
  <si>
    <t>https://drive.google.com/open?id=104rHjv7QoterLeRVr6qrovNra8gjOo64</t>
  </si>
  <si>
    <t>S0371452E003</t>
  </si>
  <si>
    <t>https://drive.google.com/open?id=1SHNg1eCqcxs4sv22UPOp2nJjRjykY-3g</t>
  </si>
  <si>
    <t>S0371452E004</t>
  </si>
  <si>
    <t>https://drive.google.com/open?id=10NlhjlhbquIHBJiVFwuCM5KgSbneR0kz</t>
  </si>
  <si>
    <t>S0390822E004</t>
  </si>
  <si>
    <t>https://drive.google.com/open?id=1Sb74Id5UgPOOGyCu5feUoLHHVKqFwKEG</t>
  </si>
  <si>
    <t>S0061541E001</t>
  </si>
  <si>
    <t>https://drive.google.com/open?id=11Esml-vY7ocnFByyQxMB2o3ffVLQ-YWO</t>
  </si>
  <si>
    <t>S0070961E005</t>
  </si>
  <si>
    <t>https://drive.google.com/open?id=1jatU8nmvmCv6afrYEO2HkwbGt8rbR5we</t>
  </si>
  <si>
    <t>S0040843E005</t>
  </si>
  <si>
    <t>https://drive.google.com/open?id=1nG2JjFV8-Qx3J7g2-znofqBbvp9Kt1t_</t>
  </si>
  <si>
    <t>S0040841E002</t>
  </si>
  <si>
    <t>https://drive.google.com/open?id=1Mqj8kMgriJdtADLj3iNZIh23SRfacxWi</t>
  </si>
  <si>
    <t>S0060831E003</t>
  </si>
  <si>
    <t>https://drive.google.com/open?id=1ZjqWYmAR3NKSWRBzyR1ooooYGBDMu1oa</t>
  </si>
  <si>
    <t>S0101211E003</t>
  </si>
  <si>
    <t>https://drive.google.com/open?id=13FOIJIFjemqOhz0FmL5YRsSzMc4Ah9vm</t>
  </si>
  <si>
    <t>S0140331E001</t>
  </si>
  <si>
    <t>https://drive.google.com/open?id=1lD4wSN91_mbk8vyl088-gDLB7aU8UQWO</t>
  </si>
  <si>
    <t>S0130662E004</t>
  </si>
  <si>
    <t>https://drive.google.com/open?id=1aPMTZo3VPhG31qkOMncUTCvVo0oVFrUN</t>
  </si>
  <si>
    <t>S0130662E003</t>
  </si>
  <si>
    <t>https://drive.google.com/open?id=1JViXzqnc3qZSD-gt4KYlm6cH0cGIBTzN</t>
  </si>
  <si>
    <t>S0130721E002</t>
  </si>
  <si>
    <t>https://drive.google.com/open?id=1GZt4Rv2Qb0I8dfXj9zICWMpqu4gBd1pg</t>
  </si>
  <si>
    <t>S0130732E005</t>
  </si>
  <si>
    <t>https://drive.google.com/open?id=1uIbe2_nIlrs5XNIKSKZDYiz-Ns7T9J82</t>
  </si>
  <si>
    <t>S0130744E002</t>
  </si>
  <si>
    <t>https://drive.google.com/open?id=10Xd0IAXXhpy3NZUC96HU5Ytx6E5cDQtR</t>
  </si>
  <si>
    <t>S0370412E001</t>
  </si>
  <si>
    <t>https://drive.google.com/open?id=1q_nbFqUY15C37i7cA7OJzJllmi6tFgw2</t>
  </si>
  <si>
    <t>S0370412E002</t>
  </si>
  <si>
    <t>https://drive.google.com/open?id=1R6kyIwXIiZYLcjYXCgIuO9fgKuzZyK39</t>
  </si>
  <si>
    <t>S0220212E009</t>
  </si>
  <si>
    <t>https://drive.google.com/open?id=1_DhHKZfVWhiB7nEmmQTksngkWV7K2sgQ</t>
  </si>
  <si>
    <t>S0220231c003</t>
  </si>
  <si>
    <t>https://drive.google.com/open?id=1eNn_xbG8UbG5IYgPbyhULuiLBA5C9y6z</t>
  </si>
  <si>
    <t>S0130731P002</t>
  </si>
  <si>
    <t>https://drive.google.com/open?id=1eenMBPJqMIliUoX3cOhyUZzOo-hWLJHV</t>
  </si>
  <si>
    <t>S0171423E002</t>
  </si>
  <si>
    <t>https://drive.google.com/open?id=1nAcA6rK1G7zm1DsXJjFVH1_M6yoDhQCb</t>
  </si>
  <si>
    <t>S0130691E005</t>
  </si>
  <si>
    <t>https://drive.google.com/open?id=1L5ABPLTY-5AoDrZKVXRHNkLG_QvTDyTq</t>
  </si>
  <si>
    <t>S0380851E009</t>
  </si>
  <si>
    <t>https://drive.google.com/open?id=1tuf4nQuNAfv0rNcOA66-7uPJPCLLfAWJ</t>
  </si>
  <si>
    <t>S0380851E010</t>
  </si>
  <si>
    <t>https://drive.google.com/open?id=171Htab1eEOc4Alx53lFl4NYJnKthI-lA</t>
  </si>
  <si>
    <t>S0380852E003</t>
  </si>
  <si>
    <t>https://drive.google.com/open?id=164J7IkVuToS2hBw6tKgEK_82rxJESJds</t>
  </si>
  <si>
    <t>S0380852E005</t>
  </si>
  <si>
    <t>https://drive.google.com/open?id=1gxvkLfzMrZB6xk3sHm-WK4QTZR8CW32t</t>
  </si>
  <si>
    <t>S0380852E007</t>
  </si>
  <si>
    <t>https://drive.google.com/open?id=1ZyVVf7k67jyo8vK8RAEt7H8Q3rH0gX3U</t>
  </si>
  <si>
    <t>S0380852E009</t>
  </si>
  <si>
    <t>https://drive.google.com/open?id=1N6e4up5EDAioUtaSv8Wnhc2QtKu7_Jsj</t>
  </si>
  <si>
    <t>S0380852E010</t>
  </si>
  <si>
    <t>https://drive.google.com/open?id=1LLrx-IiP9TSzsqKxnxq3KsyDq-yb_BPe</t>
  </si>
  <si>
    <t>S0380902E006</t>
  </si>
  <si>
    <t>https://drive.google.com/open?id=1i-3AsQjU063NgD8YkfpPI45H3torF9H-</t>
  </si>
  <si>
    <t>S0380941E004</t>
  </si>
  <si>
    <t>https://drive.google.com/open?id=1isOljPq655sbr6RRpJ9b_JafYkJHTo9y</t>
  </si>
  <si>
    <t>S0380941E005</t>
  </si>
  <si>
    <t>https://drive.google.com/open?id=1rsOJsPjJgtpKO6lCt1aW2KbuJV1omF73</t>
  </si>
  <si>
    <t>S0380961E001</t>
  </si>
  <si>
    <t>https://drive.google.com/open?id=1k1tIaaQ8_o208S_Fbx65u9OksWkWPl1j</t>
  </si>
  <si>
    <t>S0380961E006</t>
  </si>
  <si>
    <t>https://drive.google.com/open?id=1oHChClPX4Fw3xjEmv5xJz0I6VEKb0HPK</t>
  </si>
  <si>
    <t>S0380961E007</t>
  </si>
  <si>
    <t>https://drive.google.com/open?id=16VFYsSWmSjhfiiwElQusrcGRWh7yOGfk</t>
  </si>
  <si>
    <t>S0380991E005</t>
  </si>
  <si>
    <t>https://drive.google.com/open?id=1FcZNvM_pEdx6G5rjzCiZus67ZD10JHdh</t>
  </si>
  <si>
    <t>S0380991E006</t>
  </si>
  <si>
    <t>https://drive.google.com/open?id=1EJthIi9dcYIlNFl9nZ93oULceiP6bYGK</t>
  </si>
  <si>
    <t>S0380992E001</t>
  </si>
  <si>
    <t>https://drive.google.com/open?id=1F7L147uaaVr9h9xQVHl_0TkgpzeIfJfv</t>
  </si>
  <si>
    <t>S0140321E004</t>
  </si>
  <si>
    <t>https://drive.google.com/open?id=1QQFIMfakuxAp_ray5o2R10YzFCT-52Rd</t>
  </si>
  <si>
    <t>S0380861E002</t>
  </si>
  <si>
    <t>https://drive.google.com/open?id=1jtb_PlGiM6ZQxTm64khGP11RwTBba9xM</t>
  </si>
  <si>
    <t>S0380861E003</t>
  </si>
  <si>
    <t>https://drive.google.com/open?id=1KFzAG1C0cl9IvHDA67_dwc--G3cY69b1</t>
  </si>
  <si>
    <t>S0380861E004</t>
  </si>
  <si>
    <t>https://drive.google.com/open?id=1L5Yc50t-7RjZarzkCZCL9p-Zat7h9k-w</t>
  </si>
  <si>
    <t>S0380861E007</t>
  </si>
  <si>
    <t>https://drive.google.com/open?id=1Kq0vkv7U8GmUCSTHxvJHKR5R46G_-oCI</t>
  </si>
  <si>
    <t>S0380881E001</t>
  </si>
  <si>
    <t>https://drive.google.com/open?id=13qNnMnkQvsSbwJ2_PnkH7jXc0kvt7OkH</t>
  </si>
  <si>
    <t>S0381051E016</t>
  </si>
  <si>
    <t>https://drive.google.com/open?id=1MtrtjCYV27Ww6rHEZasaSoDgF5s3S5VC</t>
  </si>
  <si>
    <t>S0381321P001</t>
  </si>
  <si>
    <t>https://drive.google.com/open?id=1E9LV6Jv2qUxKyJw471RZ9iSyClu-yzIf</t>
  </si>
  <si>
    <t>S0381321P003</t>
  </si>
  <si>
    <t>https://drive.google.com/open?id=1RHTFFbw2_kguu05ttdHPRdDs0L9IhW3_</t>
  </si>
  <si>
    <t>S0381321P004</t>
  </si>
  <si>
    <t>https://drive.google.com/open?id=1wmDiwvhnnv0L9P3TlPWsIlCoWjWNBPiY</t>
  </si>
  <si>
    <t>S0380881E005</t>
  </si>
  <si>
    <t>https://drive.google.com/open?id=191_hmXRjnmAGKyAotlk5kst8U-__WscS</t>
  </si>
  <si>
    <t>S0381351P021</t>
  </si>
  <si>
    <t>https://drive.google.com/open?id=1zyxuR_f4hbxsDBux_gNw_UbaTVEBDIUW</t>
  </si>
  <si>
    <t>S0381362E001</t>
  </si>
  <si>
    <t>https://drive.google.com/open?id=1EqaCVhXzVIR0DDWbIfM9dWIWpC3u3r-s</t>
  </si>
  <si>
    <t>S0380971E002</t>
  </si>
  <si>
    <t>https://drive.google.com/open?id=1-IE7PLwrd14YV7qy7JLrKz1XqoR_s91q</t>
  </si>
  <si>
    <t>S0380622E001</t>
  </si>
  <si>
    <t>https://drive.google.com/open?id=17EPCv4M31p_ZpvK0WP5XVslVoX7a8Rx2</t>
  </si>
  <si>
    <t>S0380622E004</t>
  </si>
  <si>
    <t>https://drive.google.com/open?id=1h-xIIZ1ktb_hfqdPwFRpOsDfxXrx_TZl</t>
  </si>
  <si>
    <t>S0380622E005</t>
  </si>
  <si>
    <t>https://drive.google.com/open?id=1j0gb3bJftBDK1XAJhqZ4NwxpW6zLAR-8</t>
  </si>
  <si>
    <t>S0440551E001</t>
  </si>
  <si>
    <t>https://drive.google.com/open?id=11kY819-0cguyurUNE0v5nJfLa5Fj_T-G</t>
  </si>
  <si>
    <t>S0380991E004</t>
  </si>
  <si>
    <t>https://drive.google.com/open?id=13byNGlgkySXHO5z3-sR4EegYqd6pjRy0</t>
  </si>
  <si>
    <t>S0380992E002</t>
  </si>
  <si>
    <t>https://drive.google.com/open?id=1YzjtOACgQCjycbumysl05BW6cUZDr7uQ</t>
  </si>
  <si>
    <t>S0381001E001</t>
  </si>
  <si>
    <t>https://drive.google.com/open?id=1q-TVDQ16Zigd9e7WPVFDhFJ4n-15_wt0</t>
  </si>
  <si>
    <t>S0381001E002</t>
  </si>
  <si>
    <t>https://drive.google.com/open?id=1jjM8LOzSAK0_yFGiSmswpEDUYxJbqgcO</t>
  </si>
  <si>
    <t>S0381001E003</t>
  </si>
  <si>
    <t>https://drive.google.com/open?id=1RmUvhLnLTMAx3NvChyndzbANHNY_jvLe</t>
  </si>
  <si>
    <t>S0381001E004</t>
  </si>
  <si>
    <t>https://drive.google.com/open?id=1ezJqPaZcD7L2n3gIZP3L_JamIBOCEQRr</t>
  </si>
  <si>
    <t>S0381001E005</t>
  </si>
  <si>
    <t>https://drive.google.com/open?id=1GYvDdsWSXXYOKlpJCiTODHTmOQdzyGvn</t>
  </si>
  <si>
    <t>S0381001E006</t>
  </si>
  <si>
    <t>https://drive.google.com/open?id=1pIm-Fw6iKOAd2aZSTm0CDz-6YT5mwFTg</t>
  </si>
  <si>
    <t>S0381001E008</t>
  </si>
  <si>
    <t>https://drive.google.com/open?id=1v6ZfN8T22CEF6UeyAuPOSlZwviIDAUsa</t>
  </si>
  <si>
    <t>S0381001E009</t>
  </si>
  <si>
    <t>https://drive.google.com/open?id=1NvUJNEVpNOSuTymQx39r1QoFgT-YaY9I</t>
  </si>
  <si>
    <t>S0381001E010</t>
  </si>
  <si>
    <t>https://drive.google.com/open?id=1adZF5HBBAfdERifvbvA1BBgsy1xPMNnh</t>
  </si>
  <si>
    <t>S0381001E011</t>
  </si>
  <si>
    <t>https://drive.google.com/open?id=1Mi1j3SFUJpGqeERp9x4bQsAizP1PQdXS</t>
  </si>
  <si>
    <t>S0381031E001</t>
  </si>
  <si>
    <t>https://drive.google.com/open?id=1glKkf1TRfp-jGK7HjcXI5_IiWG40Yipv</t>
  </si>
  <si>
    <t>S0381031E002</t>
  </si>
  <si>
    <t>https://drive.google.com/open?id=13tsQlK6J9zRO1j6EADVcpkbYRYukQk9C</t>
  </si>
  <si>
    <t>S0381031E003</t>
  </si>
  <si>
    <t>https://drive.google.com/open?id=128RncTS2xyFzpEXlki8slOa_x3ryfwyE</t>
  </si>
  <si>
    <t>S0381031E005</t>
  </si>
  <si>
    <t>https://drive.google.com/open?id=1uioMPRqlssex_DyQfTvK0ax-AwD-tLoK</t>
  </si>
  <si>
    <t>S0381031E006</t>
  </si>
  <si>
    <t>https://drive.google.com/open?id=1GCagG0oCz8GRn1WkHwyovXNbgKM5TiYf</t>
  </si>
  <si>
    <t>S0381031E007</t>
  </si>
  <si>
    <t>https://drive.google.com/open?id=1h2_Bi8az12CoPl3_kWgLR2wVG0B6qEBl</t>
  </si>
  <si>
    <t>S0381042E003</t>
  </si>
  <si>
    <t>https://drive.google.com/open?id=1u1LJRkD_HSxzeicH351LZV0vhfBbY3MU</t>
  </si>
  <si>
    <t>S0381051E001</t>
  </si>
  <si>
    <t>https://drive.google.com/open?id=1mJoDIQKrutlZ7wFa1VEo1PR2hfHwygF4</t>
  </si>
  <si>
    <t>S0381051E004</t>
  </si>
  <si>
    <t>https://drive.google.com/open?id=1vMNU1Po4VVWtGixYIewpLDg1vQMQkrrL</t>
  </si>
  <si>
    <t>S0381051E006</t>
  </si>
  <si>
    <t>https://drive.google.com/open?id=1m-K59Zpebxz8wduMq12HhJkIFDHpk8x7</t>
  </si>
  <si>
    <t>S0381051E007</t>
  </si>
  <si>
    <t>https://drive.google.com/open?id=1qT77b_ZVrrvVbvlccnmiH07qtAQUKSYT</t>
  </si>
  <si>
    <t>S0381051E012</t>
  </si>
  <si>
    <t>https://drive.google.com/open?id=1jr2iFfH4IBZjL6oX_LFghnjGtp2qmZV1</t>
  </si>
  <si>
    <t>S0381051E013</t>
  </si>
  <si>
    <t>https://drive.google.com/open?id=1xtksi4q2_4WbZ-7US1e-PFHk4Tpb8CMz</t>
  </si>
  <si>
    <t>S0381331P007</t>
  </si>
  <si>
    <t>https://drive.google.com/open?id=1DeiBhYWQM1iNyxBN_G6abYmdmBQG7VAy</t>
  </si>
  <si>
    <t>S0380522E003</t>
  </si>
  <si>
    <t>https://drive.google.com/open?id=1oNYs6O3jb33JTNQuXEGZDSx-yyGzaPfC</t>
  </si>
  <si>
    <t>S0490101E004</t>
  </si>
  <si>
    <t>https://drive.google.com/open?id=1yroBWluDKQTZyGtfrrs6hogWUUynnkYD</t>
  </si>
  <si>
    <t>S0490101E009</t>
  </si>
  <si>
    <t>https://drive.google.com/open?id=1dsv4XuOR48d-PK4ITsnl1EPWVZusvieE</t>
  </si>
  <si>
    <t>S0490112E003</t>
  </si>
  <si>
    <t>https://drive.google.com/open?id=1xoMWOiCh347u06tpgeOscKMHwVVkIMLj</t>
  </si>
  <si>
    <t>S0510382E003</t>
  </si>
  <si>
    <t>https://drive.google.com/open?id=1Dh94sqhEhcl2vCwkMidshxd4PqGopGlK</t>
  </si>
  <si>
    <t>S0510382E004</t>
  </si>
  <si>
    <t>https://drive.google.com/open?id=1A5CX6Zz8fABpe5DHgMPZAClpFncL32-q</t>
  </si>
  <si>
    <t>S0510382E005</t>
  </si>
  <si>
    <t>https://drive.google.com/open?id=18mt9YMJeH3Oyc84NiJr6zCCfEGxqk74-</t>
  </si>
  <si>
    <t>S0510382E006</t>
  </si>
  <si>
    <t>https://drive.google.com/open?id=1oRos7v6kmiV-XYoKAsFMfG_GIDiZ-J8r</t>
  </si>
  <si>
    <t>S0510382E007</t>
  </si>
  <si>
    <t>https://drive.google.com/open?id=1uTN-UYYCM1HyhV1otYGvyNDQfWlhaHgO</t>
  </si>
  <si>
    <t>S0510382E008</t>
  </si>
  <si>
    <t>https://drive.google.com/open?id=12tPTWvv74KrYFrsRDka62k7fVk4EVxxv</t>
  </si>
  <si>
    <t>S0510382E009</t>
  </si>
  <si>
    <t>https://drive.google.com/open?id=1fTfo0kggrO70DUXsIhGSB3DMDfOoDtAV</t>
  </si>
  <si>
    <t>S0510382E010</t>
  </si>
  <si>
    <t>https://drive.google.com/open?id=18H0akrUqYkoNr3VzD80h51wf3FpKRhwC</t>
  </si>
  <si>
    <t>S0510382E011</t>
  </si>
  <si>
    <t>https://drive.google.com/open?id=1DRd7_Gsfze0yIBRIAO05DijoFE5MdNOe</t>
  </si>
  <si>
    <t>S0510382E012</t>
  </si>
  <si>
    <t>https://drive.google.com/open?id=1nprs-znKX56mNRg1VS13JTUTZOg9vQG-</t>
  </si>
  <si>
    <t>S0510382E013</t>
  </si>
  <si>
    <t>https://drive.google.com/open?id=1g5zW3RHOmyeNwW7BF0LiBcAmaQhz9iPj</t>
  </si>
  <si>
    <t>S0510382E014</t>
  </si>
  <si>
    <t>https://drive.google.com/open?id=1XhRahaOeZDykSopTGAMQcVS6infrAxtk</t>
  </si>
  <si>
    <t>S0510382E015</t>
  </si>
  <si>
    <t>https://drive.google.com/open?id=1vh_4gTTl7GIUp9rpkG7zHOo-1QCkUrNi</t>
  </si>
  <si>
    <t>S0510382E016</t>
  </si>
  <si>
    <t>https://drive.google.com/open?id=13rn5FMLfw1JNV_qkV6B5FdAUmhceP-pN</t>
  </si>
  <si>
    <t>S0510382E017</t>
  </si>
  <si>
    <t>https://drive.google.com/open?id=1tESm6bZJXOO9VtAO0DaxI94G0MeqihXD</t>
  </si>
  <si>
    <t>S0510382E018</t>
  </si>
  <si>
    <t>https://drive.google.com/open?id=12fNQgoKdz_9onazOqXhZQsXDbWIVMn4C</t>
  </si>
  <si>
    <t>S0510382E019</t>
  </si>
  <si>
    <t>https://drive.google.com/open?id=1yKg2LpSR_ryottI7sCNfqi1rjThN5jze</t>
  </si>
  <si>
    <t>S0510382E020</t>
  </si>
  <si>
    <t>https://drive.google.com/open?id=1DVFcDPRnYby9fxmiFq5FzQp7x5cKX8dW</t>
  </si>
  <si>
    <t>S0510391a001</t>
  </si>
  <si>
    <t>https://drive.google.com/open?id=16B8gJCmd8YY8I_PkhpInmg0hTrgF2CZM</t>
  </si>
  <si>
    <t>S0510391b001</t>
  </si>
  <si>
    <t>https://drive.google.com/open?id=1ono4rdWk1A-vS4z6PH7by7GGA8EzpDQm</t>
  </si>
  <si>
    <t>S0510392E002</t>
  </si>
  <si>
    <t>https://drive.google.com/open?id=13f4U_UbF_GEnbyiAa1PAutWp7RMGo7RS</t>
  </si>
  <si>
    <t>S0510392E004</t>
  </si>
  <si>
    <t>https://drive.google.com/open?id=1OvFlLQqp4cXOUBX0U5SS_X8oMKnKOtGk</t>
  </si>
  <si>
    <t>S0510392E005</t>
  </si>
  <si>
    <t>https://drive.google.com/open?id=13-AKbGsP0dUKIhDEGvCpUOLyy0phoUKJ</t>
  </si>
  <si>
    <t>S0510392E010</t>
  </si>
  <si>
    <t>https://drive.google.com/open?id=1aEbbEDmH22taOl2-MstMTNiK_VM-xbmT</t>
  </si>
  <si>
    <t>S0510401E001</t>
  </si>
  <si>
    <t>https://drive.google.com/open?id=1nsEyB5DakeK80EJ-9GesgtSA-sAedFx-</t>
  </si>
  <si>
    <t>S0510402E001</t>
  </si>
  <si>
    <t>https://drive.google.com/open?id=1xArM1Uk-99PNPyhzGBN-cvUbm7EGDYx7</t>
  </si>
  <si>
    <t>S0510402E002</t>
  </si>
  <si>
    <t>https://drive.google.com/open?id=1rw-B2tjDSRHhb-So1PqNjFkMgbsF4M2t</t>
  </si>
  <si>
    <t>V0101971P004</t>
  </si>
  <si>
    <t>https://drive.google.com/open?id=1muDjumlIMXPFMnd1VIayk-H0z-UUhgS0</t>
  </si>
  <si>
    <t>S0540781E017</t>
  </si>
  <si>
    <t>https://drive.google.com/open?id=1m9TdilyJOwgqWBGEgoLQ5hA4mK_hQWmV</t>
  </si>
  <si>
    <t>S0410203E002</t>
  </si>
  <si>
    <t>https://drive.google.com/open?id=1svneJWukx0t341hiXa1cR3-sBIsroXWq</t>
  </si>
  <si>
    <t>S0300981E001</t>
  </si>
  <si>
    <t>https://drive.google.com/open?id=1UBmZOXjFi4oOuh1yhIPpdx6XJs9bvJFE</t>
  </si>
  <si>
    <t>S0370412E003</t>
  </si>
  <si>
    <t>https://drive.google.com/open?id=1RmB3UaHQY4EaWMuGYpBtAzONnwryQwPZ</t>
  </si>
  <si>
    <t>S0401533E002</t>
  </si>
  <si>
    <t>https://drive.google.com/open?id=1RZvvXXf0_0PYUpbljDvLlajtm6O9mi13</t>
  </si>
  <si>
    <t>AV + Corr</t>
  </si>
  <si>
    <t>S0300971E001</t>
  </si>
  <si>
    <t>https://drive.google.com/open?id=1apsU3zZD7gfZTgX790-uJ2I1yTqsxhGc</t>
  </si>
  <si>
    <t>S0300981E002</t>
  </si>
  <si>
    <t>https://drive.google.com/open?id=1k1FQF456vBC_2KjrKEjw1ckxhJlUhYXt</t>
  </si>
  <si>
    <t>S0300981E003</t>
  </si>
  <si>
    <t>https://drive.google.com/open?id=1hJte3NC98SXitn6kOCzAecdD9QNIK64S</t>
  </si>
  <si>
    <t>S0300981E004</t>
  </si>
  <si>
    <t>https://drive.google.com/open?id=11urDh0DLIU6klkgSCvy1nHS3xX5ldMir</t>
  </si>
  <si>
    <t>S0300981E005</t>
  </si>
  <si>
    <t>https://drive.google.com/open?id=1XGspVc3webm97sbGW28gqhKUDh2pY33a</t>
  </si>
  <si>
    <t>S0300981E007</t>
  </si>
  <si>
    <t>https://drive.google.com/open?id=1M8NRAH8kjDwmt6-i_Ikf7_Rhr6k0JzpW</t>
  </si>
  <si>
    <t>S0301021E002</t>
  </si>
  <si>
    <t>https://drive.google.com/open?id=1QtoT1ciyQQM9TsVcs4e1T49WqRCh8ugJ</t>
  </si>
  <si>
    <t>S0301032E001</t>
  </si>
  <si>
    <t>https://drive.google.com/open?id=1gauNUAoS0s4wpdwJSq3_iLCVRErtmS4N</t>
  </si>
  <si>
    <t>S0301041E001</t>
  </si>
  <si>
    <t>https://drive.google.com/open?id=1TZmNbBPnv1cpkkbgV3oRiBEYfsdmdL4j</t>
  </si>
  <si>
    <t>S0501052E003</t>
  </si>
  <si>
    <t>https://drive.google.com/open?id=14czJ9NJAQ3NBeomjnwnyXnbU5-BPGqp9</t>
  </si>
  <si>
    <t>S0140342a002</t>
  </si>
  <si>
    <t>https://drive.google.com/open?id=1WEY1kmseX4JtcmxH3XDDmIZX4DEB7N4N</t>
  </si>
  <si>
    <t>S0390941E004</t>
  </si>
  <si>
    <t>https://drive.google.com/open?id=1lUg0_-uURVgAxlrfSRc02gwkx8DlYby-</t>
  </si>
  <si>
    <t>S0371321b001</t>
  </si>
  <si>
    <t>https://drive.google.com/open?id=1prvhh4uCytqyk3s--QQhlr-9umzTbN0w</t>
  </si>
  <si>
    <t>S0380942E002</t>
  </si>
  <si>
    <t>https://drive.google.com/open?id=1tBSavg8ktA85BKIMxtb7Saj5zWHDxveo</t>
  </si>
  <si>
    <t>S0380971E003</t>
  </si>
  <si>
    <t>https://drive.google.com/open?id=1lxhJR-b_fwcr7Z7K_lPLXF_WUZIVjV1y</t>
  </si>
  <si>
    <t>S0380991E003</t>
  </si>
  <si>
    <t>https://drive.google.com/open?id=1WV6VU3DwYhnYdX--h1lXJlMFV1RmuP6h</t>
  </si>
  <si>
    <t>S0150371E004</t>
  </si>
  <si>
    <t>https://drive.google.com/open?id=1hTRABaJ2_Kv3gLCN2lejHzH8ZAPDZdeP</t>
  </si>
  <si>
    <t>S0510453E007</t>
  </si>
  <si>
    <t>https://drive.google.com/open?id=19yi0WMLJltZJ0IoC2q5XsyyULbIr_Ca5</t>
  </si>
  <si>
    <t>S0351231P010</t>
  </si>
  <si>
    <t>Bilangan Bulat</t>
  </si>
  <si>
    <t>https://drive.google.com/open?id=1ZewbD7kyGZ2y701AsHCanXwpXvVeNSAV</t>
  </si>
  <si>
    <t>S0150863E001</t>
  </si>
  <si>
    <t>https://drive.google.com/open?id=1g6PMUXJvvTeeXSEGYgj5uSpswdfWUTZP</t>
  </si>
  <si>
    <t>S0561091E005</t>
  </si>
  <si>
    <t>https://drive.google.com/open?id=1LdkjYqkB9kU7dJjKnUrrB64GzhEdQLIs</t>
  </si>
  <si>
    <t>S0540821E007</t>
  </si>
  <si>
    <t>https://drive.google.com/open?id=1NjephJp8GRz61vHgWoTewrbO5bVtTdJm</t>
  </si>
  <si>
    <t>S0260901E024</t>
  </si>
  <si>
    <t>https://drive.google.com/open?id=1e-0PWdu01Dya_nSFTJ7TXPVUSMbAn9Nf</t>
  </si>
  <si>
    <t>S0400782E002</t>
  </si>
  <si>
    <t>https://drive.google.com/open?id=1XsbampjwnixSDVWg6_8cofxjo9qR1PYy</t>
  </si>
  <si>
    <t>S0422352E010</t>
  </si>
  <si>
    <t>https://drive.google.com/open?id=1rkgp-nN2ODbawy-LXziMu0WxBjNzXA6D</t>
  </si>
  <si>
    <t>S0421171E010</t>
  </si>
  <si>
    <t>https://drive.google.com/open?id=1mWHy99wJuGGN-Kc5pf-_kcMwGVON1B7G</t>
  </si>
  <si>
    <t>S0570791E020</t>
  </si>
  <si>
    <t>https://drive.google.com/open?id=1MHUits404ZAElwSojDRDPe010qgXSSdW</t>
  </si>
  <si>
    <t>S0510071E006</t>
  </si>
  <si>
    <t>https://drive.google.com/open?id=1Ae-AUV5wKaxYYHJ3Gs5znSmvC6daq6IY</t>
  </si>
  <si>
    <t>S0580062E007</t>
  </si>
  <si>
    <t>https://drive.google.com/open?id=1Af44H8Bz0ATtaGbnsYiCXfkbWunMCogB</t>
  </si>
  <si>
    <t>V0110363a004</t>
  </si>
  <si>
    <t>https://drive.google.com/open?id=1P-j9TEkXBXvZzva6UUmldjT8LGil2nZX</t>
  </si>
  <si>
    <t>V0110363b004</t>
  </si>
  <si>
    <t>https://drive.google.com/open?id=1hwXM24KeObdbu8MdNzq45kiZ9sB-noq6</t>
  </si>
  <si>
    <t>V0110373a004</t>
  </si>
  <si>
    <t>https://drive.google.com/open?id=1pX68oVL5VSsNimR6ubYufGLQy4XJ-KFA</t>
  </si>
  <si>
    <t>V0110373b004</t>
  </si>
  <si>
    <t>https://drive.google.com/open?id=1vyeTO1LVAeDYvBnzgss1vmz7khxaCAjG</t>
  </si>
  <si>
    <t>V0110373c004</t>
  </si>
  <si>
    <t>https://drive.google.com/open?id=1NbEe-Ys8abO9oEUcIwFdHYy6p2Jc4I0y</t>
  </si>
  <si>
    <t>V0110373a005</t>
  </si>
  <si>
    <t>https://drive.google.com/open?id=1dyEr7bNUJLoiXXtUBfy0GxVgZbCa52ND</t>
  </si>
  <si>
    <t>V0110373b005</t>
  </si>
  <si>
    <t>https://drive.google.com/open?id=1FE6xFyCoB-l8v0stFrNiG7-11YDjYGSM</t>
  </si>
  <si>
    <t>V0110373c005</t>
  </si>
  <si>
    <t>https://drive.google.com/open?id=1Qtx6nWcqmOnyTimJvRwotFWvWbWSOp3N</t>
  </si>
  <si>
    <t>V0110373d005</t>
  </si>
  <si>
    <t>https://drive.google.com/open?id=1m-YQ_JPpxPUPlCYds0rIxxvgazSbEOko</t>
  </si>
  <si>
    <t>V0110373e005</t>
  </si>
  <si>
    <t>https://drive.google.com/open?id=1jk-K0U3xlZGSG-t8fa4EUjUFZFDcSSjX</t>
  </si>
  <si>
    <t>S0150351E001</t>
  </si>
  <si>
    <t>https://drive.google.com/open?id=1ipEJghnxzlr628jwU8FgdqA3Y0ADd8NI</t>
  </si>
  <si>
    <t>S0410432E004</t>
  </si>
  <si>
    <t>https://drive.google.com/open?id=1VNSDr-N5UN_C30FXNAGtTYDlfzXipGPN</t>
  </si>
  <si>
    <t>S0571882E019</t>
  </si>
  <si>
    <t>https://drive.google.com/open?id=1lJ9rlR3o2E3eXyd4mANSokS83N63kP0o</t>
  </si>
  <si>
    <t>S0380852E002</t>
  </si>
  <si>
    <t>https://drive.google.com/open?id=1nKV9xxABQEkWBTz5RyKHQx9_iqSnoEFD</t>
  </si>
  <si>
    <t>S0510401E002</t>
  </si>
  <si>
    <t>https://drive.google.com/open?id=1dlf7Uoa1xOypZ5y8vvpd8IDYPWy4gZLy</t>
  </si>
  <si>
    <t>S0510402E003</t>
  </si>
  <si>
    <t>https://drive.google.com/open?id=1FxclMFvvDV8sp5P1_NjmdDc1bY5W69eT</t>
  </si>
  <si>
    <t>S0510402E004</t>
  </si>
  <si>
    <t>https://drive.google.com/open?id=1Aj-fLqmLNZReJ_op5Nl-YSOJsYeyXwke</t>
  </si>
  <si>
    <t>V0080881P008</t>
  </si>
  <si>
    <t>https://drive.google.com/open?id=1jADOiUSeadypDzSs7s3DJqK7nnCs6ruv</t>
  </si>
  <si>
    <t>V0170801P014</t>
  </si>
  <si>
    <t>https://drive.google.com/open?id=12GSiF4M0ZJKuCehyMpDl6N0742mpRUnp</t>
  </si>
  <si>
    <t>V0181393E004</t>
  </si>
  <si>
    <t>https://drive.google.com/open?id=1v7InS4rHgasAu3a9YIs6qV7PFDWN68C_</t>
  </si>
  <si>
    <t>V0161351E001</t>
  </si>
  <si>
    <t>https://drive.google.com/open?id=1in-U9uYeYBFBG0TYyz0mhoo3pgiHIzo_</t>
  </si>
  <si>
    <t>V0150682E007</t>
  </si>
  <si>
    <t>https://drive.google.com/open?id=1bM98p-C6Kb5fWWZRXB-YLKft8833ttsu</t>
  </si>
  <si>
    <t>V0171691P004</t>
  </si>
  <si>
    <t>https://drive.google.com/open?id=1c3f44Bc_Utu7HZ89dtUu6_8vTyW4js1x</t>
  </si>
  <si>
    <t>V0173641P007</t>
  </si>
  <si>
    <t>https://drive.google.com/open?id=1XCVGH-5rP4adAXnNuGIemWUw5gND32Ys</t>
  </si>
  <si>
    <t>V0181381P016</t>
  </si>
  <si>
    <t>https://drive.google.com/open?id=1yRdxh6_YWX8dc8mrUsceFjQfdeyDKGzC</t>
  </si>
  <si>
    <t>V0181451P003</t>
  </si>
  <si>
    <t>https://drive.google.com/open?id=1zRhdW5Z9PHp2-7p5wtljuIcAQyt8831J</t>
  </si>
  <si>
    <t>V0181461P009</t>
  </si>
  <si>
    <t>https://drive.google.com/open?id=1i2PVn8g8PPyVrY88fq39VMgKnNplMXOj</t>
  </si>
  <si>
    <t>V0181461P015</t>
  </si>
  <si>
    <t>https://drive.google.com/open?id=1-iCV_QmPMB3_mF4z-wwxFwLNxwSm8kCa</t>
  </si>
  <si>
    <t>V0080881P007</t>
  </si>
  <si>
    <t>https://drive.google.com/open?id=1aEbmwMWadu7hfXQPaTGC6aGA75OqFyX7</t>
  </si>
  <si>
    <t>V0103771P007</t>
  </si>
  <si>
    <t>https://drive.google.com/open?id=18upoGWpuk6Dcib430zWPzj3etySgFehg</t>
  </si>
  <si>
    <t>V0172691P009</t>
  </si>
  <si>
    <t>https://drive.google.com/open?id=1rpDptoc0ZdgHtFbMZf7DXd37LKdDBPso</t>
  </si>
  <si>
    <t>S0400812E001</t>
  </si>
  <si>
    <t>https://drive.google.com/open?id=1xdiMK7-SOilHIufAhh5ixVjY3KOqEaBl</t>
  </si>
  <si>
    <t>S0381001E007</t>
  </si>
  <si>
    <t>https://drive.google.com/open?id=1bA3Gqb1a_qirf40uhy8VgNiE8nnN1mTV</t>
  </si>
  <si>
    <t>S0510091E009</t>
  </si>
  <si>
    <t>https://drive.google.com/open?id=1-5BbfHVizqgu7mtBiGVRDtMZ7weoZeNT</t>
  </si>
  <si>
    <t>S0510172E009</t>
  </si>
  <si>
    <t>https://drive.google.com/open?id=1AsV3j2PRMV_ebcal4XGwkfM3qoMC9uqv</t>
  </si>
  <si>
    <t>S0510231E007</t>
  </si>
  <si>
    <t>https://drive.google.com/open?id=1YdoyMifJZhNvLyr6mbdRHOCffAOrgq1m</t>
  </si>
  <si>
    <t>V0110403E001</t>
  </si>
  <si>
    <t>https://drive.google.com/open?id=1FFnyr8kYJAbhweLSSRDXYG6Rh0chr0I5</t>
  </si>
  <si>
    <t>S0510321E008</t>
  </si>
  <si>
    <t>https://drive.google.com/open?id=1p449UFbf7jLYq5ObMPqUNUJatv5y_J3k</t>
  </si>
  <si>
    <t>S0422281E001</t>
  </si>
  <si>
    <t>https://drive.google.com/open?id=1phyzK9G_-SP8Of2oj11kN_HxYpvHrsU9</t>
  </si>
  <si>
    <t>V0140212E010</t>
  </si>
  <si>
    <t>https://drive.google.com/open?id=1q8Pqio1tc-U2GlCAT1KuC8huVqPvzkGX</t>
  </si>
  <si>
    <t>V0140152E006</t>
  </si>
  <si>
    <t>https://drive.google.com/open?id=15dv0gxM2qz2Pd1UqXguUq3ssh8gGavL3</t>
  </si>
  <si>
    <t>V0140151P020</t>
  </si>
  <si>
    <t>https://drive.google.com/open?id=1QETRIs6uREc4DkT602Z66OGxJ6PntZLq</t>
  </si>
  <si>
    <t>S0291611E004</t>
  </si>
  <si>
    <t>https://drive.google.com/open?id=1HYKqzol-kqAw0HZPtnuWpgo0fgJtGksD</t>
  </si>
  <si>
    <t>V0080931P005</t>
  </si>
  <si>
    <t>https://drive.google.com/open?id=1wvm8XlJHRdv3y2UuecAAJQvalbcXhGX3</t>
  </si>
  <si>
    <t>S0150712E002</t>
  </si>
  <si>
    <t>https://drive.google.com/open?id=1HJw9QW3kYGf3RHKwbFa0gVmpFXfGP7sc</t>
  </si>
  <si>
    <t>S0571811E004</t>
  </si>
  <si>
    <t>https://drive.google.com/open?id=1O58sHQzS_a-qW5F84wkdoGEF0AkzJSNS</t>
  </si>
  <si>
    <t>S0291463E001</t>
  </si>
  <si>
    <t>https://drive.google.com/open?id=1PsFjOpdZgxQtyvT1C612BJULK4rKNEKH</t>
  </si>
  <si>
    <t>S0300981E006</t>
  </si>
  <si>
    <t>https://drive.google.com/open?id=1aRaaAzTTZrua3YQ4CONIbb-G7uAACIA7</t>
  </si>
  <si>
    <t>S0130721E005</t>
  </si>
  <si>
    <t>https://drive.google.com/open?id=1sOuzd55fEEsCxUhMELb3331qwI0HQ8hY</t>
  </si>
  <si>
    <t>S0292074E001</t>
  </si>
  <si>
    <t>https://drive.google.com/open?id=1gUEiQqTSf2aTllMjVEpYdJYyJYkdjXZS</t>
  </si>
  <si>
    <t>V0170811P022</t>
  </si>
  <si>
    <t>https://drive.google.com/open?id=1oLXenkPUhAfcipaS0YJx6xJWdRBCMf_G</t>
  </si>
  <si>
    <t>V0161401P003</t>
  </si>
  <si>
    <t>https://drive.google.com/open?id=1H5P7JSh1eXz6fCzjUaW4dx0-H1vGZkiT</t>
  </si>
  <si>
    <t>V0170791P007</t>
  </si>
  <si>
    <t>https://drive.google.com/open?id=1sx0lXdXqJTQIwKEdNmeVvdwGvKwA5ti0</t>
  </si>
  <si>
    <t>V0172681P007</t>
  </si>
  <si>
    <t>https://drive.google.com/open?id=11tijT6boW2B4KC0-uq44Zs4b8hppAWp7</t>
  </si>
  <si>
    <t>V0161191E001</t>
  </si>
  <si>
    <t>https://drive.google.com/open?id=1mKgrDat1yt1azye1AkamOWqGENkn0SGL</t>
  </si>
  <si>
    <t>V0140101P011</t>
  </si>
  <si>
    <t>https://drive.google.com/open?id=1QN7x2kDVnt_wfoEAIx94MEe8eBXvIFPU</t>
  </si>
  <si>
    <t>S0210172E001</t>
  </si>
  <si>
    <t>Operasi Hitung Bilangan</t>
  </si>
  <si>
    <t>https://drive.google.com/open?id=1i-EqD5frKZcI3rdtaDXzk0z4dRGvHdz6</t>
  </si>
  <si>
    <t>S0090331E006</t>
  </si>
  <si>
    <t>https://drive.google.com/open?id=1hwWQNMKtyrMNO3xpETLygpiN0q2LJMv8</t>
  </si>
  <si>
    <t>S0191261E001</t>
  </si>
  <si>
    <t>https://drive.google.com/open?id=1HWjfVcL37ZZwV3JZn2qV28tc1PSSViao</t>
  </si>
  <si>
    <t>S0351372E001</t>
  </si>
  <si>
    <t>https://drive.google.com/open?id=1hTUGt7t-HEYVWILtKqClMNibpUCXmOSE</t>
  </si>
  <si>
    <t>S0451541E005</t>
  </si>
  <si>
    <t>https://drive.google.com/open?id=1HtrTevlnxbl7b7JW-x3zmdoUuVjr63Im</t>
  </si>
  <si>
    <t>S0451561E001</t>
  </si>
  <si>
    <t>https://drive.google.com/open?id=1Ht8_yhQ7G4TcItTlyfJiljlxdxVYnq39</t>
  </si>
  <si>
    <t>S0331461E001</t>
  </si>
  <si>
    <t>https://drive.google.com/open?id=1hSkpyHtxAE7FqHouaEHRMcTiG3RRYGuo</t>
  </si>
  <si>
    <t>S0341281E001</t>
  </si>
  <si>
    <t>https://drive.google.com/open?id=1HP2gSTBQoMt5yf0mQqgfTiCkzYsqTrBD</t>
  </si>
  <si>
    <t>S0251412E001</t>
  </si>
  <si>
    <t>https://drive.google.com/open?id=1HOVdOMmu3cx5sJQpbj25fnhu636hz65j</t>
  </si>
  <si>
    <t>S0090352E004</t>
  </si>
  <si>
    <t>https://drive.google.com/open?id=1hNxkeRN3RDT-LAHpvBK2iyQpmPDQMs5z</t>
  </si>
  <si>
    <t>S0160243E001</t>
  </si>
  <si>
    <t>https://drive.google.com/open?id=1hMu9wcSyzWXpeMkho8xRe-sGi72YwXdB</t>
  </si>
  <si>
    <t>S0341452E005</t>
  </si>
  <si>
    <t>https://drive.google.com/open?id=1HktoW9P_TMl0p-W3S3lUrlBhX_LRUCct</t>
  </si>
  <si>
    <t>S0090352E009</t>
  </si>
  <si>
    <t>https://drive.google.com/open?id=1hDpU9Y4JCTGn89H-SdsbBDi1Z9iFtjVg</t>
  </si>
  <si>
    <t>S0160142b002</t>
  </si>
  <si>
    <t>https://drive.google.com/open?id=1h82_25ObvCLeOJ-z_BJhiRYb2KoGV7cq</t>
  </si>
  <si>
    <t>S0351411E001</t>
  </si>
  <si>
    <t>https://drive.google.com/open?id=1GZYCL72fQXMLWRL9fjqYNdyiKCO7-GVF</t>
  </si>
  <si>
    <t>S0451501E002</t>
  </si>
  <si>
    <t>https://drive.google.com/open?id=1GrZMpeEmRTC81b2dY6xU8bswX3rrdnEY</t>
  </si>
  <si>
    <t>S0331461E003</t>
  </si>
  <si>
    <t>https://drive.google.com/open?id=1GpqMfiu1wmuPfetsz1U0xduCxJBv_TEV</t>
  </si>
  <si>
    <t>S0191231E001</t>
  </si>
  <si>
    <t>https://drive.google.com/open?id=1gmlqmNCOljS6hbokqMrQ0wiTsmCNmyNF</t>
  </si>
  <si>
    <t>S0471871E002</t>
  </si>
  <si>
    <t>https://drive.google.com/open?id=1GlEreEbXIrCc4I8amqz95IWTYFInPF4G</t>
  </si>
  <si>
    <t>S0341301a002</t>
  </si>
  <si>
    <t>https://drive.google.com/open?id=1GkdlkX24zjRkAFn1yMWo8BqpLttWJ0wJ</t>
  </si>
  <si>
    <t>S0210082E003</t>
  </si>
  <si>
    <t>https://drive.google.com/open?id=1gjGNjdidRDYFxL-4NkMerFw8EbNpBwuX</t>
  </si>
  <si>
    <t>S0471811E003</t>
  </si>
  <si>
    <t>https://drive.google.com/open?id=1GH0IbEnPadvLJDW0SjM9P3Ot_Qfbm0Kd</t>
  </si>
  <si>
    <t>S0191672E003</t>
  </si>
  <si>
    <t>https://drive.google.com/open?id=1GFociSbMu8IueESI17hmWdj8SbphJTbq</t>
  </si>
  <si>
    <t>S0090352E005</t>
  </si>
  <si>
    <t>https://drive.google.com/open?id=1GCA_q9bSD3pkAZ9LGJZrNsvwYEjqpAyw</t>
  </si>
  <si>
    <t>S0160093b002</t>
  </si>
  <si>
    <t>https://drive.google.com/open?id=1G-Qkr0NBrVeAkVXmmwlZnCWzRs3odQbU</t>
  </si>
  <si>
    <t>S0451551E001</t>
  </si>
  <si>
    <t>https://drive.google.com/open?id=1FYbGseI3Y_4XCQ8gRsB_41g3yW4RjM4v</t>
  </si>
  <si>
    <t>S0341362E001</t>
  </si>
  <si>
    <t>https://drive.google.com/open?id=1fXUFyWxvkkQe48FUcChQdXZjo2j-OjjV</t>
  </si>
  <si>
    <t>S0210081E005</t>
  </si>
  <si>
    <t>https://drive.google.com/open?id=1fuSiG2-PcpZL-S6Pve2QKKl_VEA4-cnI</t>
  </si>
  <si>
    <t>S0191222E001</t>
  </si>
  <si>
    <t>https://drive.google.com/open?id=1fuqbNuHa0gVWE7YDINkRDSEJGn-f_7UE</t>
  </si>
  <si>
    <t>S0341313E001</t>
  </si>
  <si>
    <t>https://drive.google.com/open?id=1Frzr26usyolgnTn6qXuesJ_RyTEuWANm</t>
  </si>
  <si>
    <t>S0351342E003</t>
  </si>
  <si>
    <t>https://drive.google.com/open?id=1fPm182FKygrFPe12AMCMuWCMgb1AiRQ3</t>
  </si>
  <si>
    <t>S0331411E003</t>
  </si>
  <si>
    <t>https://drive.google.com/open?id=1fOVMvwnkZVZ6QdcGo4s36lOA7rUQqsPk</t>
  </si>
  <si>
    <t>S0251361a002</t>
  </si>
  <si>
    <t>https://drive.google.com/open?id=1FMf85mKfcO4pQSd_jZt4VoX8GjFA0OU_</t>
  </si>
  <si>
    <t>S0470661E003</t>
  </si>
  <si>
    <t>https://drive.google.com/open?id=1fiMwoB4_HmItbD7QoVUMUMRcTmGnYM-T</t>
  </si>
  <si>
    <t>S0160242E002</t>
  </si>
  <si>
    <t>https://drive.google.com/open?id=1fIlabevn2m6utZjwPZNYlSLeoDuh0KQD</t>
  </si>
  <si>
    <t>V0150852E009</t>
  </si>
  <si>
    <t>https://drive.google.com/open?id=1Ukl5-YKr1QvaG4SZQyTKqEg7kF6_JJnp</t>
  </si>
  <si>
    <t>S0341292E002</t>
  </si>
  <si>
    <t>https://drive.google.com/open?id=1hDOJOS2Yx9Z0VQ1Q_gIl_TOUgL_WrExs</t>
  </si>
  <si>
    <t>S0191282E002</t>
  </si>
  <si>
    <t>https://drive.google.com/open?id=1Gxakr8bUbgktqnQNHI1EjSi8tpCxdAl9</t>
  </si>
  <si>
    <t>S0351371E004</t>
  </si>
  <si>
    <t>https://drive.google.com/open?id=1gddrQvzfSuOsK9tH9VuA2YnpqJ_w36ZQ</t>
  </si>
  <si>
    <t>S0290253E004</t>
  </si>
  <si>
    <t>https://drive.google.com/open?id=168uQpPoRC_VVThbyZ9mwa7HlGz6jzKx6</t>
  </si>
  <si>
    <t>V0010301P014</t>
  </si>
  <si>
    <t>https://drive.google.com/open?id=1q1iv4BrcTX4y9tIvkEiCAPsvPrh9ChwB</t>
  </si>
  <si>
    <t>V0172181P013</t>
  </si>
  <si>
    <t>https://drive.google.com/open?id=1wMz9vTnBfscj8k1zPBiBcHiA9mz-9Ia2</t>
  </si>
  <si>
    <t>S0571611E002</t>
  </si>
  <si>
    <t>https://drive.google.com/open?id=1ivWuY9zYfhTXjkPEFKiX72mswEWmmsTJ</t>
  </si>
  <si>
    <t>S0510453E004</t>
  </si>
  <si>
    <t>https://drive.google.com/open?id=1NFoSIiHC35nxMJHLyMGCXNXpPWGIvb7r</t>
  </si>
  <si>
    <t>V0140371P006</t>
  </si>
  <si>
    <t>https://drive.google.com/open?id=1IwG7kzPrijDBrxfT6o0oFp02IvEzLpEF</t>
  </si>
  <si>
    <t>S0341361d001</t>
  </si>
  <si>
    <t>https://drive.google.com/open?id=1Hg7qLMa7lp6KGCFA4lTXhNf2F3XP2XPs</t>
  </si>
  <si>
    <t>S0191672E006</t>
  </si>
  <si>
    <t>https://drive.google.com/open?id=1gpPylm6QU2C6GTv63armqsLJbaNhfijC</t>
  </si>
  <si>
    <t>S0291652a001</t>
  </si>
  <si>
    <t>https://drive.google.com/open?id=1byCUZhIMpBngNcEMM5wRcJoofOF7oK2S</t>
  </si>
  <si>
    <t>V0110543E011</t>
  </si>
  <si>
    <t>https://drive.google.com/open?id=1oprZSK-cx_JZQrb14O03El8H158lZUC8</t>
  </si>
  <si>
    <t>S0472051b002</t>
  </si>
  <si>
    <t>https://drive.google.com/open?id=13MejtBfhKr6kEH_6vinAhUnEtE0MoEWN</t>
  </si>
  <si>
    <t>S0351421E003</t>
  </si>
  <si>
    <t>https://drive.google.com/open?id=1l8YaYaH7BV5FQhvnYKlq5hjPEdwbg7rL</t>
  </si>
  <si>
    <t>S0370401E005</t>
  </si>
  <si>
    <t>https://drive.google.com/open?id=1goESmWnD36zVPXvjQ4sxLMmBcaPLox_w</t>
  </si>
  <si>
    <t>V0140202E003</t>
  </si>
  <si>
    <t>https://drive.google.com/open?id=1bjfDKSeX5vpDdDVTyhyH2tL5_NKQKNhG</t>
  </si>
  <si>
    <t>V0070903E004</t>
  </si>
  <si>
    <t>https://drive.google.com/open?id=1A3Qn4aXgIc1byYVOz5g2fjABzXRMB8Uk</t>
  </si>
  <si>
    <t>S0010311c003</t>
  </si>
  <si>
    <t>Aproksimasi / Pembulatan</t>
  </si>
  <si>
    <t>https://drive.google.com/open?id=1gHYgFbL6gnbj39tOTTuIpd0MJM3ILWUm</t>
  </si>
  <si>
    <t>S0100391E001</t>
  </si>
  <si>
    <t>https://drive.google.com/open?id=1E61t6Urg_FYcN6mbwkb43LqEbA1VlAA4</t>
  </si>
  <si>
    <t>S0100521E007</t>
  </si>
  <si>
    <t>https://drive.google.com/open?id=1TpofwhbFAZ_M1lBuxBeZepGmt01Er7GJ</t>
  </si>
  <si>
    <t>V0130601P013</t>
  </si>
  <si>
    <t>https://drive.google.com/open?id=15K9PmA2RY8P4HlkGtwD_c6hJ-zRIp_rO</t>
  </si>
  <si>
    <t>S0130492E003</t>
  </si>
  <si>
    <t>https://drive.google.com/open?id=1a0Ns-A86q2pTeGiGkjGJbyV2zHerkfOZ</t>
  </si>
  <si>
    <t>S0340261E006</t>
  </si>
  <si>
    <t>https://drive.google.com/open?id=1NWW9ClqSP7DAomV88snTL346HF56bYml</t>
  </si>
  <si>
    <t>S0340262E002</t>
  </si>
  <si>
    <t>https://drive.google.com/open?id=1klq7ZLwKI2mTvxx8XCHRInHSaSRYtXHL</t>
  </si>
  <si>
    <t>S0350221E001</t>
  </si>
  <si>
    <t>https://drive.google.com/open?id=12Tqkq3a70ZNQh3Nr7wSgEssrVGJIf3K6</t>
  </si>
  <si>
    <t>S0350242E001</t>
  </si>
  <si>
    <t>https://drive.google.com/open?id=1iATBCuwPCf-bdehwpJvTqiYdylG6oROJ</t>
  </si>
  <si>
    <t>V0130783E005</t>
  </si>
  <si>
    <t>https://drive.google.com/open?id=1ocL4oTYN4xbmYD6I--u5UTswYujzKoR-</t>
  </si>
  <si>
    <t>S0470451E019</t>
  </si>
  <si>
    <t>https://drive.google.com/open?id=1YqD30yNBvlpEIYTS443b_H2CVEWjVQak</t>
  </si>
  <si>
    <t>S0160742E005</t>
  </si>
  <si>
    <t>https://drive.google.com/open?id=11kzxK0x1Rmjj-Vt9haz3UjTbcKGzyP35</t>
  </si>
  <si>
    <t>S0160262e001</t>
  </si>
  <si>
    <t>https://drive.google.com/open?id=19bvoFZXmPJrNKgV6ZUJaLALKlS8heDr6</t>
  </si>
  <si>
    <t>S0450451E005</t>
  </si>
  <si>
    <t>https://drive.google.com/open?id=1qtobMuwvS8kZdjRhh7Mk9Qk74M3oTtqt</t>
  </si>
  <si>
    <t>S0170292E001</t>
  </si>
  <si>
    <t>https://drive.google.com/open?id=1HmPFDzs7nOT0c4g0Lt-YaDRK6RLSbCkT</t>
  </si>
  <si>
    <t>S0350272E005</t>
  </si>
  <si>
    <t>https://drive.google.com/open?id=1pGZdhVJdjep9lilFM9Pg0pt9CmUTXciy</t>
  </si>
  <si>
    <t>S0150737E001</t>
  </si>
  <si>
    <t>https://drive.google.com/open?id=19xXnCmb4jGcAXvy7f6QV_CifOKKDr-w1</t>
  </si>
  <si>
    <t>S0591091E002</t>
  </si>
  <si>
    <t>https://drive.google.com/open?id=1UUWreQ_QBro69jmp2gWDhVu3Q52Ruv_g</t>
  </si>
  <si>
    <t>S0300392E001</t>
  </si>
  <si>
    <t>https://drive.google.com/open?id=1-bOH8bkYrEleJoZ8RbDnhDUMxkv6zByX</t>
  </si>
  <si>
    <t>S0580102E001</t>
  </si>
  <si>
    <t>https://drive.google.com/open?id=1IYDICNs1J2M0xeBisvqg8N2_cA814Ydd</t>
  </si>
  <si>
    <t>V0110313E001</t>
  </si>
  <si>
    <t>https://drive.google.com/open?id=1Q5JooVxzJp-omli5k8Mr1nJkxwaT2kEB</t>
  </si>
  <si>
    <t>V0181482E005</t>
  </si>
  <si>
    <t>https://drive.google.com/open?id=15yy6Ch6IIJi_5fVlpHPTdNiajdGlhMIe</t>
  </si>
  <si>
    <t>V0130103E005</t>
  </si>
  <si>
    <t>https://drive.google.com/open?id=1EyN9kkkLMz28e6HruJaIykkfWtITgj-n</t>
  </si>
  <si>
    <t>V0140371P013</t>
  </si>
  <si>
    <t>https://drive.google.com/open?id=1HbNlLB6gW2AAGSOsmqGxCM-0UqkKsARU</t>
  </si>
  <si>
    <t>S0472172E005</t>
  </si>
  <si>
    <t>https://drive.google.com/open?id=1hE7aaPIuIZtgj9Mg3016a97LnCvh8YHX</t>
  </si>
  <si>
    <t>S0211812E005</t>
  </si>
  <si>
    <t>https://drive.google.com/open?id=1FZoY3LkufLCreNdJu85ZCWzdonyuMWDg</t>
  </si>
  <si>
    <t>S0210171E001</t>
  </si>
  <si>
    <t>https://drive.google.com/open?id=1QJCJLKg62nxDR0xAyaMbOiSiuP5mpAjm</t>
  </si>
  <si>
    <t>S0291362E006</t>
  </si>
  <si>
    <t>https://drive.google.com/open?id=1oSlaLQAbksTerPYIMti5zL1X7rXaYaRu</t>
  </si>
  <si>
    <t>S0510501E002</t>
  </si>
  <si>
    <t>https://drive.google.com/open?id=1DsjHh4PQaA-__pOz6o_FP8wWF27VYzCU</t>
  </si>
  <si>
    <t>S0151151P025</t>
  </si>
  <si>
    <t>https://drive.google.com/open?id=1-xqwJOwr9EIH3RMZyoKvYaE-R8EvG_Hz</t>
  </si>
  <si>
    <t>T0054402P001</t>
  </si>
  <si>
    <t>https://drive.google.com/open?id=1i5juA_yOLye7uwawWPP5Gi_uOkm4l9io</t>
  </si>
  <si>
    <t>S0150874E001</t>
  </si>
  <si>
    <t>https://drive.google.com/open?id=1zB_RapXD0eK04e6p4PRSvfEWeNLbbNbE</t>
  </si>
  <si>
    <t>S0400761E001</t>
  </si>
  <si>
    <t>https://drive.google.com/open?id=1hEQXa63ipsz-XHsSq7BiqeCdvXUe7-yp</t>
  </si>
  <si>
    <t>V0140191P008</t>
  </si>
  <si>
    <t>https://drive.google.com/open?id=1XyOmLl3VuNje73iy5hVUNtBpOIlMM0o-</t>
  </si>
  <si>
    <t>V0070501P020</t>
  </si>
  <si>
    <t>https://drive.google.com/open?id=164T5VJjxWfjD8I4PDXzRhVxivX9m2197</t>
  </si>
  <si>
    <t>S0100552E005</t>
  </si>
  <si>
    <t>https://drive.google.com/open?id=1LcoHc5bBIGEnubQ4v4FGPbwsuZ1DPIhV</t>
  </si>
  <si>
    <t>T0055601P001</t>
  </si>
  <si>
    <t>https://drive.google.com/open?id=1L2f0Ruo1690uy9Htpx1ZLFb7gKDzSuiK</t>
  </si>
  <si>
    <t>T005G202P001</t>
  </si>
  <si>
    <t>https://drive.google.com/open?id=1ks7bPbLWEw4n8zf2-dEvoHBUZsPvGCMu</t>
  </si>
  <si>
    <t>T0100297P011</t>
  </si>
  <si>
    <t>https://drive.google.com/open?id=1tRiM0giyv3z21FnV_GFtoNRf75ElbDYq</t>
  </si>
  <si>
    <t>T0091216E001</t>
  </si>
  <si>
    <t>https://drive.google.com/open?id=15ZhxVQlyt1S1xpF211EwSsZTmsW1C6s-</t>
  </si>
  <si>
    <t>T0070603P001</t>
  </si>
  <si>
    <t>https://drive.google.com/open?id=1bZsFU4LxzHLuIe41n3zWaxVE3ia5cicw</t>
  </si>
  <si>
    <t>T005X601P001</t>
  </si>
  <si>
    <t>https://drive.google.com/open?id=1WKou3on43OYe3mNUEbXf7gYBtrDpjstG</t>
  </si>
  <si>
    <t>T005Z901P001</t>
  </si>
  <si>
    <t>https://drive.google.com/open?id=1lylOUNltMQVRuzDHXyzN-xUw01FEUuPT</t>
  </si>
  <si>
    <t>T0052202P001</t>
  </si>
  <si>
    <t>https://drive.google.com/open?id=1HuNtQFXSFhVtva3zVj1qVXxzCWMQPl4v</t>
  </si>
  <si>
    <t>T005J703P001</t>
  </si>
  <si>
    <t>https://drive.google.com/open?id=129w5dSHWER5RY68ZoZSFCnO-_QVKoIoj</t>
  </si>
  <si>
    <t>T005O103P001</t>
  </si>
  <si>
    <t>https://drive.google.com/open?id=1VMZLXjtw7sO2QIWJ0KFOHK-ze2mlOCMq</t>
  </si>
  <si>
    <t>T005P903P001</t>
  </si>
  <si>
    <t>https://drive.google.com/open?id=1rWJoipApGeSt1C1tHqkfPKldr127yKdi</t>
  </si>
  <si>
    <t>T0055302P001</t>
  </si>
  <si>
    <t>https://drive.google.com/open?id=1ywgWokxMQKhR1utM3B1s7Qvh30S0HQ5s</t>
  </si>
  <si>
    <t>T0056402P001</t>
  </si>
  <si>
    <t>https://drive.google.com/open?id=1id2IBxgG2vyYgA0Kikqfp-QopXbggvoP</t>
  </si>
  <si>
    <t>S0292073E004</t>
  </si>
  <si>
    <t>https://drive.google.com/open?id=1Ix8TDxkkEnuYOSrMr9BzRgAHwkBdX30Z</t>
  </si>
  <si>
    <t>T0100287P013</t>
  </si>
  <si>
    <t>https://drive.google.com/open?id=1nmEZzswI7S5bW5gtn6JbHGYZW3NJDtv8</t>
  </si>
  <si>
    <t>T0100488E004</t>
  </si>
  <si>
    <t>https://drive.google.com/open?id=1gJvXHx-M5kUg22UfE_Q5APv3pCtG8_X8</t>
  </si>
  <si>
    <t>T0100138P009</t>
  </si>
  <si>
    <t>https://drive.google.com/open?id=1QQYe2pBeGfxBgzbg_xCSkUBF5w-Wv26X</t>
  </si>
  <si>
    <t>T0100238P010</t>
  </si>
  <si>
    <t>https://drive.google.com/open?id=1Iq6PefJf407xG-LY3O3fp-aJtIl8rX29</t>
  </si>
  <si>
    <t>T0100342E006</t>
  </si>
  <si>
    <t>https://drive.google.com/open?id=1JB9KRbIoGBaPNgLVHDcsx2nAnZyj1_Iv</t>
  </si>
  <si>
    <t>T0090116E001</t>
  </si>
  <si>
    <t>https://drive.google.com/open?id=185GwDb1JD4O1qnDNNYW5uv23V37A0rhx</t>
  </si>
  <si>
    <t>T0090616E001</t>
  </si>
  <si>
    <t>https://drive.google.com/open?id=17wlUta69JANuel18k55qDa-UgDcj5ayc</t>
  </si>
  <si>
    <t>T0090816E001</t>
  </si>
  <si>
    <t>https://drive.google.com/open?id=10iKWAjmZyl--y_Ms3peL-ynwawCnuDRv</t>
  </si>
  <si>
    <t>T0092316E001</t>
  </si>
  <si>
    <t>https://drive.google.com/open?id=1CyzP2DGuiztPi8rAEpRnM14AMW5jA0eN</t>
  </si>
  <si>
    <t>T0092616E001</t>
  </si>
  <si>
    <t>https://drive.google.com/open?id=1QBH79pq5qDWPsAA0E6zecWUGKtOZ5uLI</t>
  </si>
  <si>
    <t>T007L003P001</t>
  </si>
  <si>
    <t>https://drive.google.com/open?id=1aNLpcH1ZXiCDAXTikOPhEOSQ1T1jL4C6</t>
  </si>
  <si>
    <t>T0070403P001</t>
  </si>
  <si>
    <t>https://drive.google.com/open?id=1g56G_i0RxxizLAf7V0HSLFNi8t7ZZQPo</t>
  </si>
  <si>
    <t>T0077303P001</t>
  </si>
  <si>
    <t>https://drive.google.com/open?id=1bCVLXVZZGn5ux3lIFj2NRgqzyC1Y85L2</t>
  </si>
  <si>
    <t>T005X701P001</t>
  </si>
  <si>
    <t>https://drive.google.com/open?id=1TjyF_TTzOmThNvNtkF39xhOyVU0OMxWn</t>
  </si>
  <si>
    <t>S0301631E001</t>
  </si>
  <si>
    <t>https://drive.google.com/open?id=1BPqo_cG7MYrMD0FVCIG1USDiJQcswTJo</t>
  </si>
  <si>
    <t>S0301631E002</t>
  </si>
  <si>
    <t>https://drive.google.com/open?id=10dUOkg-LOmQkfv9axW-wGpDpde3U721F</t>
  </si>
  <si>
    <t>S0301641E003</t>
  </si>
  <si>
    <t>https://drive.google.com/open?id=1T3ObbF7qAcvCb_-r6t5Jay45bEw6ygBl</t>
  </si>
  <si>
    <t>S0301651E001</t>
  </si>
  <si>
    <t>https://drive.google.com/open?id=1J_fuQdG9A6YHco1T_MbIBWfZn8h2lxAu</t>
  </si>
  <si>
    <t>S0301651E002</t>
  </si>
  <si>
    <t>https://drive.google.com/open?id=1xpk6b56myh24Q8-urjPB6AGkD6pw8XhZ</t>
  </si>
  <si>
    <t>S0301701c001</t>
  </si>
  <si>
    <t>https://drive.google.com/open?id=1-0zA44tjXdHTO2m54yYEjMkkzOP2-sf6</t>
  </si>
  <si>
    <t>U0030601E005</t>
  </si>
  <si>
    <t>https://drive.google.com/open?id=1uSDo707T-WnEoRqx7bJgM7B6MGUYUNkP</t>
  </si>
  <si>
    <t>U0030601E006</t>
  </si>
  <si>
    <t>https://drive.google.com/open?id=1R--3IIqvi1YkiWbUHW761_m-TX8vRn8z</t>
  </si>
  <si>
    <t>S0301611E003</t>
  </si>
  <si>
    <t>https://drive.google.com/open?id=1OpowbBUtDvP3XQGSxAIC_waoHFkgwZt8</t>
  </si>
  <si>
    <t>S0301661E003</t>
  </si>
  <si>
    <t>https://drive.google.com/open?id=10D72-ItbXn9_5eZyyhO1va39w3wnrpLj</t>
  </si>
  <si>
    <t>S0301662E001</t>
  </si>
  <si>
    <t>https://drive.google.com/open?id=1V_Tr_wlF5VdG8M6V99Xs-6TWqLOZzjY5</t>
  </si>
  <si>
    <t>S0301671E001</t>
  </si>
  <si>
    <t>https://drive.google.com/open?id=1CsdxVr1GZNjGwcuAIIzi0AajZ_iZxIj-</t>
  </si>
  <si>
    <t>S0301681E001</t>
  </si>
  <si>
    <t>https://drive.google.com/open?id=1DMJjpJYxmUqtCju1vSAc5Ke3auI1C65H</t>
  </si>
  <si>
    <t>S0301701a001</t>
  </si>
  <si>
    <t>https://drive.google.com/open?id=1Ntc52v8V2htq-J6s2R8cY-zaX83bg5tB</t>
  </si>
  <si>
    <t>S0301701b001</t>
  </si>
  <si>
    <t>https://drive.google.com/open?id=1Ua5Ymqm42xyNzUE8OoREoTO5N_G2CF-f</t>
  </si>
  <si>
    <t>S0301711a002</t>
  </si>
  <si>
    <t>https://drive.google.com/open?id=1bVIEffdj6zpr4mPNc0OiHJ-d2x6Dartu</t>
  </si>
  <si>
    <t>S0301711b002</t>
  </si>
  <si>
    <t>https://drive.google.com/open?id=1d73fyh4U9VvyibAlLWNfvU0SNg8-ITc8</t>
  </si>
  <si>
    <t>T007V702P001</t>
  </si>
  <si>
    <t>https://drive.google.com/open?id=1IDXq5g0kra28fdZnot8lPwP1U_DG4VXW</t>
  </si>
  <si>
    <t>S0810072E002</t>
  </si>
  <si>
    <t>https://drive.google.com/open?id=1ue2hxoeFjGMoFVzsHLNc73n8FwG_RM4e</t>
  </si>
  <si>
    <t>S0810141E003</t>
  </si>
  <si>
    <t>https://drive.google.com/open?id=1MTlEDhetHMiYRemMm0ToveX9rUoWAEvN</t>
  </si>
  <si>
    <t>S0810162E005</t>
  </si>
  <si>
    <t>https://drive.google.com/open?id=1ksDmmkVu08vCuFsxdTHGJRa7nlLQDxfW</t>
  </si>
  <si>
    <t>S0571771E004</t>
  </si>
  <si>
    <t>https://drive.google.com/open?id=1yrbmDydq-vU_NQWPpsg6Tx32Y2lW5h64</t>
  </si>
  <si>
    <t>V0130893E005</t>
  </si>
  <si>
    <t>https://drive.google.com/open?id=1AC4qSW5ULuEUlFzTHpmJbrr1Xqumnd5f</t>
  </si>
  <si>
    <t>T006X101P001</t>
  </si>
  <si>
    <t>https://drive.google.com/open?id=1K5poCG5WprqIcSYhN7iseVkKIXUHh5On</t>
  </si>
  <si>
    <t>S0811681E005</t>
  </si>
  <si>
    <t>https://drive.google.com/open?id=1cwfX7NwgX0vNjUg5ToGrdIvF_zXq7y1l</t>
  </si>
  <si>
    <t>S0811441E003</t>
  </si>
  <si>
    <t>https://drive.google.com/open?id=17XGN2KteDvZ1lIODrmUIXIAwhPZdmL7k</t>
  </si>
  <si>
    <t>S0811601E007</t>
  </si>
  <si>
    <t>https://drive.google.com/open?id=1mArfx420ACDpcrjFaEWsGtCiGT3NWRcs</t>
  </si>
  <si>
    <t>T0093812E001</t>
  </si>
  <si>
    <t>https://drive.google.com/open?id=1om0DKY2JMfen2mzfjywc02MyoUgLH-Ys</t>
  </si>
  <si>
    <t>S0911531E002</t>
  </si>
  <si>
    <t>https://drive.google.com/open?id=1fwE7oajUHXBMyGI6ZgDYcHkGEaMu61jE</t>
  </si>
  <si>
    <t>T007J802P001</t>
  </si>
  <si>
    <t>https://drive.google.com/open?id=1Dgu_OtcX_32p4KQb6VjKp0CzOA2G0ixE</t>
  </si>
  <si>
    <t>S0810431P007</t>
  </si>
  <si>
    <t>https://drive.google.com/open?id=1BzxGC7c3Gg2dGczoBmXvrj1JScFXibeq</t>
  </si>
  <si>
    <t>S0810262E004</t>
  </si>
  <si>
    <t>https://drive.google.com/open?id=13__p0KWpqGKa6DvoRb84Rrpk0FIljWBz</t>
  </si>
  <si>
    <t>S0810122E005</t>
  </si>
  <si>
    <t>https://drive.google.com/open?id=1RnDQkVojqAhyKp3OCXpQ-WhWpL7PYYGd</t>
  </si>
  <si>
    <t>S0810151P006</t>
  </si>
  <si>
    <t>https://drive.google.com/open?id=1_zNBn27vaL1j9T-ODSW2FCgEhWZdFOSQ</t>
  </si>
  <si>
    <t>S0810194E001</t>
  </si>
  <si>
    <t>https://drive.google.com/open?id=10MQnm4SXFFQxNzlcH3S5SSj6s9w-gXX6</t>
  </si>
  <si>
    <t>S0810202E004</t>
  </si>
  <si>
    <t>https://drive.google.com/open?id=1f0PP4zUnorTG5MPWpos4SVYpZ2vaCO0e</t>
  </si>
  <si>
    <t>S0810211E001</t>
  </si>
  <si>
    <t>https://drive.google.com/open?id=16-19rKHe1-9gyOPMJyEz0mpb7l0OVKCU</t>
  </si>
  <si>
    <t>S0810231E001</t>
  </si>
  <si>
    <t>https://drive.google.com/open?id=1X6V3U5Yiptl_xgE4YU6V_rxivxjbtLo9</t>
  </si>
  <si>
    <t>S0810231E007</t>
  </si>
  <si>
    <t>https://drive.google.com/open?id=1bTlcrtC-MpAgy7eBz9_R29qJEw-m3n06</t>
  </si>
  <si>
    <t>S0810272E001</t>
  </si>
  <si>
    <t>https://drive.google.com/open?id=1wKtiHF8HS5vSR-xntR0A2TFIUr6i_HAr</t>
  </si>
  <si>
    <t>S0810282E002</t>
  </si>
  <si>
    <t>https://drive.google.com/open?id=1aDUtDW7GNP9RCMNpjxqsdL3hyx0Qt1m6</t>
  </si>
  <si>
    <t>S0810284E002</t>
  </si>
  <si>
    <t>https://drive.google.com/open?id=1fePDrc7MZTi7Ju82qsIM6aDgTSLr1jNN</t>
  </si>
  <si>
    <t>S0810291E001</t>
  </si>
  <si>
    <t>https://drive.google.com/open?id=1rDiDUpFZPjHw4YC6P0Vq5FIHvpmG7yKY</t>
  </si>
  <si>
    <t>S0810292E004</t>
  </si>
  <si>
    <t>https://drive.google.com/open?id=15-zy0J1mPA2jVV8O_ku_rXiCE1l3AxX2</t>
  </si>
  <si>
    <t>S0810294E002</t>
  </si>
  <si>
    <t>https://drive.google.com/open?id=107TVr7vfsykW9yIdERtRWdPnYz-DDGFR</t>
  </si>
  <si>
    <t>S0810301E001</t>
  </si>
  <si>
    <t>https://drive.google.com/open?id=19o7xPcjAOSuy6rYnjvJSFynA85rAa6m6</t>
  </si>
  <si>
    <t>S0810302E004</t>
  </si>
  <si>
    <t>https://drive.google.com/open?id=1TDKncgH6FXq3F81YfjB9ChDjkIIrRV2v</t>
  </si>
  <si>
    <t>U0030901E002</t>
  </si>
  <si>
    <t>https://drive.google.com/open?id=19l0ekIltQSw_tVmXqTljo6iveH2z5xiu</t>
  </si>
  <si>
    <t>T007J903P001</t>
  </si>
  <si>
    <t>https://drive.google.com/open?id=1hRzvdPv_Vl8MkGzDsyUXRlzVaDG0vnin</t>
  </si>
  <si>
    <t>T007K103P001</t>
  </si>
  <si>
    <t>https://drive.google.com/open?id=15qjvfhotXkDIfFJcFSuH5geMH9_DUJOF</t>
  </si>
  <si>
    <t>S0472011b003</t>
  </si>
  <si>
    <t>https://drive.google.com/open?id=1_Zy9YoTqxaYi8lCRnMtV0PMu6qCofKOi</t>
  </si>
  <si>
    <t>S0472011c003</t>
  </si>
  <si>
    <t>https://drive.google.com/open?id=1VzmjnXMW8065KswBvzf9KI6dszvmlvcx</t>
  </si>
  <si>
    <t>S0211782E003</t>
  </si>
  <si>
    <t>https://drive.google.com/open?id=12Qh41DIb3yv7RTGCAzXd5c8WNfrTWgWA</t>
  </si>
  <si>
    <t>S0211782E004</t>
  </si>
  <si>
    <t>https://drive.google.com/open?id=1Ei7vfftn0iau2DcBY_8EZ0DIQvNcAZGl</t>
  </si>
  <si>
    <t>S0211782E006</t>
  </si>
  <si>
    <t>https://drive.google.com/open?id=12gbpjrG7GiA8Xv1PChqsc3oMvrAoDJxs</t>
  </si>
  <si>
    <t>S0211801E002</t>
  </si>
  <si>
    <t>https://drive.google.com/open?id=1bGhHwwZBBXzWEz6-7ZjgVJfA6gDKRjNZ</t>
  </si>
  <si>
    <t>S0211802E001</t>
  </si>
  <si>
    <t>https://drive.google.com/open?id=1hVoiXDuF-Izx1wfYDebI1EIoYx3Sj49J</t>
  </si>
  <si>
    <t>S0211802E002</t>
  </si>
  <si>
    <t>https://drive.google.com/open?id=1wrf_4pU4fneKWPeBl-7zeJYSZ2iiWkzj</t>
  </si>
  <si>
    <t>S0211812E003</t>
  </si>
  <si>
    <t>https://drive.google.com/open?id=1feCJvyiB2wLJGz6x2JpNTKhmHaZzop55</t>
  </si>
  <si>
    <t>S0211882E010</t>
  </si>
  <si>
    <t>https://drive.google.com/open?id=1qTDbIUxgTrkwH5mf7TlO-OjViO37ORoF</t>
  </si>
  <si>
    <t>S0472021E001</t>
  </si>
  <si>
    <t>https://drive.google.com/open?id=1v7Rvhto9TRLbtZ1wjiCJ_otSj827PxUa</t>
  </si>
  <si>
    <t>S0472071E005</t>
  </si>
  <si>
    <t>https://drive.google.com/open?id=1n0wUzIfJTZaEnDLtzDqnAsxiUxyvpRN2</t>
  </si>
  <si>
    <t>T0290104P016</t>
  </si>
  <si>
    <t>https://drive.google.com/open?id=10cE6Fj6K0pfIWBJ16TZIbGZG8BMw8bNo</t>
  </si>
  <si>
    <t>T0290104P019</t>
  </si>
  <si>
    <t>https://drive.google.com/open?id=1meuyLU08IZX97Ww11mXd_lwGBg47sulE</t>
  </si>
  <si>
    <t>T0290104P020</t>
  </si>
  <si>
    <t>https://drive.google.com/open?id=1b-N1bcZhjgB43KMSlAUokGGnIL0v_YZB</t>
  </si>
  <si>
    <t>T0290605E021</t>
  </si>
  <si>
    <t>https://drive.google.com/open?id=1v6D_EQ-qZ0n5GjQMkUlZq8i8HpX-AhCD</t>
  </si>
  <si>
    <t>T0290605E022</t>
  </si>
  <si>
    <t>https://drive.google.com/open?id=1Va94MndiHFqvJjuOJqpRN9QnS8qh_UVh</t>
  </si>
  <si>
    <t>T0290605E023</t>
  </si>
  <si>
    <t>https://drive.google.com/open?id=1IqF5Wnrl1N0kobsO60ecjApuxaAx1E-x</t>
  </si>
  <si>
    <t>T0290705E024</t>
  </si>
  <si>
    <t>https://drive.google.com/open?id=1bWY8P0btE4B1X5EKE43yLjR-qQTwES3D</t>
  </si>
  <si>
    <t>S0541191E001</t>
  </si>
  <si>
    <t>https://drive.google.com/open?id=1Ed9QGQe4NwT0hR4UrnpJXONUWpRJ0M2U</t>
  </si>
  <si>
    <t>S0541191E002</t>
  </si>
  <si>
    <t>https://drive.google.com/open?id=1-LtmpLr4yg07MxbFgPyWc4fyUFwt2_Qy</t>
  </si>
  <si>
    <t>S0541201E003</t>
  </si>
  <si>
    <t>https://drive.google.com/open?id=10Bq511hePonGL1Iu9E9-CZQElPhXURBE</t>
  </si>
  <si>
    <t>S0541201E004</t>
  </si>
  <si>
    <t>https://drive.google.com/open?id=1VLIKCkMpe7fNApN66xtScuSHGWbKvCEQ</t>
  </si>
  <si>
    <t>S0541201E005</t>
  </si>
  <si>
    <t>https://drive.google.com/open?id=1W2-OEtl_R_hZKUm6uctDdyFDWCFFddw3</t>
  </si>
  <si>
    <t>S0541201E006</t>
  </si>
  <si>
    <t>https://drive.google.com/open?id=1GViuO--3Phgw4IqjaEZAwBsyvLURLyHa</t>
  </si>
  <si>
    <t>S0541232E005</t>
  </si>
  <si>
    <t>https://drive.google.com/open?id=1w0jSEl7D8oEBwrJJlRY8VjboorED9rWc</t>
  </si>
  <si>
    <t>S0541281E001</t>
  </si>
  <si>
    <t>https://drive.google.com/open?id=19BjclF-vXsIbhZ8OkX4r-9O6S8Z_9zBH</t>
  </si>
  <si>
    <t>S0541281E002</t>
  </si>
  <si>
    <t>https://drive.google.com/open?id=1qUWcuP1Ejq0DY3UooD2qNFFjXb0_JuPu</t>
  </si>
  <si>
    <t>S0541291E003</t>
  </si>
  <si>
    <t>https://drive.google.com/open?id=1myLDhxYHHW6GoJRgoTJ58sSmBtgg3WXe</t>
  </si>
  <si>
    <t>S0541291E004</t>
  </si>
  <si>
    <t>https://drive.google.com/open?id=1_NaGjs4HJJT1_6khunAKUI_jkgFTYqks</t>
  </si>
  <si>
    <t>S0541301E005</t>
  </si>
  <si>
    <t>https://drive.google.com/open?id=18PKxPRbkiVZyijon6LKYEQ_BFri3Hwcg</t>
  </si>
  <si>
    <t>S0541301E006</t>
  </si>
  <si>
    <t>https://drive.google.com/open?id=1ULkhRbYH3s05uJpMeE6kEeaTps4Act2n</t>
  </si>
  <si>
    <t>S0541311E007</t>
  </si>
  <si>
    <t>https://drive.google.com/open?id=15bCXW2WA7Nr4En-s0AmspH3XaX2j03cS</t>
  </si>
  <si>
    <t>S0541311E008</t>
  </si>
  <si>
    <t>https://drive.google.com/open?id=1nRCiaRJ0D9sss_4mOCloCGyycTeB0pqh</t>
  </si>
  <si>
    <t>S0541321E009</t>
  </si>
  <si>
    <t>https://drive.google.com/open?id=1kWpuoy7SXb7BTW0Ws2Ctvqx7uMqaOuu2</t>
  </si>
  <si>
    <t>S0541321E010</t>
  </si>
  <si>
    <t>https://drive.google.com/open?id=1ALzBG3FgCpdBiST4852Mq-c-DADhDK03</t>
  </si>
  <si>
    <t>S0541331E011</t>
  </si>
  <si>
    <t>https://drive.google.com/open?id=1HWNCTGxBXKZvpI_7yVW36pT-bw2OVVFL</t>
  </si>
  <si>
    <t>S0541331E012</t>
  </si>
  <si>
    <t>https://drive.google.com/open?id=1clf9ZDv7tQzrCJDMiAayLZdsEbzvZCXX</t>
  </si>
  <si>
    <t>S0541331E013</t>
  </si>
  <si>
    <t>https://drive.google.com/open?id=18m0GLLVr3xweXFP2U5w1oitWtqUigqrC</t>
  </si>
  <si>
    <t>S0541341E001</t>
  </si>
  <si>
    <t>https://drive.google.com/open?id=1SDUqy-whNHwB5F9UkR_lJ6lRqLv3ZNnG</t>
  </si>
  <si>
    <t>S0541341E014</t>
  </si>
  <si>
    <t>https://drive.google.com/open?id=1b64Mli5qkydorv-MLxORjubugkz8ivAp</t>
  </si>
  <si>
    <t>S0541351E002</t>
  </si>
  <si>
    <t>https://drive.google.com/open?id=1J2SBzRMxGkraTsfMXPl1P5yaBI0pEHrD</t>
  </si>
  <si>
    <t>S0541351E003</t>
  </si>
  <si>
    <t>https://drive.google.com/open?id=1WgNNLBYl9iSkIuJBrMOcH5ZZtjboOIRo</t>
  </si>
  <si>
    <t>S0541361E001</t>
  </si>
  <si>
    <t>https://drive.google.com/open?id=1YDRebhf5qpo0gsE4d-V0moxd17yjzSI3</t>
  </si>
  <si>
    <t>S0541361E002</t>
  </si>
  <si>
    <t>https://drive.google.com/open?id=1As9GAE6aX2olvmNWw0y_nw1iCawKujC1</t>
  </si>
  <si>
    <t>S0541371E003</t>
  </si>
  <si>
    <t>https://drive.google.com/open?id=1Ki08rlz99m6YGWeHfbwoFYxY72OAjC5p</t>
  </si>
  <si>
    <t>S0541371E004</t>
  </si>
  <si>
    <t>https://drive.google.com/open?id=1bU6ZGaHEGwYQsmFlDaUyoFNQWVQSNATo</t>
  </si>
  <si>
    <t>S0541381E006</t>
  </si>
  <si>
    <t>https://drive.google.com/open?id=1Kq-QmYhCWMWIJ8uoYTtRNAxf93DyBgx-</t>
  </si>
  <si>
    <t>S0541381E007</t>
  </si>
  <si>
    <t>https://drive.google.com/open?id=1rB8jr5dUF9StprQBItGA27RQAOsOd9zw</t>
  </si>
  <si>
    <t>S0541381E008</t>
  </si>
  <si>
    <t>https://drive.google.com/open?id=1hTsgluWXnfPWAyvy9zU5v4ugJaEuZUI6</t>
  </si>
  <si>
    <t>S0541381E009</t>
  </si>
  <si>
    <t>https://drive.google.com/open?id=1kz0vMdlf5535-fRTkULDVV4sV4dx1PV9</t>
  </si>
  <si>
    <t>S0541381E010</t>
  </si>
  <si>
    <t>https://drive.google.com/open?id=1uOo0vCmoCZxLZYFuXbACcQGrEhpdCymA</t>
  </si>
  <si>
    <t>S0541391E011</t>
  </si>
  <si>
    <t>https://drive.google.com/open?id=1kraAH7CJTAW9zVfnm0fOxlikFGMF5yRK</t>
  </si>
  <si>
    <t>S0541391E012</t>
  </si>
  <si>
    <t>https://drive.google.com/open?id=1kQNHwkHCrwy5R-FCl_K3bWWBlZTX4z1v</t>
  </si>
  <si>
    <t>S0541391E013</t>
  </si>
  <si>
    <t>https://drive.google.com/open?id=1MjEuZdZHEc2V0ILSYVKdrPGlUa2PW1Wy</t>
  </si>
  <si>
    <t>S0541391E014</t>
  </si>
  <si>
    <t>https://drive.google.com/open?id=1G9LmVnwhozAFfrb0u92lGURzaaNn80yx</t>
  </si>
  <si>
    <t>S0541401E016</t>
  </si>
  <si>
    <t>https://drive.google.com/open?id=1ttS8kLAG1aEqW9sjqsfWhHMnhm12ElXR</t>
  </si>
  <si>
    <t>S0591771E003</t>
  </si>
  <si>
    <t>https://drive.google.com/open?id=10wkW4t5r_YyS-VG2SYIeJ3-wVOYPFqIK</t>
  </si>
  <si>
    <t>S0591771E004</t>
  </si>
  <si>
    <t>https://drive.google.com/open?id=1wn5a0ERliimIEM1wctxi8OFfkT6zYpqR</t>
  </si>
  <si>
    <t>S0591781E001</t>
  </si>
  <si>
    <t>https://drive.google.com/open?id=1u_pbhJ12ecDLS3yiCPKldej_JsnfIcYL</t>
  </si>
  <si>
    <t>S0591791E001</t>
  </si>
  <si>
    <t>https://drive.google.com/open?id=1zgFZbHu4X5PfKEa3mA-feTAcD7vw4MeH</t>
  </si>
  <si>
    <t>S0591792E001</t>
  </si>
  <si>
    <t>https://drive.google.com/open?id=1abALxOK6W0VjV2PyPESdG2A4mMWmgJb3</t>
  </si>
  <si>
    <t>S0591821E001</t>
  </si>
  <si>
    <t>https://drive.google.com/open?id=18VjwZZOuWAwrX04JTgpBAiEZvjksfawA</t>
  </si>
  <si>
    <t>S0591831E001</t>
  </si>
  <si>
    <t>https://drive.google.com/open?id=12B5aY8T7VdPqGge7qLIMckaT_l0JU3tx</t>
  </si>
  <si>
    <t>S0591831E002</t>
  </si>
  <si>
    <t>https://drive.google.com/open?id=15QGuqpHQeHZpB3C0zjwS6JOo_nZ6OOap</t>
  </si>
  <si>
    <t>S0591831E003</t>
  </si>
  <si>
    <t>https://drive.google.com/open?id=1LMy3v_QLfdvzs0o8ULfe7RWJInsraofq</t>
  </si>
  <si>
    <t>S0591831E004</t>
  </si>
  <si>
    <t>https://drive.google.com/open?id=1dwTRrMMrsc3CQlC8KJHI7eNEwmE0kwFl</t>
  </si>
  <si>
    <t>S0591831E005</t>
  </si>
  <si>
    <t>https://drive.google.com/open?id=1WS8Lfxoipp4jdw9TpAirFonu5kCZU-CC</t>
  </si>
  <si>
    <t>S0591832E001</t>
  </si>
  <si>
    <t>https://drive.google.com/open?id=1bLq7S17bndBV8-nHTjQKtQVR4cznkmfo</t>
  </si>
  <si>
    <t>S0541051E002</t>
  </si>
  <si>
    <t>Sistem Koordinat</t>
  </si>
  <si>
    <t>https://drive.google.com/open?id=19cAJp309l6xyplAluJPpyqtov9WTMNnC</t>
  </si>
  <si>
    <t>S0541051E003</t>
  </si>
  <si>
    <t>https://drive.google.com/open?id=11oJZ8WHsOiHgpDYp1PppluizCGS5yvfJ</t>
  </si>
  <si>
    <t>S0541071E003</t>
  </si>
  <si>
    <t>https://drive.google.com/open?id=1wZWdTLZJWkgUZSWGA98bCM5deC-sMTUo</t>
  </si>
  <si>
    <t>S0541081E001</t>
  </si>
  <si>
    <t>https://drive.google.com/open?id=1JKt0AkTsd-wp2COEkQsjaf46XYCL6DCy</t>
  </si>
  <si>
    <t>S0541081E002</t>
  </si>
  <si>
    <t>https://drive.google.com/open?id=1BgG200K1jr9t4cPYDSEr91kQ1hHsqnBm</t>
  </si>
  <si>
    <t>S0541081E003</t>
  </si>
  <si>
    <t>https://drive.google.com/open?id=1tseenDnzxxkPT0vnSjmAXbpjx4voONfT</t>
  </si>
  <si>
    <t>S0541081E004</t>
  </si>
  <si>
    <t>https://drive.google.com/open?id=1c5Bw5PNiG3GUQx5NcZrsQPQX0z3x9hGk</t>
  </si>
  <si>
    <t>S0541081E005</t>
  </si>
  <si>
    <t>https://drive.google.com/open?id=1l9Yh5ztOULVcRf3ava1uzCEAXsEh244J</t>
  </si>
  <si>
    <t>S0541101E001</t>
  </si>
  <si>
    <t>https://drive.google.com/open?id=1I_n0n_bWmCBXlfjDWLWfpnXVpY1pgotQ</t>
  </si>
  <si>
    <t>S0541112E003</t>
  </si>
  <si>
    <t>https://drive.google.com/open?id=1CqjfRefOTOgZ4SZTpYcV3ppdYS8IxYK-</t>
  </si>
  <si>
    <t>S0301511E002</t>
  </si>
  <si>
    <t>https://drive.google.com/open?id=18hY3VsvayKPX-7Y31VDEFj5yYP1qyYTt</t>
  </si>
  <si>
    <t>S0491361E001</t>
  </si>
  <si>
    <t>https://drive.google.com/open?id=1fC8bcjmciR--uqJdCePHy8ZATXR4eTK2</t>
  </si>
  <si>
    <t>S0441941E003</t>
  </si>
  <si>
    <t>https://drive.google.com/open?id=1lBnWWxpyUtUxGXb_x6yleKeILv6lQgrv</t>
  </si>
  <si>
    <t>S0391151E002</t>
  </si>
  <si>
    <t>https://drive.google.com/open?id=1IEN4--vAbrgI1tVKnyj2rQxnesKe6Mil</t>
  </si>
  <si>
    <t>S0901892E002</t>
  </si>
  <si>
    <t>https://drive.google.com/open?id=1DrcoPCvNgne6xxOBWG--0r8WJ-DGcI5Y</t>
  </si>
  <si>
    <t>S0902041f027</t>
  </si>
  <si>
    <t>https://drive.google.com/open?id=1DeC4sPo2sBRw2hXTyMHsvmps7ScbOiYS</t>
  </si>
  <si>
    <t>S0840911c002</t>
  </si>
  <si>
    <t>https://drive.google.com/open?id=1Ne_ulFg7Kxsb-lfPyxWloq_QcU2N0TXw</t>
  </si>
  <si>
    <t>S0861161E001</t>
  </si>
  <si>
    <t>https://drive.google.com/open?id=1hYwJRQqss7KiPL4cHiMJ7IU10J1Gshi-</t>
  </si>
  <si>
    <t>S0891941E002</t>
  </si>
  <si>
    <t>https://drive.google.com/open?id=1tS-NnJtpXnlAc1aVyp3vpCaSXdBKNL5J</t>
  </si>
  <si>
    <t>V0170351P024</t>
  </si>
  <si>
    <t>https://drive.google.com/open?id=1O9RUhGQKS_DF9jKri_dna-b_A6Fvsxcr</t>
  </si>
  <si>
    <t>S0180293E001</t>
  </si>
  <si>
    <t>Satuan Baku</t>
  </si>
  <si>
    <t>https://drive.google.com/open?id=1EeL4KjrVCvXTGQ9IfikJKqP0GtQPzpn-</t>
  </si>
  <si>
    <t>S0150344E004</t>
  </si>
  <si>
    <t>https://drive.google.com/open?id=1vVvr9LBeZ5fwESExAMUybVr4D7ixezwv</t>
  </si>
  <si>
    <t>S0292041a002</t>
  </si>
  <si>
    <t>https://drive.google.com/open?id=1ag4NQor9u-bldCJUmSjgWGlNDBVb5pLX</t>
  </si>
  <si>
    <t>S0510552E001</t>
  </si>
  <si>
    <t>https://drive.google.com/open?id=1n4cSjO2wgBqX4S5TQLf4kq9J-rjejNBL</t>
  </si>
  <si>
    <t>S0150804E001</t>
  </si>
  <si>
    <t>https://drive.google.com/open?id=1Dn2coNPjBziI70iBKHK5r5f7PWNUB9-E</t>
  </si>
  <si>
    <t>S0300361E002</t>
  </si>
  <si>
    <t>https://drive.google.com/open?id=1fOJ3HaE9yMdzwsRP8795-CF01sk-Q4az</t>
  </si>
  <si>
    <t>S0200632E002</t>
  </si>
  <si>
    <t>https://drive.google.com/open?id=1LSKcyZCCwTR4x-6CxvLjPRoguY6xtXsz</t>
  </si>
  <si>
    <t>S0291021E002</t>
  </si>
  <si>
    <t>https://drive.google.com/open?id=1g-DIJ74vEIzAXFvcUvqSguclQhk8A_KU</t>
  </si>
  <si>
    <t>S0451471E002</t>
  </si>
  <si>
    <t>https://drive.google.com/open?id=1RdzdakSb8pEBPSyharkecbYnYGkTwnEq</t>
  </si>
  <si>
    <t>V0110253e003</t>
  </si>
  <si>
    <t>https://drive.google.com/open?id=1h0IyuohmehAW7pDp4tQpmqfbpss2f_XC</t>
  </si>
  <si>
    <t>V0130783E001</t>
  </si>
  <si>
    <t>https://drive.google.com/open?id=1VACElBYpkV6AWBzpE1PydDdo6uLSPfKq</t>
  </si>
  <si>
    <t>S0010322E001</t>
  </si>
  <si>
    <t>https://drive.google.com/open?id=1Rk2tp4l4uieQ7_n2Pc76ZODZLkCZDbPl</t>
  </si>
  <si>
    <t>S0292722E013</t>
  </si>
  <si>
    <t>https://drive.google.com/open?id=1Cas-8Z8LhUqMwubRLNh-7yywTMrdJhv7</t>
  </si>
  <si>
    <t>S0550432E004</t>
  </si>
  <si>
    <t>https://drive.google.com/open?id=1jb6Ie7DElXEkBN-IaeIywBu4uZ-8GZQf</t>
  </si>
  <si>
    <t>S0251351c001</t>
  </si>
  <si>
    <t>https://drive.google.com/open?id=1d38BfTdJSQt2nT6dOF4imBrHvIJk7STY</t>
  </si>
  <si>
    <t>S0340952E001</t>
  </si>
  <si>
    <t>https://drive.google.com/open?id=1v_AjruG8gXguguPF-ej3es9aZBPRb38k</t>
  </si>
  <si>
    <t>S0472001a002</t>
  </si>
  <si>
    <t>https://drive.google.com/open?id=11J1fJl6SDMVAQYh2oGJI0JuXh4Gxezfx</t>
  </si>
  <si>
    <t>S0100432E011</t>
  </si>
  <si>
    <t>https://drive.google.com/open?id=1NzFWrhWUd0CLedacX23keS_lzHgh-qPb</t>
  </si>
  <si>
    <t>S0150851E002</t>
  </si>
  <si>
    <t>https://drive.google.com/open?id=1ExhI5METy_ORUCT49Dswcp3_mnWTLBc6</t>
  </si>
  <si>
    <t>S0290292a002</t>
  </si>
  <si>
    <t>v</t>
  </si>
  <si>
    <t>V0130673E002</t>
  </si>
  <si>
    <t>https://drive.google.com/open?id=1oa4okxbPxByDI2o4gomCclkf9J2zdG10</t>
  </si>
  <si>
    <t>S0150701E001</t>
  </si>
  <si>
    <t>https://drive.google.com/open?id=1dLrjyryRvom25A5847rS6OHM85VRDRcC</t>
  </si>
  <si>
    <t>V0140212E004</t>
  </si>
  <si>
    <t>https://drive.google.com/open?id=1tCcvBUNCuVaY9AKYsRGgyuwMNadCxoL1</t>
  </si>
  <si>
    <t>V0172181P016</t>
  </si>
  <si>
    <t>https://drive.google.com/open?id=16ae5W5MTnlCoDUtBq4SZRNbPXIX_YiFV</t>
  </si>
  <si>
    <t>T0059601P001</t>
  </si>
  <si>
    <t>https://drive.google.com/open?id=1nPJ0ZzmFe620gHmJlf2QuBNdObyiXvEf</t>
  </si>
  <si>
    <t>S0212111E002</t>
  </si>
  <si>
    <t>https://drive.google.com/open?id=1845lNgJ2_cI14rH1qucpdPtHPRH1X1yJ</t>
  </si>
  <si>
    <t>S0551511E001</t>
  </si>
  <si>
    <t>Statistika</t>
  </si>
  <si>
    <t>https://drive.google.com/open?id=1AVpoYt2eNqBjtg0zKZY2-EHFTrDySZyc</t>
  </si>
  <si>
    <t>S0110411E002</t>
  </si>
  <si>
    <t>https://drive.google.com/open?id=1CqhKYcPd4apaT-qp6HGNs21FgMYic0Tv</t>
  </si>
  <si>
    <t>S0681241E001</t>
  </si>
  <si>
    <t>https://drive.google.com/open?id=1lK-860nZzX_eg7BQj8p8rks0v0DtnC9U</t>
  </si>
  <si>
    <t>V0040592E007</t>
  </si>
  <si>
    <t>https://drive.google.com/open?id=1CTa6NMXG7AUGYIohAuz6le-_ll5zxTpW</t>
  </si>
  <si>
    <t>S0561391E009</t>
  </si>
  <si>
    <t>https://drive.google.com/open?id=1vhtkKBk-D9CXfWFXNFxOuGl-m0Rpiee5</t>
  </si>
  <si>
    <t>S0581921E004</t>
  </si>
  <si>
    <t>https://drive.google.com/open?id=1kUIp-onCXWBJ8JLKoZs9sUp4M3ORDxcd</t>
  </si>
  <si>
    <t>V0213142E005</t>
  </si>
  <si>
    <t>https://drive.google.com/open?id=1ucnuFIB6y-eC8oNgxVyixU8WhV9sjHjg</t>
  </si>
  <si>
    <t>T007N901P001</t>
  </si>
  <si>
    <t>https://drive.google.com/open?id=1Fh6jbhnFGG7GoOWqQdvuk_NQP8qj4yAS</t>
  </si>
  <si>
    <t>T007P701P001</t>
  </si>
  <si>
    <t>https://drive.google.com/open?id=1yNqWHT7Rl3LYzVvUw8xIQAheyQdIr78l</t>
  </si>
  <si>
    <t>T007V302P001</t>
  </si>
  <si>
    <t>https://drive.google.com/open?id=1DcCeWHSEpdN45gOoQzxaRlXpQmyld9Xz</t>
  </si>
  <si>
    <t>T007B301P001</t>
  </si>
  <si>
    <t>https://drive.google.com/open?id=1JJNAoc_8-dITX19JEB4jy8nMJgwdtX6R</t>
  </si>
  <si>
    <t>T007C501P001</t>
  </si>
  <si>
    <t>https://drive.google.com/open?id=1GCEutFOPrck4WufGna6030OJi7LRoFwv</t>
  </si>
  <si>
    <t>T007D901P001</t>
  </si>
  <si>
    <t>https://drive.google.com/open?id=1fxXeEyHbQJRK_wMk3PKZBikIOkqVUEFP</t>
  </si>
  <si>
    <t>T007S502P001</t>
  </si>
  <si>
    <t>https://drive.google.com/open?id=1wEsMntYqpjTNH0xI8xX7P6R-XAaLYKLv</t>
  </si>
  <si>
    <t>T007X002P001</t>
  </si>
  <si>
    <t>https://drive.google.com/open?id=1R1JbYxJ8CDOwi5AXTKDRys8OJkaYg1wU</t>
  </si>
  <si>
    <t>T0082402P001</t>
  </si>
  <si>
    <t>https://drive.google.com/open?id=1QT-iFKASK9MRWqKSk2zl9Ega4V7dPIA0</t>
  </si>
  <si>
    <t>T0089802P001</t>
  </si>
  <si>
    <t>https://drive.google.com/open?id=1fKcCWixb4YI-i_JfjblLJP1vp65ACfT-</t>
  </si>
  <si>
    <t>T008A502P001</t>
  </si>
  <si>
    <t>https://drive.google.com/open?id=15iX9VHnPpPcCECphYSvDzsjzFlvXllty</t>
  </si>
  <si>
    <t>T008E702P001</t>
  </si>
  <si>
    <t>https://drive.google.com/open?id=1DsokRCvPAxcTNSr1os1CYknIUzVcHLOp</t>
  </si>
  <si>
    <t>T008E902P001</t>
  </si>
  <si>
    <t>https://drive.google.com/open?id=1U8VZEiV130j5G4Yq3kIhCvVjRIvypDgH</t>
  </si>
  <si>
    <t>T0081101P001</t>
  </si>
  <si>
    <t>https://drive.google.com/open?id=1Pua_AsUk1C9Y5sm18luhnp5a8_qGddqp</t>
  </si>
  <si>
    <t>T0082601P001</t>
  </si>
  <si>
    <t>https://drive.google.com/open?id=1j1rlQJ5ZysPzzaWLjUcvEkb_V9aZKV2g</t>
  </si>
  <si>
    <t>T0083701P001</t>
  </si>
  <si>
    <t>https://drive.google.com/open?id=1rrvLkwcJG1XQJwau230GtR_Sx6c7DOez</t>
  </si>
  <si>
    <t>T0088201P001</t>
  </si>
  <si>
    <t>https://drive.google.com/open?id=1iXMYy844G7cSDeJc4surzbE7PMCREtWS</t>
  </si>
  <si>
    <t>T008B401P001</t>
  </si>
  <si>
    <t>https://drive.google.com/open?id=1qGRE_mZ0vnGDGZwv2-EBVJ6IsEv6uU1E</t>
  </si>
  <si>
    <t>T008C001P001</t>
  </si>
  <si>
    <t>https://drive.google.com/open?id=1XbJFOfCpSSrF0_c5uNJ8kNcuC8ceA_JX</t>
  </si>
  <si>
    <t>T008M802P001</t>
  </si>
  <si>
    <t>https://drive.google.com/open?id=1RmGnaiRrpwJTne7RRUlXfaiWZyAMrrRx</t>
  </si>
  <si>
    <t>T008P602P001</t>
  </si>
  <si>
    <t>https://drive.google.com/open?id=1b6YYNrgAqOMvgjIG9EKukYnUFZC6rP28</t>
  </si>
  <si>
    <t>T008U102P001</t>
  </si>
  <si>
    <t>https://drive.google.com/open?id=1FXOnuq4KwLtrzTVhOGDyre3L6z_LMjYv</t>
  </si>
  <si>
    <t>T008Y102P001</t>
  </si>
  <si>
    <t>https://drive.google.com/open?id=1ENILm-uHFyQJo83s1FUwlSjs96HAR50x</t>
  </si>
  <si>
    <t>T0082203P001</t>
  </si>
  <si>
    <t>https://drive.google.com/open?id=1-IxwLXYstg3DhKAKi3E-Bkpoi6Hg-jbl</t>
  </si>
  <si>
    <t>S0821211E001</t>
  </si>
  <si>
    <t>https://drive.google.com/open?id=1KUrxcWunCVJC5rv-QniTlhEgJ5XYqDkd</t>
  </si>
  <si>
    <t>S0441852c004</t>
  </si>
  <si>
    <t>https://drive.google.com/open?id=1wBzyBwkgQ6_uA6DLPv32XEKAB-lXCL5D</t>
  </si>
  <si>
    <t>S0861151E014</t>
  </si>
  <si>
    <t>https://drive.google.com/open?id=1xdAlJEn9owlg0HlWdj7KqponsCMRNV03</t>
  </si>
  <si>
    <t>T007O801P001</t>
  </si>
  <si>
    <t>https://drive.google.com/open?id=1cn1HHLk2agvLp3CHBALGldqvXr9mzNwv</t>
  </si>
  <si>
    <t>T008A501P001</t>
  </si>
  <si>
    <t>https://drive.google.com/open?id=1eSV73c4hr2lm22Ck14q3L2azut3Ci504</t>
  </si>
  <si>
    <t>T0300106P002</t>
  </si>
  <si>
    <t>https://drive.google.com/open?id=1ASFjAanNScVe4AwSZV3QwAAussL8SUj8</t>
  </si>
  <si>
    <t>T0300501P005</t>
  </si>
  <si>
    <t>https://drive.google.com/open?id=1z03GNwbRzjcnxDaVC-W5wBbGR0iZX1ep</t>
  </si>
  <si>
    <t>T0200205P013</t>
  </si>
  <si>
    <t>https://drive.google.com/open?id=1tIjwwQ2EURceD0x1vo33mNB6WJYE6RHJ</t>
  </si>
  <si>
    <t>T0200203P015</t>
  </si>
  <si>
    <t>https://drive.google.com/open?id=1l6m0ry9ykIS81eUp06UsgUu5dJW1GT7Z</t>
  </si>
  <si>
    <t>T0204601P004</t>
  </si>
  <si>
    <t>https://drive.google.com/open?id=1-zOlu9PQ1oUrf6iz5B9oR-46kVWluvvc</t>
  </si>
  <si>
    <t>T0210605P031</t>
  </si>
  <si>
    <t>https://drive.google.com/open?id=1tOl78xowU49h2RbEkqvOr55ghUF9ZkyM</t>
  </si>
  <si>
    <t>T0210209P003</t>
  </si>
  <si>
    <t>https://drive.google.com/open?id=1j0F2XF5mkXLvuSe_TO2649q7IgzSHx_W</t>
  </si>
  <si>
    <t>T0230153P002</t>
  </si>
  <si>
    <t>https://drive.google.com/open?id=1Svgd9pWyGf-GZImXAJ_XmUjHCOaHYNds</t>
  </si>
  <si>
    <t>T0230157P003</t>
  </si>
  <si>
    <t>https://drive.google.com/open?id=1riEyGBx3dJvWnjXJczLeNJYH1uWX2ATx</t>
  </si>
  <si>
    <t>T0230158P005</t>
  </si>
  <si>
    <t>https://drive.google.com/open?id=1x562bydb7pOJ8b_fX1LUKJjBUau7ALfp</t>
  </si>
  <si>
    <t>T0230458P013</t>
  </si>
  <si>
    <t>https://drive.google.com/open?id=1yjqOsRjMPAUZmovPp6rC_-961WhLR4RP</t>
  </si>
  <si>
    <t>T0230558P020</t>
  </si>
  <si>
    <t>https://drive.google.com/open?id=1xgh3ZisPaVIF5Z7SrlhhdzoXqw0EgE-d</t>
  </si>
  <si>
    <t>S0840031E005</t>
  </si>
  <si>
    <t>https://drive.google.com/open?id=14l5D-LXpRI1iBvJWrBe-kXRc-8jGTi8x</t>
  </si>
  <si>
    <t>S0840061b001</t>
  </si>
  <si>
    <t>https://drive.google.com/open?id=1CBWrtxK0E-CyYkORPaMD3yGw3hGb3nMY</t>
  </si>
  <si>
    <t>S0840061d001</t>
  </si>
  <si>
    <t>https://drive.google.com/open?id=1vc0o7o3QiJnZsCuuxKU3JZIVWyseFD_M</t>
  </si>
  <si>
    <t>S0840061a004</t>
  </si>
  <si>
    <t>https://drive.google.com/open?id=1g-tjQ2fpK_Ptu4Dv01fLPDG4pNGLI_1V</t>
  </si>
  <si>
    <t>S0840061c004</t>
  </si>
  <si>
    <t>https://drive.google.com/open?id=1r4Rg4VplwsGZ5lmvNTukKqxqGz8FQl2q</t>
  </si>
  <si>
    <t>S0840061E005</t>
  </si>
  <si>
    <t>https://drive.google.com/open?id=1lifQsf74gHg4dgzm5BsqEcy1X2fZNTBO</t>
  </si>
  <si>
    <t>S0840091b001</t>
  </si>
  <si>
    <t>https://drive.google.com/open?id=1D1sBnjyLTjrzxfIWUWxXklagTaD1sJkH</t>
  </si>
  <si>
    <t>S0840091a002</t>
  </si>
  <si>
    <t>https://drive.google.com/open?id=1CO-DmxZVBWIpsVhevWK1dCzj1FD7JqZ9</t>
  </si>
  <si>
    <t>S0840091a003</t>
  </si>
  <si>
    <t>https://drive.google.com/open?id=13CgA9K6eHiwqsaghCyWngo-6DSk1G_3A</t>
  </si>
  <si>
    <t>S0840091d003</t>
  </si>
  <si>
    <t>https://drive.google.com/open?id=1GtATdvgJ-ffj5KkguedVinq8qGL92SeW</t>
  </si>
  <si>
    <t>S0840091c004</t>
  </si>
  <si>
    <t>https://drive.google.com/open?id=1eeFgdLgb3m-gWdE3yNIaxW2tYrfuwNOP</t>
  </si>
  <si>
    <t>S0051004E012</t>
  </si>
  <si>
    <t>https://drive.google.com/open?id=1YFHsS6qxMOS4Muoto8jU_UU8pZOPvgM_</t>
  </si>
  <si>
    <t>S0471922E002</t>
  </si>
  <si>
    <t>https://drive.google.com/open?id=149y0slhH11DpezQHyW6vgBzWer8Jqjhu</t>
  </si>
  <si>
    <t>S0290093E003</t>
  </si>
  <si>
    <t>https://drive.google.com/open?id=12Rp6Zyd6OI_hvdN1qsBblXNhPSzPozvz</t>
  </si>
  <si>
    <t>T007O101P001</t>
  </si>
  <si>
    <t>https://drive.google.com/open?id=1hkcriSO3F5aEHv9CGIjFo_9QSlHGcNKD</t>
  </si>
  <si>
    <t>T0205001P008</t>
  </si>
  <si>
    <t>https://drive.google.com/open?id=1jzz7gzoRwo9M-Fp3HSrlBQ4tt6ChhaAG</t>
  </si>
  <si>
    <t>V0030673E001</t>
  </si>
  <si>
    <t>https://drive.google.com/open?id=1FlHqkOYyfCuFy-9iiRnJ0m4PWPWP0Ka5</t>
  </si>
  <si>
    <t>T0300508P014</t>
  </si>
  <si>
    <t>https://drive.google.com/open?id=1CwMVuybyO9vxbSazTcj1sTKccC5Hgpzh</t>
  </si>
  <si>
    <t>S0520141E002</t>
  </si>
  <si>
    <t>https://drive.google.com/open?id=1ws12otnnhEom_pu2FQ8gPwEsKQhyAS_b</t>
  </si>
  <si>
    <t>T0068801P001</t>
  </si>
  <si>
    <t>https://drive.google.com/open?id=1w3CHO3P30C--5JGxb5UZL4Vleze2_m_O</t>
  </si>
  <si>
    <t>T0100180P006</t>
  </si>
  <si>
    <t>https://drive.google.com/open?id=1viJ8A7n5Iu1anqyTsqBbEh4M_v_qq_yw</t>
  </si>
  <si>
    <t>T019C501P001</t>
  </si>
  <si>
    <t>https://drive.google.com/open?id=1V4p3cDFGRYwEaqHGaBRIs9b1nzj8f7Ce</t>
  </si>
  <si>
    <t>T0290321E005</t>
  </si>
  <si>
    <t>https://drive.google.com/open?id=1UsJuJ9vvB09LVU-hbXurMCFVOBkrKYHM</t>
  </si>
  <si>
    <t>T0404518E058</t>
  </si>
  <si>
    <t>https://drive.google.com/open?id=1UdFdSbMLsOpKDnS1ju9kbCwiXr-OOZDz</t>
  </si>
  <si>
    <t>S0830382E001</t>
  </si>
  <si>
    <t>https://drive.google.com/open?id=1TsJwtTljHQtMBjx6mUaLMkGhVVrgNb_s</t>
  </si>
  <si>
    <t>T0389601E002</t>
  </si>
  <si>
    <t>https://drive.google.com/open?id=1tFhroAPc59yZzTkjr8BbfjlimDOfbCSr</t>
  </si>
  <si>
    <t>T008M801P001</t>
  </si>
  <si>
    <t>https://drive.google.com/open?id=1T2Axn8eYaz9T3s6y4XUj8HKev1dZePvb</t>
  </si>
  <si>
    <t>V0220301P002</t>
  </si>
  <si>
    <t>https://drive.google.com/open?id=1suTEIps2Sway6XIzyBHI1V5b7zUiypl1</t>
  </si>
  <si>
    <t>T006F203P001</t>
  </si>
  <si>
    <t>https://drive.google.com/open?id=1Snl-_mo_10PGVZmtuhiEcTdt4ThnrU_B</t>
  </si>
  <si>
    <t>T0065405P001</t>
  </si>
  <si>
    <t>https://drive.google.com/open?id=1sJP93npVeJmgkAW3T8u7GwnW0koEu-Mx</t>
  </si>
  <si>
    <t>T022O901E001</t>
  </si>
  <si>
    <t>https://drive.google.com/open?id=1SDjdBKtbgAlpYlAthSdB7gQRxD2OkN8B</t>
  </si>
  <si>
    <t>S0150351E002</t>
  </si>
  <si>
    <t>https://drive.google.com/open?id=16z9RgX4Jzu2uxGMzciIAwuO25VKtDiYk</t>
  </si>
  <si>
    <t>T0230730P029</t>
  </si>
  <si>
    <t>https://drive.google.com/open?id=1eK_6CsTPaRyx0w88kM4GPLMRpirO9NZ5</t>
  </si>
  <si>
    <t>T0092003E001</t>
  </si>
  <si>
    <t>https://drive.google.com/open?id=1ykQ5-urO9hmrOT31bobwcoPvkOUiXC8j</t>
  </si>
  <si>
    <t>S0850981E003</t>
  </si>
  <si>
    <t>https://drive.google.com/open?id=1YgAUcgLMLwfuynfB3rCiPDMjY0mpGOC7</t>
  </si>
  <si>
    <t>S0880651P003</t>
  </si>
  <si>
    <t>https://drive.google.com/open?id=1YADB_QQjDYnWECiVv9adqdFJCjWCr1ye</t>
  </si>
  <si>
    <t>S0900731E018</t>
  </si>
  <si>
    <t>https://drive.google.com/open?id=1y2Dzz59xmL-l9trYUJlCw8sL1I6XSM95</t>
  </si>
  <si>
    <t>T0110122P010</t>
  </si>
  <si>
    <t>https://drive.google.com/open?id=1xzK9BZ3KcPMTyKmtzqcePTszKJQKbJtd</t>
  </si>
  <si>
    <t>U0010291E001</t>
  </si>
  <si>
    <t>https://drive.google.com/open?id=1Xx7D319Ryg4oh029fIRqZ-6FxLCXrha3</t>
  </si>
  <si>
    <t>T0170454E004</t>
  </si>
  <si>
    <t>https://drive.google.com/open?id=1xuBVdbXYZN6drYP7a6etJ-41BOi-8ohj</t>
  </si>
  <si>
    <t>S0900731E014</t>
  </si>
  <si>
    <t>https://drive.google.com/open?id=1xS3Ebv4CQ_kDXwjjoFkMosUQxsXFaAcE</t>
  </si>
  <si>
    <t>U0010761E004</t>
  </si>
  <si>
    <t>https://drive.google.com/open?id=1xpIKWHT3OjEISvNx_Fszg0gxW-D7IXfc</t>
  </si>
  <si>
    <t>T0084602P001</t>
  </si>
  <si>
    <t>https://drive.google.com/open?id=1xNshl83Ahs81scBOXn5MjrZlAdq8Ux__</t>
  </si>
  <si>
    <t>S0110594E001</t>
  </si>
  <si>
    <t>https://drive.google.com/open?id=1xmW8IgQ45Xk-Z3t6wa5xD_0cWNoJ_iyP</t>
  </si>
  <si>
    <t>T0280207P016</t>
  </si>
  <si>
    <t>https://drive.google.com/open?id=1xLIk6NCjWssaylSXISyXKiO3iUTyckH-</t>
  </si>
  <si>
    <t>V0213212E004</t>
  </si>
  <si>
    <t>https://drive.google.com/open?id=1xKeerG785CasUo6-5vbCUNUdDku0Mrvp</t>
  </si>
  <si>
    <t>S0920881E001</t>
  </si>
  <si>
    <t>https://drive.google.com/open?id=1XJppvDJVxCtOif4fPUBcpZPgOR7spxm8</t>
  </si>
  <si>
    <t>S0780281P017</t>
  </si>
  <si>
    <t>https://drive.google.com/open?id=1XJaAUKroiyBxsblTRbFv7Vr8D57qgSdt</t>
  </si>
  <si>
    <t>S0900693E001</t>
  </si>
  <si>
    <t>https://drive.google.com/open?id=1XIQzeJ-1lIjUiQgQ65cAvG2aiKS_jF8j</t>
  </si>
  <si>
    <t>V0213212E009</t>
  </si>
  <si>
    <t>https://drive.google.com/open?id=1xhV8ESuowNwapu_oCXCqqzBS_L36HbMx</t>
  </si>
  <si>
    <t>V0191402P010</t>
  </si>
  <si>
    <t>https://drive.google.com/open?id=1kl5QbVhIliXj_uK1wLGbEFjEwEdW7SD4</t>
  </si>
  <si>
    <t>S0261641E005</t>
  </si>
  <si>
    <t>https://drive.google.com/open?id=1bQswanMAQJfUJi9gJDVacIsLfA6zvXTe</t>
  </si>
  <si>
    <t>S0100562E001</t>
  </si>
  <si>
    <t>https://drive.google.com/open?id=1GqWaZwVWM8yGCzhR9yNhP1Rdb6kFObG7</t>
  </si>
  <si>
    <t>T0065103P001</t>
  </si>
  <si>
    <t>https://drive.google.com/open?id=1CtRWKyhJDPdyXpooJUUYhCa-J60a5Xzx</t>
  </si>
  <si>
    <t>S0442341P029</t>
  </si>
  <si>
    <t>https://drive.google.com/open?id=1DtW4N5SyDvofa_brqLy2mJzRoQ2TQEUT</t>
  </si>
  <si>
    <t>T0058903P001</t>
  </si>
  <si>
    <t>https://drive.google.com/open?id=1YM5BclMZlAAhssfNmNxFRsw4vOrJJ8uR</t>
  </si>
  <si>
    <t>T0301011E031</t>
  </si>
  <si>
    <t>https://drive.google.com/open?id=13yb0Hn5RlAVFBk_VktErPGhhKAWhJsN0</t>
  </si>
  <si>
    <t>S0411222E003</t>
  </si>
  <si>
    <t>https://drive.google.com/open?id=1Y9qnZho1us4sxulPW5nWWjvywgdYEcQJ</t>
  </si>
  <si>
    <t>T0300421E005</t>
  </si>
  <si>
    <t>https://drive.google.com/open?id=1jsqMaRzNjrornXgfnMsSSlOeWTzAw_rO</t>
  </si>
  <si>
    <t>T038B501E004</t>
  </si>
  <si>
    <t>https://drive.google.com/open?id=1VaqE9jSJekITskJHkJoi2sbdHxA3dM_d</t>
  </si>
  <si>
    <t>V0220301P001</t>
  </si>
  <si>
    <t>https://drive.google.com/open?id=1QH8sshWUgHH6p379PCTMMd3s7l3cbhSP</t>
  </si>
  <si>
    <t>T0170149P005</t>
  </si>
  <si>
    <t>https://drive.google.com/open?id=1yCOzeGGzEd5TfiCjSqaR889sw5OqT5S2</t>
  </si>
  <si>
    <t>S0340582E001</t>
  </si>
  <si>
    <t>https://drive.google.com/open?id=1Xxm_n9C3oWsgmldMhMLNlEhiYK8dIfeZ</t>
  </si>
  <si>
    <t>T008X101P001</t>
  </si>
  <si>
    <t>https://drive.google.com/open?id=1XD8iGjltK9Wf4eJwtpH9LtQhiB6Df_2L</t>
  </si>
  <si>
    <t>V0060891E007</t>
  </si>
  <si>
    <t>https://drive.google.com/open?id=1qFdObshFi7J3fTsi5yyos2npoSHXAvB7</t>
  </si>
  <si>
    <t>V0210952E006</t>
  </si>
  <si>
    <t>https://drive.google.com/open?id=1QeLGhh0fXoL4LSWCxkBCe4fFVp4WFPxT</t>
  </si>
  <si>
    <t>S0870962E001</t>
  </si>
  <si>
    <t>https://drive.google.com/open?id=1qekCf6zA0oBEfvM0JaSyW6mtBXg8QtI4</t>
  </si>
  <si>
    <t>T0100357E004</t>
  </si>
  <si>
    <t>https://drive.google.com/open?id=1qEg9K3cMdiOhMuUKuoAEig-GHZvKZ5f2</t>
  </si>
  <si>
    <t>T0100333E002</t>
  </si>
  <si>
    <t>https://drive.google.com/open?id=1qe-FPitlFDCkPLp4g6cFkwMB83g-XGOQ</t>
  </si>
  <si>
    <t>T0100231P015</t>
  </si>
  <si>
    <t>https://drive.google.com/open?id=1QdM6TYMVzmqk4lXnZNoZCFS8vRhS6ep8</t>
  </si>
  <si>
    <t>S0910511E003</t>
  </si>
  <si>
    <t>https://drive.google.com/open?id=1QCtWvaFxKwqqYSfAHCcVtJdwM86EzS1G</t>
  </si>
  <si>
    <t>S0880853b001</t>
  </si>
  <si>
    <t>https://drive.google.com/open?id=1qCIbtDpi0ITimWeNwTAsGi7CXEC917x6</t>
  </si>
  <si>
    <t>T008G402P001</t>
  </si>
  <si>
    <t>https://drive.google.com/open?id=1qcC84qFQZXAV8TNQwofPkKWUlwiAQ2mI</t>
  </si>
  <si>
    <t>V0211151P019</t>
  </si>
  <si>
    <t>https://drive.google.com/open?id=1qcBOex9MQ5QCRA0fb9KS0O8KVb1rRr-o</t>
  </si>
  <si>
    <t>S0860891E004</t>
  </si>
  <si>
    <t>https://drive.google.com/open?id=1QawAG5ETFmYKTKKxfgwC5dVzNXKJ3NQ5</t>
  </si>
  <si>
    <t>S0780151P001</t>
  </si>
  <si>
    <t>https://drive.google.com/open?id=1qAKy9d8nz8XtHuQ2il9Kb5eGwSiNOJHh</t>
  </si>
  <si>
    <t>S0910541E001</t>
  </si>
  <si>
    <t>https://drive.google.com/open?id=1Q9Djlrwz6C7B3FIiIGNa_tObnhtqKbXT</t>
  </si>
  <si>
    <t>T0404618E073</t>
  </si>
  <si>
    <t>https://drive.google.com/open?id=1Q98gvYM-Xc0hiqv2aPpPSexypH9b0Qmj</t>
  </si>
  <si>
    <t>T0100264P014</t>
  </si>
  <si>
    <t>https://drive.google.com/open?id=1Q8vDNMLzuMWzVm1kXo8KEBs8y_wLsBpD</t>
  </si>
  <si>
    <t>T0110424E036</t>
  </si>
  <si>
    <t>https://drive.google.com/open?id=1Q8gk2VhAw-Z9i-9yuR5MjbtZVM__HQ8A</t>
  </si>
  <si>
    <t>S0880332E003</t>
  </si>
  <si>
    <t>https://drive.google.com/open?id=1q84JrHm6qp7tTzoRx7v75_dgIY7x-zCy</t>
  </si>
  <si>
    <t>T0100122P006</t>
  </si>
  <si>
    <t>https://drive.google.com/open?id=1q7D7E7wKqV3rgpbSsRsvm0RV_Frp3JpN</t>
  </si>
  <si>
    <t>T01002A1P022</t>
  </si>
  <si>
    <t>https://drive.google.com/open?id=1q7bz8DL-hc2my8nZ49aQXSgx5iylnivc</t>
  </si>
  <si>
    <t>S0841541E011</t>
  </si>
  <si>
    <t>https://drive.google.com/open?id=1q74ZMNFA_nnoAIjxYScBa9Wy5deB2qbB</t>
  </si>
  <si>
    <t>S0670741E002</t>
  </si>
  <si>
    <t>https://drive.google.com/open?id=1fHceUi_khXOX35UrT2iwRtgFsqshkoPC</t>
  </si>
  <si>
    <t>S0902041a028</t>
  </si>
  <si>
    <t>https://drive.google.com/open?id=1-3jp9emh8buCmky-ompt2UOSrYHtTKi4</t>
  </si>
  <si>
    <t>S0581911E001</t>
  </si>
  <si>
    <t>https://drive.google.com/open?id=1QY20Gl0GtPnwzdwypYtkiJQj9ClkE4ju</t>
  </si>
  <si>
    <t>V0172191P017</t>
  </si>
  <si>
    <t>https://drive.google.com/open?id=1YyLHFOXeahe969TH86UKk2T8zWQMo9VF</t>
  </si>
  <si>
    <t>S0840911b002</t>
  </si>
  <si>
    <t>https://drive.google.com/open?id=1rnHhL_upBcdi5pg231YfGfptqOuE_W-K</t>
  </si>
  <si>
    <t>T007M002P001</t>
  </si>
  <si>
    <t>https://drive.google.com/open?id=1PFquUT6pho40KeLLjQYD7CbCa2j7QlLH</t>
  </si>
  <si>
    <t>T006B203P001</t>
  </si>
  <si>
    <t>https://drive.google.com/open?id=1tTaSgU_NyWfZR5ytLOpiviElrQ_PBkHu</t>
  </si>
  <si>
    <t>T0230151P002</t>
  </si>
  <si>
    <t>https://drive.google.com/open?id=1SljbDyAGEvmPaD7yTCLZCbxV99mpKGhp</t>
  </si>
  <si>
    <t>S0840081E001</t>
  </si>
  <si>
    <t>https://drive.google.com/open?id=1trrWGnGp78CLIjq7NvESV7SVWsdKPfwo</t>
  </si>
  <si>
    <t>S0490781E004</t>
  </si>
  <si>
    <t>https://drive.google.com/open?id=113ZZVeXv2JGyABW92TOCdYxqo22WUx8b</t>
  </si>
  <si>
    <t>T0300120P004</t>
  </si>
  <si>
    <t>https://drive.google.com/open?id=1yWqVT1Pxz-kGJQfDvmV77R6L9DpY3bh7</t>
  </si>
  <si>
    <t>T0403012E013</t>
  </si>
  <si>
    <t>https://drive.google.com/open?id=1wW1CXfho_CNblAbw00i81fVNRrPJlXEB</t>
  </si>
  <si>
    <t>T0410220P018</t>
  </si>
  <si>
    <t>https://drive.google.com/open?id=1VK2NHnrRuS7rjnnUFy_KPT77T3DoZAoP</t>
  </si>
  <si>
    <t>T038F401E004</t>
  </si>
  <si>
    <t>https://drive.google.com/open?id=1UaA6szA_KCxvlOorbpr8I_tfFjnYb1eF</t>
  </si>
  <si>
    <t>T006I903P001</t>
  </si>
  <si>
    <t>https://drive.google.com/open?id=1sHZVIz-aojm7nSjOnMEKXxPRK-GD2yQV</t>
  </si>
  <si>
    <t>T0062705P001</t>
  </si>
  <si>
    <t>https://drive.google.com/open?id=1rDrVbujkE3BDeVCufy318Xi3LPPltMpl</t>
  </si>
  <si>
    <t>T01003A4P032</t>
  </si>
  <si>
    <t>https://drive.google.com/open?id=1yn_qc3Po_qCWY3-HUVfShy9bqt0dOe5H</t>
  </si>
  <si>
    <t>T0080401P001</t>
  </si>
  <si>
    <t>https://drive.google.com/open?id=1YDixv1bFXs04IZE5CaDqhRwKR1_iZlVE</t>
  </si>
  <si>
    <t>Rejected</t>
  </si>
  <si>
    <t>Days Since Assignment</t>
  </si>
  <si>
    <t>Not Submitted</t>
  </si>
  <si>
    <t>Grafik, Persamaan, Dan Pertidaksamaan Eksponen Dan Logaritma</t>
  </si>
  <si>
    <t>Bilangan Bulat Dan Pecahan</t>
  </si>
  <si>
    <t>Sudut Dan Garis Sejajar</t>
  </si>
  <si>
    <t>Bangun Ruang Sisi Datar</t>
  </si>
  <si>
    <t>Kesebangunan Dan Kongruensi</t>
  </si>
  <si>
    <t>Statistika 8</t>
  </si>
  <si>
    <t>Persamaan Lingkaran Dan Irisan Dua Lingkaran</t>
  </si>
  <si>
    <t>Skalar Dan Vektor Serta Operasi Aljabar Vektor</t>
  </si>
  <si>
    <t>Aritmetika Sosial (Aplikasi Aljabar)</t>
  </si>
  <si>
    <t>Persamaan Dan Pertidaksamaan Linear Satu Variabel Wajib</t>
  </si>
  <si>
    <t>Relasi Dan Fungsi</t>
  </si>
  <si>
    <t>Pertidaksamaan Rasional Dan Irasional Satu Variabel</t>
  </si>
  <si>
    <t>Kecepatan Dan Debit</t>
  </si>
  <si>
    <t>Kesebangunan Dan Simetri</t>
  </si>
  <si>
    <t>Pengumpulan Dan Penyajian Data</t>
  </si>
  <si>
    <t>Perpangkatan Dan Akar</t>
  </si>
  <si>
    <t>Row Labels</t>
  </si>
  <si>
    <t>Grand Total</t>
  </si>
  <si>
    <t>Count of Number of Rejection</t>
  </si>
  <si>
    <t>Payment Status</t>
  </si>
  <si>
    <t>C0090431P002</t>
  </si>
  <si>
    <t>C0090431P003</t>
  </si>
  <si>
    <t>B0035541E002</t>
  </si>
  <si>
    <t>C0040011P003</t>
  </si>
  <si>
    <t>C0040021P008</t>
  </si>
  <si>
    <t>C0040011P006</t>
  </si>
  <si>
    <t>C0040021P009</t>
  </si>
  <si>
    <t>not yet</t>
  </si>
  <si>
    <t>Count of Question ID</t>
  </si>
  <si>
    <t>Total Rejected</t>
  </si>
  <si>
    <t>LV Rejected</t>
  </si>
  <si>
    <t>QC</t>
  </si>
  <si>
    <t>Total videos to make</t>
  </si>
  <si>
    <t>Total Not Submitted</t>
  </si>
  <si>
    <t>LV Not Submitted</t>
  </si>
  <si>
    <t>Total LV</t>
  </si>
  <si>
    <t>Number of Videos based on the Revision Status</t>
  </si>
  <si>
    <t>All</t>
  </si>
  <si>
    <t>Sunday</t>
  </si>
  <si>
    <t>Monday</t>
  </si>
  <si>
    <t>Tuesday</t>
  </si>
  <si>
    <t>Wednesday</t>
  </si>
  <si>
    <t>Thursday</t>
  </si>
  <si>
    <t>Friday</t>
  </si>
  <si>
    <t>Saturday</t>
  </si>
  <si>
    <t>Sum of Submission</t>
  </si>
  <si>
    <t>Total</t>
  </si>
  <si>
    <t>KPK dan FPB</t>
  </si>
  <si>
    <t>total payment</t>
  </si>
  <si>
    <t>total unpaid</t>
  </si>
  <si>
    <t>Topics with the Most Rejection</t>
  </si>
  <si>
    <t>S0041365E002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</si>
</sst>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/d/yyyy;@"/>
    <numFmt numFmtId="166" formatCode="[$Rp-421]#,##0"/>
    <numFmt numFmtId="169" formatCode="[$IDR]\ #,##0"/>
    <numFmt numFmtId="174" formatCode="[$Rp]#,,\ &quot;Juta&quot;" x16r2:formatCode16="[$Rp-jv-Latn-ID]#,,\ &quot;Juta&quot;"/>
  </numFmts>
  <fonts count="14" x14ac:knownFonts="1">
    <font>
      <sz val="11"/>
      <color rgb="FF000000"/>
      <name val="Calibri"/>
      <family val="2"/>
      <charset val="1"/>
    </font>
    <font>
      <sz val="11"/>
      <color rgb="FF000000"/>
      <name val="Calibri Light"/>
      <family val="2"/>
      <charset val="1"/>
    </font>
    <font>
      <b/>
      <sz val="11"/>
      <color rgb="FFFFFFFF"/>
      <name val="Calibri Light"/>
      <family val="2"/>
      <charset val="1"/>
    </font>
    <font>
      <u/>
      <sz val="11"/>
      <color rgb="FF0563C1"/>
      <name val="Calibri"/>
      <family val="2"/>
      <charset val="1"/>
    </font>
    <font>
      <u/>
      <sz val="11"/>
      <color rgb="FF0563C1"/>
      <name val="Calibri Light"/>
      <family val="2"/>
      <charset val="1"/>
    </font>
    <font>
      <sz val="11"/>
      <name val="Calibri Light"/>
      <family val="2"/>
      <charset val="1"/>
    </font>
    <font>
      <sz val="11"/>
      <color rgb="FFFF0000"/>
      <name val="Calibri Light"/>
      <family val="2"/>
      <charset val="1"/>
    </font>
    <font>
      <b/>
      <sz val="11"/>
      <color rgb="FF000000"/>
      <name val="Calibri"/>
    </font>
    <font>
      <sz val="11"/>
      <color rgb="FF333333"/>
      <name val="Calibri"/>
      <family val="2"/>
      <charset val="1"/>
    </font>
    <font>
      <sz val="11"/>
      <color rgb="FF333333"/>
      <name val="Roboto"/>
    </font>
    <font>
      <sz val="14"/>
      <color rgb="FFDAFFFB"/>
      <name val="Roboto Black"/>
    </font>
    <font>
      <sz val="11"/>
      <color rgb="FFDAFFFB"/>
      <name val="Calibri"/>
      <family val="2"/>
      <charset val="1"/>
    </font>
    <font>
      <b/>
      <sz val="12"/>
      <color rgb="FFDAFFFB"/>
      <name val="Roboto Black"/>
    </font>
    <font>
      <sz val="12"/>
      <color rgb="FFDAFFFB"/>
      <name val="Roboto"/>
    </font>
  </fonts>
  <fills count="4">
    <fill>
      <patternFill patternType="none"/>
    </fill>
    <fill>
      <patternFill patternType="gray125"/>
    </fill>
    <fill>
      <patternFill patternType="solid">
        <fgColor rgb="FF0D0D0D"/>
        <bgColor rgb="FF000000"/>
      </patternFill>
    </fill>
    <fill>
      <patternFill patternType="solid">
        <fgColor rgb="FF001C30"/>
        <bgColor indexed="64"/>
      </patternFill>
    </fill>
  </fills>
  <borders count="5">
    <border>
      <left/>
      <right/>
      <top/>
      <bottom/>
      <diagonal/>
    </border>
    <border>
      <left/>
      <right style="thin">
        <color rgb="FF5E5E5E"/>
      </right>
      <top/>
      <bottom style="thin">
        <color rgb="FF5E5E5E"/>
      </bottom>
      <diagonal/>
    </border>
    <border>
      <left style="thin">
        <color rgb="FF5E5E5E"/>
      </left>
      <right/>
      <top/>
      <bottom style="thin">
        <color rgb="FF5E5E5E"/>
      </bottom>
      <diagonal/>
    </border>
    <border>
      <left/>
      <right style="thin">
        <color rgb="FF5E5E5E"/>
      </right>
      <top style="thin">
        <color rgb="FF5E5E5E"/>
      </top>
      <bottom style="thin">
        <color rgb="FF5E5E5E"/>
      </bottom>
      <diagonal/>
    </border>
    <border>
      <left style="thin">
        <color rgb="FF5E5E5E"/>
      </left>
      <right/>
      <top style="thin">
        <color rgb="FF5E5E5E"/>
      </top>
      <bottom style="thin">
        <color rgb="FF5E5E5E"/>
      </bottom>
      <diagonal/>
    </border>
  </borders>
  <cellStyleXfs count="2">
    <xf numFmtId="0" fontId="0" fillId="0" borderId="0"/>
    <xf numFmtId="0" fontId="3" fillId="0" borderId="0" applyBorder="0" applyProtection="0"/>
  </cellStyleXfs>
  <cellXfs count="47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 vertical="center" wrapText="1"/>
    </xf>
    <xf numFmtId="14" fontId="2" fillId="2" borderId="0" xfId="0" applyNumberFormat="1" applyFont="1" applyFill="1" applyAlignment="1">
      <alignment horizontal="center" vertical="center" wrapText="1"/>
    </xf>
    <xf numFmtId="1" fontId="2" fillId="2" borderId="0" xfId="0" applyNumberFormat="1" applyFont="1" applyFill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6" fillId="0" borderId="0" xfId="0" applyFont="1" applyAlignment="1">
      <alignment horizontal="center" vertical="center"/>
    </xf>
    <xf numFmtId="14" fontId="1" fillId="0" borderId="0" xfId="0" applyNumberFormat="1" applyFont="1" applyAlignment="1">
      <alignment vertical="center"/>
    </xf>
    <xf numFmtId="0" fontId="5" fillId="0" borderId="0" xfId="0" applyFont="1" applyAlignment="1">
      <alignment horizontal="left" vertical="center"/>
    </xf>
    <xf numFmtId="0" fontId="1" fillId="0" borderId="0" xfId="0" applyFont="1" applyAlignment="1" applyProtection="1">
      <alignment horizontal="left" vertical="center"/>
      <protection locked="0"/>
    </xf>
    <xf numFmtId="0" fontId="1" fillId="0" borderId="0" xfId="0" applyFont="1" applyAlignment="1">
      <alignment horizontal="left" vertical="center" wrapText="1" readingOrder="1"/>
    </xf>
    <xf numFmtId="0" fontId="5" fillId="0" borderId="0" xfId="0" applyFont="1" applyAlignment="1">
      <alignment horizontal="center" vertical="center" wrapText="1"/>
    </xf>
    <xf numFmtId="0" fontId="1" fillId="0" borderId="0" xfId="0" applyFont="1" applyAlignment="1">
      <alignment horizontal="fill" vertical="center"/>
    </xf>
    <xf numFmtId="0" fontId="4" fillId="0" borderId="0" xfId="1" applyFont="1" applyBorder="1" applyAlignment="1" applyProtection="1">
      <alignment horizontal="fill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0" borderId="0" xfId="1" applyFont="1" applyBorder="1" applyAlignment="1" applyProtection="1">
      <alignment vertical="center"/>
    </xf>
    <xf numFmtId="14" fontId="5" fillId="0" borderId="0" xfId="0" applyNumberFormat="1" applyFont="1" applyAlignment="1">
      <alignment vertical="center"/>
    </xf>
    <xf numFmtId="0" fontId="5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0" fillId="0" borderId="0" xfId="0" applyAlignment="1">
      <alignment horizontal="left" indent="1"/>
    </xf>
    <xf numFmtId="0" fontId="8" fillId="3" borderId="0" xfId="0" applyFont="1" applyFill="1"/>
    <xf numFmtId="0" fontId="9" fillId="3" borderId="0" xfId="0" applyFont="1" applyFill="1"/>
    <xf numFmtId="0" fontId="0" fillId="3" borderId="0" xfId="0" applyFill="1"/>
    <xf numFmtId="0" fontId="7" fillId="3" borderId="0" xfId="0" applyFont="1" applyFill="1"/>
    <xf numFmtId="0" fontId="11" fillId="3" borderId="0" xfId="0" applyFont="1" applyFill="1"/>
    <xf numFmtId="0" fontId="12" fillId="3" borderId="1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3" fillId="3" borderId="3" xfId="0" applyFont="1" applyFill="1" applyBorder="1"/>
    <xf numFmtId="0" fontId="13" fillId="3" borderId="4" xfId="0" applyFont="1" applyFill="1" applyBorder="1"/>
    <xf numFmtId="0" fontId="10" fillId="3" borderId="0" xfId="0" applyFont="1" applyFill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NumberFormat="1"/>
    <xf numFmtId="166" fontId="5" fillId="0" borderId="0" xfId="0" applyNumberFormat="1" applyFont="1" applyAlignment="1">
      <alignment vertical="center"/>
    </xf>
    <xf numFmtId="166" fontId="8" fillId="3" borderId="0" xfId="0" applyNumberFormat="1" applyFont="1" applyFill="1"/>
    <xf numFmtId="169" fontId="2" fillId="2" borderId="0" xfId="0" applyNumberFormat="1" applyFont="1" applyFill="1" applyAlignment="1">
      <alignment horizontal="center" vertical="center" wrapText="1"/>
    </xf>
    <xf numFmtId="169" fontId="0" fillId="0" borderId="0" xfId="0" applyNumberFormat="1"/>
    <xf numFmtId="174" fontId="8" fillId="3" borderId="0" xfId="0" applyNumberFormat="1" applyFont="1" applyFill="1"/>
  </cellXfs>
  <cellStyles count="2">
    <cellStyle name="Hyperlink" xfId="1" builtinId="8"/>
    <cellStyle name="Normal" xfId="0" builtinId="0"/>
  </cellStyles>
  <dxfs count="13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 Light"/>
        <family val="2"/>
        <charset val="1"/>
        <scheme val="none"/>
      </font>
      <fill>
        <patternFill patternType="solid">
          <fgColor rgb="FF000000"/>
          <bgColor rgb="FF0D0D0D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charset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charset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charset val="1"/>
        <scheme val="none"/>
      </font>
      <numFmt numFmtId="166" formatCode="[$Rp-421]#,##0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charset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charset val="1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charset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charset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charset val="1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charset val="1"/>
        <scheme val="none"/>
      </font>
      <numFmt numFmtId="164" formatCode="m/d/yyyy;@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charset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charset val="1"/>
        <scheme val="none"/>
      </font>
      <numFmt numFmtId="19" formatCode="m/d/yyyy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charset val="1"/>
        <scheme val="none"/>
      </font>
      <numFmt numFmtId="19" formatCode="m/d/yyyy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rgb="FF0563C1"/>
        <name val="Calibri Light"/>
        <family val="2"/>
        <charset val="1"/>
        <scheme val="none"/>
      </font>
      <numFmt numFmtId="0" formatCode="General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charset val="1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ill>
        <patternFill>
          <bgColor rgb="FFFFE699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5E0B4"/>
        </patternFill>
      </fill>
    </dxf>
    <dxf>
      <fill>
        <patternFill>
          <bgColor rgb="FFFBE5D6"/>
        </patternFill>
      </fill>
    </dxf>
    <dxf>
      <fill>
        <patternFill>
          <bgColor rgb="FFFFE699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6D01"/>
        </patternFill>
      </fill>
    </dxf>
    <dxf>
      <font>
        <color rgb="FFFFFFFF"/>
      </font>
      <fill>
        <patternFill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 Light"/>
        <family val="2"/>
        <charset val="1"/>
        <scheme val="none"/>
      </font>
      <fill>
        <patternFill patternType="solid">
          <fgColor rgb="FF000000"/>
          <bgColor rgb="FF0D0D0D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charset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charset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charset val="1"/>
        <scheme val="none"/>
      </font>
      <numFmt numFmtId="166" formatCode="[$Rp-421]#,##0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charset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charset val="1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charset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charset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charset val="1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charset val="1"/>
        <scheme val="none"/>
      </font>
      <numFmt numFmtId="164" formatCode="m/d/yyyy;@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charset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charset val="1"/>
        <scheme val="none"/>
      </font>
      <numFmt numFmtId="19" formatCode="m/d/yyyy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charset val="1"/>
        <scheme val="none"/>
      </font>
      <numFmt numFmtId="19" formatCode="m/d/yyyy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rgb="FF0563C1"/>
        <name val="Calibri Light"/>
        <family val="2"/>
        <charset val="1"/>
        <scheme val="none"/>
      </font>
      <numFmt numFmtId="0" formatCode="General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charset val="1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charset val="1"/>
        <scheme val="none"/>
      </font>
      <alignment horizontal="left" vertical="center" textRotation="0" wrapText="1" indent="0" justifyLastLine="0" shrinkToFit="0" readingOrder="1"/>
      <border diagonalUp="0" diagonalDown="0" outline="0">
        <left/>
        <right/>
        <top style="thin">
          <color theme="1"/>
        </top>
        <bottom/>
      </border>
    </dxf>
    <dxf>
      <fill>
        <patternFill>
          <bgColor rgb="FFFFE699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5E0B4"/>
        </patternFill>
      </fill>
    </dxf>
    <dxf>
      <fill>
        <patternFill>
          <bgColor rgb="FFFBE5D6"/>
        </patternFill>
      </fill>
    </dxf>
    <dxf>
      <fill>
        <patternFill>
          <bgColor rgb="FFFFE699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6D01"/>
        </patternFill>
      </fill>
    </dxf>
    <dxf>
      <font>
        <color rgb="FFFFFFFF"/>
      </font>
      <fill>
        <patternFill>
          <bgColor rgb="FFFFFFFF"/>
        </patternFill>
      </fill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ill>
        <patternFill>
          <bgColor rgb="FFC5E0B4"/>
        </patternFill>
      </fill>
    </dxf>
    <dxf>
      <fill>
        <patternFill>
          <bgColor rgb="FFFBE5D6"/>
        </patternFill>
      </fill>
    </dxf>
    <dxf>
      <fill>
        <patternFill>
          <bgColor rgb="FFFFE699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  <fill>
        <patternFill>
          <bgColor rgb="FFFFFF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5E0B4"/>
        </patternFill>
      </fill>
    </dxf>
    <dxf>
      <fill>
        <patternFill>
          <bgColor rgb="FFFBE5D6"/>
        </patternFill>
      </fill>
    </dxf>
    <dxf>
      <fill>
        <patternFill>
          <bgColor rgb="FFFFE699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FFFF"/>
      </font>
      <fill>
        <patternFill>
          <bgColor rgb="FFFFFF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E699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FFFFFF"/>
      </font>
      <fill>
        <patternFill>
          <bgColor rgb="FFFFFF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E699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FFFFFF"/>
      </font>
      <fill>
        <patternFill>
          <bgColor rgb="FFFFFFFF"/>
        </patternFill>
      </fill>
    </dxf>
    <dxf>
      <fill>
        <patternFill>
          <bgColor rgb="FFFFE699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5E0B4"/>
        </patternFill>
      </fill>
    </dxf>
    <dxf>
      <fill>
        <patternFill>
          <bgColor rgb="FFFBE5D6"/>
        </patternFill>
      </fill>
    </dxf>
    <dxf>
      <fill>
        <patternFill>
          <bgColor rgb="FFFFE699"/>
        </patternFill>
      </fill>
    </dxf>
    <dxf>
      <font>
        <color rgb="FFFFFFFF"/>
      </font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6D01"/>
        </patternFill>
      </fill>
    </dxf>
    <dxf>
      <font>
        <color rgb="FFFFFFFF"/>
      </font>
      <fill>
        <patternFill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charset val="1"/>
        <scheme val="none"/>
      </font>
      <numFmt numFmtId="166" formatCode="[$Rp-421]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 Light"/>
        <family val="2"/>
        <charset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 Light"/>
        <family val="2"/>
        <charset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 Light"/>
        <family val="2"/>
        <charset val="1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 Light"/>
        <family val="2"/>
        <charset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 Light"/>
        <family val="2"/>
        <charset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 Light"/>
        <family val="2"/>
        <charset val="1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 Light"/>
        <family val="2"/>
        <charset val="1"/>
        <scheme val="none"/>
      </font>
      <numFmt numFmtId="19" formatCode="m/d/yyyy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 Light"/>
        <family val="2"/>
        <charset val="1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 Light"/>
        <family val="2"/>
        <charset val="1"/>
        <scheme val="none"/>
      </font>
      <numFmt numFmtId="19" formatCode="m/d/yyyy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 Light"/>
        <family val="2"/>
        <charset val="1"/>
        <scheme val="none"/>
      </font>
      <numFmt numFmtId="19" formatCode="m/d/yyyy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rgb="FF0563C1"/>
        <name val="Calibri Light"/>
        <family val="2"/>
        <charset val="1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 Light"/>
        <family val="2"/>
        <charset val="1"/>
        <scheme val="none"/>
      </font>
      <alignment horizontal="fil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 Light"/>
        <family val="2"/>
        <charset val="1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 Light"/>
        <family val="2"/>
        <charset val="1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 Light"/>
        <family val="2"/>
        <charset val="1"/>
        <scheme val="none"/>
      </font>
      <fill>
        <patternFill patternType="solid">
          <fgColor rgb="FF000000"/>
          <bgColor rgb="FF0D0D0D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DAFFFB"/>
        <name val="Roboto"/>
        <scheme val="none"/>
      </font>
      <fill>
        <patternFill patternType="solid">
          <fgColor indexed="64"/>
          <bgColor rgb="FF001C30"/>
        </patternFill>
      </fill>
      <border diagonalUp="0" diagonalDown="0" outline="0">
        <left style="thin">
          <color rgb="FF5E5E5E"/>
        </left>
        <right/>
        <top style="thin">
          <color rgb="FF5E5E5E"/>
        </top>
        <bottom style="thin">
          <color rgb="FF5E5E5E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DAFFFB"/>
        <name val="Roboto"/>
        <scheme val="none"/>
      </font>
      <fill>
        <patternFill patternType="solid">
          <fgColor indexed="64"/>
          <bgColor rgb="FF001C30"/>
        </patternFill>
      </fill>
      <border diagonalUp="0" diagonalDown="0" outline="0">
        <left/>
        <right style="thin">
          <color rgb="FF5E5E5E"/>
        </right>
        <top style="thin">
          <color rgb="FF5E5E5E"/>
        </top>
        <bottom style="thin">
          <color rgb="FF5E5E5E"/>
        </bottom>
      </border>
    </dxf>
    <dxf>
      <border>
        <top style="thin">
          <color rgb="FF5E5E5E"/>
        </top>
      </border>
    </dxf>
    <dxf>
      <border diagonalUp="0" diagonalDown="0">
        <left style="thick">
          <color rgb="FF5E5E5E"/>
        </left>
        <right style="thick">
          <color rgb="FF5E5E5E"/>
        </right>
        <top style="thick">
          <color rgb="FF5E5E5E"/>
        </top>
        <bottom style="thick">
          <color rgb="FF5E5E5E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DAFFFB"/>
        <name val="Roboto"/>
        <scheme val="none"/>
      </font>
      <fill>
        <patternFill patternType="solid">
          <fgColor indexed="64"/>
          <bgColor rgb="FF001C30"/>
        </patternFill>
      </fill>
    </dxf>
    <dxf>
      <border>
        <bottom style="thin">
          <color rgb="FF5E5E5E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DAFFFB"/>
        <name val="Roboto Black"/>
        <scheme val="none"/>
      </font>
      <fill>
        <patternFill patternType="solid">
          <fgColor indexed="64"/>
          <bgColor rgb="FF001C3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5E5E5E"/>
        </left>
        <right style="thin">
          <color rgb="FF5E5E5E"/>
        </right>
        <top/>
        <bottom/>
      </border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808000"/>
      <rgbColor rgb="FF800080"/>
      <rgbColor rgb="FF008080"/>
      <rgbColor rgb="FFC5E0B4"/>
      <rgbColor rgb="FF808080"/>
      <rgbColor rgb="FF9999FF"/>
      <rgbColor rgb="FF993366"/>
      <rgbColor rgb="FFFFF5F5"/>
      <rgbColor rgb="FFFBE5D6"/>
      <rgbColor rgb="FF660066"/>
      <rgbColor rgb="FFFF8080"/>
      <rgbColor rgb="FF0563C1"/>
      <rgbColor rgb="FFFFD5D5"/>
      <rgbColor rgb="FF000080"/>
      <rgbColor rgb="FFFF00FF"/>
      <rgbColor rgb="FFFFFF00"/>
      <rgbColor rgb="FF00FFFF"/>
      <rgbColor rgb="FF800080"/>
      <rgbColor rgb="FFC00000"/>
      <rgbColor rgb="FF008080"/>
      <rgbColor rgb="FF0000FF"/>
      <rgbColor rgb="FF00CCFF"/>
      <rgbColor rgb="FFFFE699"/>
      <rgbColor rgb="FFC6EFCE"/>
      <rgbColor rgb="FFFFEB9C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D01"/>
      <rgbColor rgb="FF666699"/>
      <rgbColor rgb="FF969696"/>
      <rgbColor rgb="FF003366"/>
      <rgbColor rgb="FF339966"/>
      <rgbColor rgb="FF0D0D0D"/>
      <rgbColor rgb="FF333300"/>
      <rgbColor rgb="FF9C57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E4266"/>
      <color rgb="FFDAFFFB"/>
      <color rgb="FF001C30"/>
      <color rgb="FFF8CBA6"/>
      <color rgb="FFED6363"/>
      <color rgb="FF176B87"/>
      <color rgb="FF333333"/>
      <color rgb="FF5E5E5E"/>
      <color rgb="FFFCFAF9"/>
      <color rgb="FF1018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pivotCacheDefinition" Target="pivotCache/pivotCacheDefinition2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theme" Target="theme/theme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10" Type="http://schemas.openxmlformats.org/officeDocument/2006/relationships/pivotCacheDefinition" Target="pivotCache/pivotCacheDefinition5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[Personal dashboard.xlsm]Pivot Table!PivotTable5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DAFFF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rgbClr val="DAFFFB"/>
                  </a:solidFill>
                  <a:latin typeface="Roboto Medium" panose="02000000000000000000" pitchFamily="2" charset="0"/>
                  <a:ea typeface="Roboto Medium" panose="02000000000000000000" pitchFamily="2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Table'!$E$3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DAFFF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rgbClr val="DAFFFB"/>
                    </a:solidFill>
                    <a:latin typeface="Roboto Medium" panose="02000000000000000000" pitchFamily="2" charset="0"/>
                    <a:ea typeface="Roboto Medium" panose="02000000000000000000" pitchFamily="2" charset="0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Table'!$D$4:$D$9</c:f>
              <c:strCache>
                <c:ptCount val="5"/>
                <c:pt idx="0">
                  <c:v>QC</c:v>
                </c:pt>
                <c:pt idx="1">
                  <c:v>AV + Corr</c:v>
                </c:pt>
                <c:pt idx="2">
                  <c:v>Inquiry</c:v>
                </c:pt>
                <c:pt idx="3">
                  <c:v>AV</c:v>
                </c:pt>
                <c:pt idx="4">
                  <c:v>Corr</c:v>
                </c:pt>
              </c:strCache>
            </c:strRef>
          </c:cat>
          <c:val>
            <c:numRef>
              <c:f>'Pivot Table'!$E$4:$E$9</c:f>
              <c:numCache>
                <c:formatCode>General</c:formatCode>
                <c:ptCount val="5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12</c:v>
                </c:pt>
                <c:pt idx="4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42-48A8-BC09-4ADAA0422C5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541188968"/>
        <c:axId val="541179784"/>
      </c:barChart>
      <c:catAx>
        <c:axId val="5411889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rgbClr val="DAFFFB"/>
                    </a:solidFill>
                    <a:latin typeface="Roboto Medium" panose="02000000000000000000" pitchFamily="2" charset="0"/>
                    <a:ea typeface="Roboto Medium" panose="02000000000000000000" pitchFamily="2" charset="0"/>
                    <a:cs typeface="+mn-cs"/>
                  </a:defRPr>
                </a:pPr>
                <a:r>
                  <a:rPr lang="en-US">
                    <a:solidFill>
                      <a:srgbClr val="DAFFFB"/>
                    </a:solidFill>
                  </a:rPr>
                  <a:t>Revision Status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rgbClr val="DAFFFB"/>
                  </a:solidFill>
                  <a:latin typeface="Roboto Medium" panose="02000000000000000000" pitchFamily="2" charset="0"/>
                  <a:ea typeface="Roboto Medium" panose="02000000000000000000" pitchFamily="2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DAFFFB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+mn-cs"/>
              </a:defRPr>
            </a:pPr>
            <a:endParaRPr lang="en-US"/>
          </a:p>
        </c:txPr>
        <c:crossAx val="541179784"/>
        <c:crosses val="autoZero"/>
        <c:auto val="1"/>
        <c:lblAlgn val="ctr"/>
        <c:lblOffset val="100"/>
        <c:noMultiLvlLbl val="0"/>
      </c:catAx>
      <c:valAx>
        <c:axId val="541179784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rgbClr val="DAFFFB"/>
                    </a:solidFill>
                    <a:latin typeface="Roboto Medium" panose="02000000000000000000" pitchFamily="2" charset="0"/>
                    <a:ea typeface="Roboto Medium" panose="02000000000000000000" pitchFamily="2" charset="0"/>
                    <a:cs typeface="+mn-cs"/>
                  </a:defRPr>
                </a:pPr>
                <a:r>
                  <a:rPr lang="en-US"/>
                  <a:t>Rejected Videos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rgbClr val="DAFFFB"/>
                  </a:solidFill>
                  <a:latin typeface="Roboto Medium" panose="02000000000000000000" pitchFamily="2" charset="0"/>
                  <a:ea typeface="Roboto Medium" panose="02000000000000000000" pitchFamily="2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54118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176B87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rgbClr val="DAFFFB"/>
          </a:solidFill>
          <a:latin typeface="Roboto Medium" panose="02000000000000000000" pitchFamily="2" charset="0"/>
          <a:ea typeface="Roboto Medium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[Personal dashboard.xlsm]Pivot Table!PivotTable7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bg1"/>
            </a:solidFill>
            <a:round/>
          </a:ln>
          <a:effectLst/>
        </c:spPr>
        <c:marker>
          <c:symbol val="circle"/>
          <c:size val="5"/>
          <c:spPr>
            <a:solidFill>
              <a:schemeClr val="bg1"/>
            </a:solidFill>
            <a:ln w="9525">
              <a:solidFill>
                <a:schemeClr val="bg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bg1"/>
            </a:solidFill>
            <a:round/>
          </a:ln>
          <a:effectLst/>
        </c:spPr>
        <c:marker>
          <c:symbol val="circle"/>
          <c:size val="5"/>
          <c:spPr>
            <a:solidFill>
              <a:schemeClr val="bg1"/>
            </a:solidFill>
            <a:ln w="9525">
              <a:solidFill>
                <a:schemeClr val="bg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bg1"/>
            </a:solidFill>
            <a:round/>
          </a:ln>
          <a:effectLst/>
        </c:spPr>
        <c:marker>
          <c:symbol val="circle"/>
          <c:size val="5"/>
          <c:spPr>
            <a:solidFill>
              <a:schemeClr val="bg1"/>
            </a:solidFill>
            <a:ln w="9525">
              <a:solidFill>
                <a:schemeClr val="bg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bg1"/>
            </a:solidFill>
            <a:round/>
          </a:ln>
          <a:effectLst/>
        </c:spPr>
        <c:marker>
          <c:symbol val="circle"/>
          <c:size val="5"/>
          <c:spPr>
            <a:solidFill>
              <a:schemeClr val="bg1"/>
            </a:solidFill>
            <a:ln w="9525">
              <a:solidFill>
                <a:schemeClr val="bg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bg1"/>
            </a:solidFill>
            <a:round/>
          </a:ln>
          <a:effectLst/>
        </c:spPr>
        <c:marker>
          <c:symbol val="circle"/>
          <c:size val="5"/>
          <c:spPr>
            <a:solidFill>
              <a:schemeClr val="bg1"/>
            </a:solidFill>
            <a:ln w="9525">
              <a:solidFill>
                <a:schemeClr val="bg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bg1"/>
            </a:solidFill>
            <a:round/>
          </a:ln>
          <a:effectLst/>
        </c:spPr>
        <c:marker>
          <c:symbol val="circle"/>
          <c:size val="5"/>
          <c:spPr>
            <a:solidFill>
              <a:schemeClr val="bg1"/>
            </a:solidFill>
            <a:ln w="9525">
              <a:solidFill>
                <a:schemeClr val="bg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bg1"/>
            </a:solidFill>
            <a:round/>
          </a:ln>
          <a:effectLst/>
        </c:spPr>
        <c:marker>
          <c:symbol val="circle"/>
          <c:size val="5"/>
          <c:spPr>
            <a:solidFill>
              <a:srgbClr val="DAFFFB"/>
            </a:solidFill>
            <a:ln w="9525">
              <a:solidFill>
                <a:schemeClr val="bg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Table'!$H$3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DAFFFB"/>
              </a:solidFill>
              <a:ln w="9525">
                <a:solidFill>
                  <a:schemeClr val="bg1"/>
                </a:solidFill>
              </a:ln>
              <a:effectLst/>
            </c:spPr>
          </c:marker>
          <c:cat>
            <c:multiLvlStrRef>
              <c:f>'Pivot Table'!$G$4:$G$55</c:f>
              <c:multiLvlStrCache>
                <c:ptCount val="49"/>
                <c:lvl>
                  <c:pt idx="0">
                    <c:v>48</c:v>
                  </c:pt>
                  <c:pt idx="1">
                    <c:v>49</c:v>
                  </c:pt>
                  <c:pt idx="2">
                    <c:v>50</c:v>
                  </c:pt>
                  <c:pt idx="3">
                    <c:v>51</c:v>
                  </c:pt>
                  <c:pt idx="4">
                    <c:v>52</c:v>
                  </c:pt>
                  <c:pt idx="5">
                    <c:v>53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4</c:v>
                  </c:pt>
                  <c:pt idx="10">
                    <c:v>5</c:v>
                  </c:pt>
                  <c:pt idx="11">
                    <c:v>6</c:v>
                  </c:pt>
                  <c:pt idx="12">
                    <c:v>7</c:v>
                  </c:pt>
                  <c:pt idx="13">
                    <c:v>8</c:v>
                  </c:pt>
                  <c:pt idx="14">
                    <c:v>9</c:v>
                  </c:pt>
                  <c:pt idx="15">
                    <c:v>10</c:v>
                  </c:pt>
                  <c:pt idx="16">
                    <c:v>11</c:v>
                  </c:pt>
                  <c:pt idx="17">
                    <c:v>12</c:v>
                  </c:pt>
                  <c:pt idx="18">
                    <c:v>13</c:v>
                  </c:pt>
                  <c:pt idx="19">
                    <c:v>14</c:v>
                  </c:pt>
                  <c:pt idx="20">
                    <c:v>15</c:v>
                  </c:pt>
                  <c:pt idx="21">
                    <c:v>16</c:v>
                  </c:pt>
                  <c:pt idx="22">
                    <c:v>17</c:v>
                  </c:pt>
                  <c:pt idx="23">
                    <c:v>18</c:v>
                  </c:pt>
                  <c:pt idx="24">
                    <c:v>19</c:v>
                  </c:pt>
                  <c:pt idx="25">
                    <c:v>20</c:v>
                  </c:pt>
                  <c:pt idx="26">
                    <c:v>21</c:v>
                  </c:pt>
                  <c:pt idx="27">
                    <c:v>22</c:v>
                  </c:pt>
                  <c:pt idx="28">
                    <c:v>23</c:v>
                  </c:pt>
                  <c:pt idx="29">
                    <c:v>24</c:v>
                  </c:pt>
                  <c:pt idx="30">
                    <c:v>25</c:v>
                  </c:pt>
                  <c:pt idx="31">
                    <c:v>26</c:v>
                  </c:pt>
                  <c:pt idx="32">
                    <c:v>27</c:v>
                  </c:pt>
                  <c:pt idx="33">
                    <c:v>28</c:v>
                  </c:pt>
                  <c:pt idx="34">
                    <c:v>29</c:v>
                  </c:pt>
                  <c:pt idx="35">
                    <c:v>30</c:v>
                  </c:pt>
                  <c:pt idx="36">
                    <c:v>31</c:v>
                  </c:pt>
                  <c:pt idx="37">
                    <c:v>32</c:v>
                  </c:pt>
                  <c:pt idx="38">
                    <c:v>33</c:v>
                  </c:pt>
                  <c:pt idx="39">
                    <c:v>34</c:v>
                  </c:pt>
                  <c:pt idx="40">
                    <c:v>35</c:v>
                  </c:pt>
                  <c:pt idx="41">
                    <c:v>36</c:v>
                  </c:pt>
                  <c:pt idx="42">
                    <c:v>37</c:v>
                  </c:pt>
                  <c:pt idx="43">
                    <c:v>38</c:v>
                  </c:pt>
                  <c:pt idx="44">
                    <c:v>39</c:v>
                  </c:pt>
                  <c:pt idx="45">
                    <c:v>40</c:v>
                  </c:pt>
                  <c:pt idx="46">
                    <c:v>41</c:v>
                  </c:pt>
                  <c:pt idx="47">
                    <c:v>42</c:v>
                  </c:pt>
                  <c:pt idx="48">
                    <c:v>43</c:v>
                  </c:pt>
                </c:lvl>
                <c:lvl>
                  <c:pt idx="0">
                    <c:v>2020</c:v>
                  </c:pt>
                  <c:pt idx="6">
                    <c:v>2021</c:v>
                  </c:pt>
                </c:lvl>
              </c:multiLvlStrCache>
            </c:multiLvlStrRef>
          </c:cat>
          <c:val>
            <c:numRef>
              <c:f>'Pivot Table'!$H$4:$H$55</c:f>
              <c:numCache>
                <c:formatCode>General</c:formatCode>
                <c:ptCount val="49"/>
                <c:pt idx="0">
                  <c:v>9</c:v>
                </c:pt>
                <c:pt idx="1">
                  <c:v>15</c:v>
                </c:pt>
                <c:pt idx="2">
                  <c:v>15</c:v>
                </c:pt>
                <c:pt idx="3">
                  <c:v>6</c:v>
                </c:pt>
                <c:pt idx="4">
                  <c:v>37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30</c:v>
                </c:pt>
                <c:pt idx="10">
                  <c:v>23</c:v>
                </c:pt>
                <c:pt idx="11">
                  <c:v>8</c:v>
                </c:pt>
                <c:pt idx="12">
                  <c:v>19</c:v>
                </c:pt>
                <c:pt idx="13">
                  <c:v>22</c:v>
                </c:pt>
                <c:pt idx="14">
                  <c:v>13</c:v>
                </c:pt>
                <c:pt idx="15">
                  <c:v>20</c:v>
                </c:pt>
                <c:pt idx="16">
                  <c:v>8</c:v>
                </c:pt>
                <c:pt idx="17">
                  <c:v>13</c:v>
                </c:pt>
                <c:pt idx="18">
                  <c:v>12</c:v>
                </c:pt>
                <c:pt idx="19">
                  <c:v>0</c:v>
                </c:pt>
                <c:pt idx="20">
                  <c:v>17</c:v>
                </c:pt>
                <c:pt idx="21">
                  <c:v>13</c:v>
                </c:pt>
                <c:pt idx="22">
                  <c:v>22</c:v>
                </c:pt>
                <c:pt idx="23">
                  <c:v>11</c:v>
                </c:pt>
                <c:pt idx="24">
                  <c:v>11</c:v>
                </c:pt>
                <c:pt idx="25">
                  <c:v>2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9</c:v>
                </c:pt>
                <c:pt idx="30">
                  <c:v>15</c:v>
                </c:pt>
                <c:pt idx="31">
                  <c:v>47</c:v>
                </c:pt>
                <c:pt idx="32">
                  <c:v>39</c:v>
                </c:pt>
                <c:pt idx="33">
                  <c:v>52</c:v>
                </c:pt>
                <c:pt idx="34">
                  <c:v>49</c:v>
                </c:pt>
                <c:pt idx="35">
                  <c:v>26</c:v>
                </c:pt>
                <c:pt idx="36">
                  <c:v>30</c:v>
                </c:pt>
                <c:pt idx="37">
                  <c:v>45</c:v>
                </c:pt>
                <c:pt idx="38">
                  <c:v>26</c:v>
                </c:pt>
                <c:pt idx="39">
                  <c:v>51</c:v>
                </c:pt>
                <c:pt idx="40">
                  <c:v>29</c:v>
                </c:pt>
                <c:pt idx="41">
                  <c:v>38</c:v>
                </c:pt>
                <c:pt idx="42">
                  <c:v>36</c:v>
                </c:pt>
                <c:pt idx="43">
                  <c:v>64</c:v>
                </c:pt>
                <c:pt idx="44">
                  <c:v>61</c:v>
                </c:pt>
                <c:pt idx="45">
                  <c:v>27</c:v>
                </c:pt>
                <c:pt idx="46">
                  <c:v>38</c:v>
                </c:pt>
                <c:pt idx="47">
                  <c:v>12</c:v>
                </c:pt>
                <c:pt idx="48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4C0-4FEF-9749-7D9B3242B20B}"/>
            </c:ext>
          </c:extLst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547776"/>
        <c:axId val="537551056"/>
      </c:lineChart>
      <c:catAx>
        <c:axId val="537547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rgbClr val="DAFFFB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r>
                  <a:rPr lang="en-US">
                    <a:solidFill>
                      <a:srgbClr val="DAFFFB"/>
                    </a:solidFill>
                  </a:rPr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rgbClr val="DAFFFB"/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DAFFFB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537551056"/>
        <c:crosses val="autoZero"/>
        <c:auto val="1"/>
        <c:lblAlgn val="ctr"/>
        <c:lblOffset val="100"/>
        <c:noMultiLvlLbl val="0"/>
      </c:catAx>
      <c:valAx>
        <c:axId val="5375510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rgbClr val="DAFFFB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r>
                  <a:rPr lang="en-US">
                    <a:solidFill>
                      <a:srgbClr val="DAFFFB"/>
                    </a:solidFill>
                  </a:rPr>
                  <a:t> Video Production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rgbClr val="DAFFFB"/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DAFFFB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53754777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176B87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bg1"/>
          </a:solidFill>
          <a:latin typeface="Roboto" panose="02000000000000000000" pitchFamily="2" charset="0"/>
          <a:ea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[Personal dashboard.xlsm]Pivot Table!PivotTable9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DAFFF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Table'!$K$3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DAFFF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Table'!$J$4:$J$11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'Pivot Table'!$K$4:$K$11</c:f>
              <c:numCache>
                <c:formatCode>General</c:formatCode>
                <c:ptCount val="7"/>
                <c:pt idx="0">
                  <c:v>271</c:v>
                </c:pt>
                <c:pt idx="1">
                  <c:v>29</c:v>
                </c:pt>
                <c:pt idx="2">
                  <c:v>34</c:v>
                </c:pt>
                <c:pt idx="3">
                  <c:v>123</c:v>
                </c:pt>
                <c:pt idx="4">
                  <c:v>208</c:v>
                </c:pt>
                <c:pt idx="5">
                  <c:v>116</c:v>
                </c:pt>
                <c:pt idx="6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7F-4049-8BF8-CB8DDE8DD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-27"/>
        <c:axId val="537536296"/>
        <c:axId val="537538264"/>
      </c:barChart>
      <c:catAx>
        <c:axId val="537536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537538264"/>
        <c:crosses val="autoZero"/>
        <c:auto val="1"/>
        <c:lblAlgn val="ctr"/>
        <c:lblOffset val="100"/>
        <c:noMultiLvlLbl val="0"/>
      </c:catAx>
      <c:valAx>
        <c:axId val="537538264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r>
                  <a:rPr lang="en-US"/>
                  <a:t>Video Production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537536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176B87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bg1"/>
          </a:solidFill>
          <a:latin typeface="Roboto" panose="02000000000000000000" pitchFamily="2" charset="0"/>
          <a:ea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Not Submitted (Ctrl+Shift+R)'!A1"/><Relationship Id="rId2" Type="http://schemas.openxmlformats.org/officeDocument/2006/relationships/chart" Target="../charts/chart1.xml"/><Relationship Id="rId1" Type="http://schemas.openxmlformats.org/officeDocument/2006/relationships/hyperlink" Target="#'Rejected (Ctrl+Shift+R)'!A1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0</xdr:row>
      <xdr:rowOff>85725</xdr:rowOff>
    </xdr:from>
    <xdr:to>
      <xdr:col>8</xdr:col>
      <xdr:colOff>590551</xdr:colOff>
      <xdr:row>13</xdr:row>
      <xdr:rowOff>0</xdr:rowOff>
    </xdr:to>
    <xdr:graphicFrame macro="">
      <xdr:nvGraphicFramePr>
        <xdr:cNvPr id="7" name="Chart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5840CE-070F-453C-A04A-4934CB461E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319087</xdr:colOff>
      <xdr:row>6</xdr:row>
      <xdr:rowOff>172138</xdr:rowOff>
    </xdr:from>
    <xdr:to>
      <xdr:col>3</xdr:col>
      <xdr:colOff>585787</xdr:colOff>
      <xdr:row>12</xdr:row>
      <xdr:rowOff>190426</xdr:rowOff>
    </xdr:to>
    <xdr:sp macro="" textlink="$B$1">
      <xdr:nvSpPr>
        <xdr:cNvPr id="9" name="TextBox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5C9EB7-CB34-4EF4-ACC4-65AFF26F7413}"/>
            </a:ext>
          </a:extLst>
        </xdr:cNvPr>
        <xdr:cNvSpPr txBox="1"/>
      </xdr:nvSpPr>
      <xdr:spPr>
        <a:xfrm>
          <a:off x="1624012" y="1315138"/>
          <a:ext cx="1485900" cy="1161288"/>
        </a:xfrm>
        <a:prstGeom prst="roundRect">
          <a:avLst/>
        </a:prstGeom>
        <a:solidFill>
          <a:srgbClr val="176B87"/>
        </a:solidFill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fld id="{5242009C-2232-4BCD-8441-9825819FD14F}" type="TxLink">
            <a:rPr lang="en-US" sz="5000" b="0" i="0" u="none" strike="noStrike">
              <a:solidFill>
                <a:srgbClr val="EE4266"/>
              </a:solidFill>
              <a:latin typeface="Roboto Black" panose="02000000000000000000" pitchFamily="2" charset="0"/>
              <a:ea typeface="Roboto Black" panose="02000000000000000000" pitchFamily="2" charset="0"/>
              <a:cs typeface="Calibri"/>
            </a:rPr>
            <a:pPr marL="0" indent="0" algn="ctr"/>
            <a:t>84</a:t>
          </a:fld>
          <a:endParaRPr lang="en-US" sz="5000" b="0" i="0" u="none" strike="noStrike">
            <a:solidFill>
              <a:srgbClr val="EE4266"/>
            </a:solidFill>
            <a:latin typeface="Roboto Black" panose="02000000000000000000" pitchFamily="2" charset="0"/>
            <a:ea typeface="Roboto Black" panose="02000000000000000000" pitchFamily="2" charset="0"/>
            <a:cs typeface="Calibri"/>
          </a:endParaRPr>
        </a:p>
        <a:p>
          <a:pPr marL="0" indent="0" algn="ctr"/>
          <a:r>
            <a:rPr lang="en-US" sz="1200" b="0" i="0" u="none" strike="noStrike">
              <a:solidFill>
                <a:srgbClr val="EE4266"/>
              </a:solidFill>
              <a:latin typeface="Roboto Black" panose="02000000000000000000" pitchFamily="2" charset="0"/>
              <a:ea typeface="Roboto Black" panose="02000000000000000000" pitchFamily="2" charset="0"/>
              <a:cs typeface="Calibri"/>
            </a:rPr>
            <a:t>Rejected Videos</a:t>
          </a:r>
        </a:p>
      </xdr:txBody>
    </xdr:sp>
    <xdr:clientData/>
  </xdr:twoCellAnchor>
  <xdr:twoCellAnchor>
    <xdr:from>
      <xdr:col>0</xdr:col>
      <xdr:colOff>83342</xdr:colOff>
      <xdr:row>0</xdr:row>
      <xdr:rowOff>85723</xdr:rowOff>
    </xdr:from>
    <xdr:to>
      <xdr:col>3</xdr:col>
      <xdr:colOff>581025</xdr:colOff>
      <xdr:row>6</xdr:row>
      <xdr:rowOff>104011</xdr:rowOff>
    </xdr:to>
    <xdr:sp macro="" textlink="$B$5">
      <xdr:nvSpPr>
        <xdr:cNvPr id="13" name="TextBox 12">
          <a:extLst>
            <a:ext uri="{FF2B5EF4-FFF2-40B4-BE49-F238E27FC236}">
              <a16:creationId xmlns:a16="http://schemas.microsoft.com/office/drawing/2014/main" id="{C57AC2BE-22B2-4E59-962F-9DE072CB4BE7}"/>
            </a:ext>
          </a:extLst>
        </xdr:cNvPr>
        <xdr:cNvSpPr txBox="1"/>
      </xdr:nvSpPr>
      <xdr:spPr>
        <a:xfrm>
          <a:off x="83342" y="85723"/>
          <a:ext cx="3021808" cy="1161288"/>
        </a:xfrm>
        <a:prstGeom prst="roundRect">
          <a:avLst/>
        </a:prstGeom>
        <a:solidFill>
          <a:srgbClr val="176B87"/>
        </a:solidFill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fld id="{C44DC05C-B13F-4FAE-A3DA-B874DD42EA6C}" type="TxLink">
            <a:rPr lang="en-US" sz="5000" b="0" i="0" u="none" strike="noStrike">
              <a:solidFill>
                <a:srgbClr val="DAFFFB"/>
              </a:solidFill>
              <a:latin typeface="Roboto Black" panose="02000000000000000000" pitchFamily="2" charset="0"/>
              <a:ea typeface="Roboto Black" panose="02000000000000000000" pitchFamily="2" charset="0"/>
              <a:cs typeface="Calibri"/>
            </a:rPr>
            <a:pPr algn="ctr"/>
            <a:t>232</a:t>
          </a:fld>
          <a:endParaRPr lang="en-US" sz="5000" b="0" i="0" u="none" strike="noStrike">
            <a:solidFill>
              <a:srgbClr val="DAFFFB"/>
            </a:solidFill>
            <a:latin typeface="Roboto Black" panose="02000000000000000000" pitchFamily="2" charset="0"/>
            <a:ea typeface="Roboto Black" panose="02000000000000000000" pitchFamily="2" charset="0"/>
            <a:cs typeface="Calibri"/>
          </a:endParaRPr>
        </a:p>
        <a:p>
          <a:pPr algn="ctr"/>
          <a:r>
            <a:rPr lang="en-US" sz="1200" b="0" i="0" u="none" strike="noStrike">
              <a:solidFill>
                <a:srgbClr val="DAFFFB"/>
              </a:solidFill>
              <a:latin typeface="Roboto Black" panose="02000000000000000000" pitchFamily="2" charset="0"/>
              <a:ea typeface="Roboto Black" panose="02000000000000000000" pitchFamily="2" charset="0"/>
              <a:cs typeface="Calibri"/>
            </a:rPr>
            <a:t>Videos remaining</a:t>
          </a:r>
          <a:endParaRPr lang="en-US" sz="1200">
            <a:solidFill>
              <a:srgbClr val="DAFFFB"/>
            </a:solidFill>
            <a:latin typeface="Roboto Black" panose="02000000000000000000" pitchFamily="2" charset="0"/>
            <a:ea typeface="Roboto Black" panose="02000000000000000000" pitchFamily="2" charset="0"/>
          </a:endParaRPr>
        </a:p>
      </xdr:txBody>
    </xdr:sp>
    <xdr:clientData/>
  </xdr:twoCellAnchor>
  <xdr:twoCellAnchor>
    <xdr:from>
      <xdr:col>0</xdr:col>
      <xdr:colOff>83342</xdr:colOff>
      <xdr:row>6</xdr:row>
      <xdr:rowOff>173829</xdr:rowOff>
    </xdr:from>
    <xdr:to>
      <xdr:col>1</xdr:col>
      <xdr:colOff>241457</xdr:colOff>
      <xdr:row>12</xdr:row>
      <xdr:rowOff>188735</xdr:rowOff>
    </xdr:to>
    <xdr:sp macro="" textlink="$B$3">
      <xdr:nvSpPr>
        <xdr:cNvPr id="14" name="TextBox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F4A0F34-575F-454F-BEBA-D25DFDDD9ADA}"/>
            </a:ext>
          </a:extLst>
        </xdr:cNvPr>
        <xdr:cNvSpPr txBox="1"/>
      </xdr:nvSpPr>
      <xdr:spPr>
        <a:xfrm>
          <a:off x="83342" y="1316829"/>
          <a:ext cx="1463040" cy="1157906"/>
        </a:xfrm>
        <a:prstGeom prst="roundRect">
          <a:avLst/>
        </a:prstGeom>
        <a:solidFill>
          <a:srgbClr val="176B87"/>
        </a:solidFill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fld id="{FA4B964F-E20F-4D02-8434-00A13ABB17DA}" type="TxLink">
            <a:rPr lang="en-US" sz="5000" b="0" i="0" u="none" strike="noStrike">
              <a:solidFill>
                <a:srgbClr val="DAFFFB"/>
              </a:solidFill>
              <a:latin typeface="Roboto Black" panose="02000000000000000000" pitchFamily="2" charset="0"/>
              <a:ea typeface="Roboto Black" panose="02000000000000000000" pitchFamily="2" charset="0"/>
              <a:cs typeface="Calibri"/>
            </a:rPr>
            <a:pPr marL="0" indent="0" algn="ctr"/>
            <a:t>148</a:t>
          </a:fld>
          <a:endParaRPr lang="en-US" sz="5000" b="0" i="0" u="none" strike="noStrike">
            <a:solidFill>
              <a:srgbClr val="DAFFFB"/>
            </a:solidFill>
            <a:latin typeface="Roboto Black" panose="02000000000000000000" pitchFamily="2" charset="0"/>
            <a:ea typeface="Roboto Black" panose="02000000000000000000" pitchFamily="2" charset="0"/>
            <a:cs typeface="Calibri"/>
          </a:endParaRPr>
        </a:p>
        <a:p>
          <a:pPr marL="0" indent="0" algn="ctr"/>
          <a:r>
            <a:rPr lang="en-US" sz="1200" b="0" i="0" u="none" strike="noStrike">
              <a:solidFill>
                <a:srgbClr val="DAFFFB"/>
              </a:solidFill>
              <a:latin typeface="Roboto Black" panose="02000000000000000000" pitchFamily="2" charset="0"/>
              <a:ea typeface="Roboto Black" panose="02000000000000000000" pitchFamily="2" charset="0"/>
              <a:cs typeface="Calibri"/>
            </a:rPr>
            <a:t>New Videos</a:t>
          </a:r>
        </a:p>
      </xdr:txBody>
    </xdr:sp>
    <xdr:clientData/>
  </xdr:twoCellAnchor>
  <xdr:twoCellAnchor>
    <xdr:from>
      <xdr:col>0</xdr:col>
      <xdr:colOff>85724</xdr:colOff>
      <xdr:row>13</xdr:row>
      <xdr:rowOff>47625</xdr:rowOff>
    </xdr:from>
    <xdr:to>
      <xdr:col>8</xdr:col>
      <xdr:colOff>590550</xdr:colOff>
      <xdr:row>26</xdr:row>
      <xdr:rowOff>88773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684CF6E0-6A95-48DA-BC39-D7484D50EA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13</xdr:row>
      <xdr:rowOff>47624</xdr:rowOff>
    </xdr:from>
    <xdr:to>
      <xdr:col>14</xdr:col>
      <xdr:colOff>2124075</xdr:colOff>
      <xdr:row>26</xdr:row>
      <xdr:rowOff>85724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A7D19957-5F10-4C9D-9DA6-2A0FE09D55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76200</xdr:colOff>
      <xdr:row>0</xdr:row>
      <xdr:rowOff>71435</xdr:rowOff>
    </xdr:from>
    <xdr:to>
      <xdr:col>14</xdr:col>
      <xdr:colOff>2105025</xdr:colOff>
      <xdr:row>6</xdr:row>
      <xdr:rowOff>72643</xdr:rowOff>
    </xdr:to>
    <xdr:sp macro="" textlink="$B$7">
      <xdr:nvSpPr>
        <xdr:cNvPr id="11" name="TextBox 10">
          <a:extLst>
            <a:ext uri="{FF2B5EF4-FFF2-40B4-BE49-F238E27FC236}">
              <a16:creationId xmlns:a16="http://schemas.microsoft.com/office/drawing/2014/main" id="{DF847F75-A0E8-4772-A38F-DECB269E3CE4}"/>
            </a:ext>
          </a:extLst>
        </xdr:cNvPr>
        <xdr:cNvSpPr txBox="1"/>
      </xdr:nvSpPr>
      <xdr:spPr>
        <a:xfrm>
          <a:off x="9429750" y="71435"/>
          <a:ext cx="3028950" cy="1220408"/>
        </a:xfrm>
        <a:prstGeom prst="roundRect">
          <a:avLst/>
        </a:prstGeom>
        <a:solidFill>
          <a:srgbClr val="176B87"/>
        </a:solidFill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br>
            <a:rPr lang="en-US" sz="700" b="0" i="0" u="none" strike="noStrike">
              <a:solidFill>
                <a:srgbClr val="DAFFFB"/>
              </a:solidFill>
              <a:latin typeface="Roboto Black" panose="02000000000000000000" pitchFamily="2" charset="0"/>
              <a:ea typeface="Roboto Black" panose="02000000000000000000" pitchFamily="2" charset="0"/>
              <a:cs typeface="Calibri"/>
            </a:rPr>
          </a:br>
          <a:fld id="{25FB623D-2D8B-42A2-836D-C162AF5B7E1C}" type="TxLink">
            <a:rPr lang="en-US" sz="4300" b="0" i="0" u="none" strike="noStrike">
              <a:solidFill>
                <a:srgbClr val="DAFFFB"/>
              </a:solidFill>
              <a:latin typeface="Roboto Black" panose="02000000000000000000" pitchFamily="2" charset="0"/>
              <a:ea typeface="Roboto Black" panose="02000000000000000000" pitchFamily="2" charset="0"/>
              <a:cs typeface="Calibri"/>
            </a:rPr>
            <a:t>Rp17 Juta</a:t>
          </a:fld>
          <a:br>
            <a:rPr lang="en-US" sz="3000" b="0" i="0" u="none" strike="noStrike">
              <a:solidFill>
                <a:srgbClr val="DAFFFB"/>
              </a:solidFill>
              <a:latin typeface="Roboto Black" panose="02000000000000000000" pitchFamily="2" charset="0"/>
              <a:ea typeface="Roboto Black" panose="02000000000000000000" pitchFamily="2" charset="0"/>
              <a:cs typeface="Calibri"/>
            </a:rPr>
          </a:br>
          <a:r>
            <a:rPr lang="en-US" sz="1200" b="0" i="0" u="none" strike="noStrike">
              <a:solidFill>
                <a:srgbClr val="DAFFFB"/>
              </a:solidFill>
              <a:latin typeface="Roboto Black" panose="02000000000000000000" pitchFamily="2" charset="0"/>
              <a:ea typeface="Roboto Black" panose="02000000000000000000" pitchFamily="2" charset="0"/>
              <a:cs typeface="Calibri"/>
            </a:rPr>
            <a:t>Total Payment</a:t>
          </a:r>
          <a:endParaRPr lang="en-US" sz="1200" b="1">
            <a:solidFill>
              <a:srgbClr val="DAFFFB"/>
            </a:solidFill>
            <a:latin typeface="Roboto Black" panose="02000000000000000000" pitchFamily="2" charset="0"/>
            <a:ea typeface="Roboto Black" panose="02000000000000000000" pitchFamily="2" charset="0"/>
          </a:endParaRPr>
        </a:p>
      </xdr:txBody>
    </xdr:sp>
    <xdr:clientData/>
  </xdr:twoCellAnchor>
  <xdr:twoCellAnchor>
    <xdr:from>
      <xdr:col>12</xdr:col>
      <xdr:colOff>76200</xdr:colOff>
      <xdr:row>6</xdr:row>
      <xdr:rowOff>143162</xdr:rowOff>
    </xdr:from>
    <xdr:to>
      <xdr:col>14</xdr:col>
      <xdr:colOff>2105025</xdr:colOff>
      <xdr:row>12</xdr:row>
      <xdr:rowOff>182687</xdr:rowOff>
    </xdr:to>
    <xdr:sp macro="" textlink="$B$8">
      <xdr:nvSpPr>
        <xdr:cNvPr id="10" name="TextBox 9">
          <a:extLst>
            <a:ext uri="{FF2B5EF4-FFF2-40B4-BE49-F238E27FC236}">
              <a16:creationId xmlns:a16="http://schemas.microsoft.com/office/drawing/2014/main" id="{20F6A9C2-62BF-488F-81DE-6E309836585E}"/>
            </a:ext>
          </a:extLst>
        </xdr:cNvPr>
        <xdr:cNvSpPr txBox="1"/>
      </xdr:nvSpPr>
      <xdr:spPr>
        <a:xfrm>
          <a:off x="9429750" y="1362362"/>
          <a:ext cx="3028950" cy="1239675"/>
        </a:xfrm>
        <a:prstGeom prst="roundRect">
          <a:avLst/>
        </a:prstGeom>
        <a:solidFill>
          <a:srgbClr val="176B87"/>
        </a:solidFill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br>
            <a:rPr lang="en-US" sz="700" b="0" i="0" u="none" strike="noStrike">
              <a:solidFill>
                <a:srgbClr val="EE4266"/>
              </a:solidFill>
              <a:latin typeface="Roboto Black" panose="02000000000000000000" pitchFamily="2" charset="0"/>
              <a:ea typeface="Roboto Black" panose="02000000000000000000" pitchFamily="2" charset="0"/>
              <a:cs typeface="Calibri"/>
            </a:rPr>
          </a:br>
          <a:fld id="{C4A7BB06-A249-47F9-B12D-5C3E6845CA91}" type="TxLink">
            <a:rPr lang="en-US" sz="4300" b="0" i="0" u="none" strike="noStrike">
              <a:solidFill>
                <a:srgbClr val="EE4266"/>
              </a:solidFill>
              <a:latin typeface="Roboto Black" panose="02000000000000000000" pitchFamily="2" charset="0"/>
              <a:ea typeface="Roboto Black" panose="02000000000000000000" pitchFamily="2" charset="0"/>
              <a:cs typeface="Calibri"/>
            </a:rPr>
            <a:t>Rp123,000</a:t>
          </a:fld>
          <a:br>
            <a:rPr lang="en-US" sz="4300" b="0" i="0" u="none" strike="noStrike">
              <a:solidFill>
                <a:srgbClr val="EE4266"/>
              </a:solidFill>
              <a:latin typeface="Roboto Black" panose="02000000000000000000" pitchFamily="2" charset="0"/>
              <a:ea typeface="Roboto Black" panose="02000000000000000000" pitchFamily="2" charset="0"/>
              <a:cs typeface="Calibri"/>
            </a:rPr>
          </a:br>
          <a:r>
            <a:rPr lang="en-US" sz="1200" b="0" i="0" u="none" strike="noStrike">
              <a:solidFill>
                <a:srgbClr val="EE4266"/>
              </a:solidFill>
              <a:latin typeface="Roboto Black" panose="02000000000000000000" pitchFamily="2" charset="0"/>
              <a:ea typeface="Roboto Black" panose="02000000000000000000" pitchFamily="2" charset="0"/>
              <a:cs typeface="Calibri"/>
            </a:rPr>
            <a:t>Delayed Payment</a:t>
          </a:r>
          <a:endParaRPr lang="en-US" sz="1200" b="1">
            <a:solidFill>
              <a:srgbClr val="EE4266"/>
            </a:solidFill>
            <a:latin typeface="Roboto Black" panose="02000000000000000000" pitchFamily="2" charset="0"/>
            <a:ea typeface="Roboto Black" panose="02000000000000000000" pitchFamily="2" charset="0"/>
          </a:endParaRPr>
        </a:p>
      </xdr:txBody>
    </xdr:sp>
    <xdr:clientData/>
  </xdr:twoCellAnchor>
</xdr:wsDr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win10" refreshedDate="45103.890132986111" backgroundQuery="1" createdVersion="7" refreshedVersion="7" minRefreshableVersion="3" recordCount="0" supportSubquery="1" supportAdvancedDrill="1" xr:uid="{6FD67260-F5AA-4FAF-BDA4-20BE8A2938BE}">
  <cacheSource type="external" connectionId="2"/>
  <cacheFields count="3">
    <cacheField name="[Table1].[Chapter Name].[Chapter Name]" caption="Chapter Name" numFmtId="0" hierarchy="11" level="1">
      <sharedItems count="18">
        <s v="Aproksimasi / Pembulatan"/>
        <s v="Bangun Datar"/>
        <s v="Bangun Ruang"/>
        <s v="Bangun Ruang Sisi Lengkung"/>
        <s v="Bilangan Bulat"/>
        <s v="Grafik, Persamaan, Dan Pertidaksamaan Eksponen Dan Logaritma"/>
        <s v="Kecepatan Dan Debit"/>
        <s v="Kesebangunan Dan Simetri"/>
        <s v="KPK dan FPB"/>
        <s v="Operasi Bilangan Pecahan"/>
        <s v="Pecahan"/>
        <s v="Pengumpulan Dan Penyajian Data"/>
        <s v="Perpangkatan Dan Akar"/>
        <s v="Sistem Koordinat"/>
        <s v="Skala"/>
        <s v="Statistika 6"/>
        <s v="Statistika Wajib"/>
        <s v="Trigonometri"/>
      </sharedItems>
    </cacheField>
    <cacheField name="[Table1].[Overall Status].[Overall Status]" caption="Overall Status" numFmtId="0" hierarchy="19" level="1">
      <sharedItems containsSemiMixedTypes="0" containsNonDate="0" containsString="0"/>
    </cacheField>
    <cacheField name="[Measures].[Count of Question ID]" caption="Count of Question ID" numFmtId="0" hierarchy="29" level="32767"/>
  </cacheFields>
  <cacheHierarchies count="32"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0" unbalanced="0"/>
    <cacheHierarchy uniqueName="[Calendar].[Year]" caption="Year" attribute="1" time="1" defaultMemberUniqueName="[Calendar].[Year].[All]" allUniqueName="[Calendar].[Year].[All]" dimensionUniqueName="[Calendar]" displayFolder="" count="0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0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Calendar].[Week]" caption="Week" attribute="1" time="1" defaultMemberUniqueName="[Calendar].[Week].[All]" allUniqueName="[Calendar].[Week].[All]" dimensionUniqueName="[Calendar]" displayFolder="" count="0" memberValueDatatype="20" unbalanced="0"/>
    <cacheHierarchy uniqueName="[Table1].[Question ID]" caption="Question ID" attribute="1" defaultMemberUniqueName="[Table1].[Question ID].[All]" allUniqueName="[Table1].[Question ID].[All]" dimensionUniqueName="[Table1]" displayFolder="" count="0" memberValueDatatype="130" unbalanced="0"/>
    <cacheHierarchy uniqueName="[Table1].[Grade]" caption="Grade" attribute="1" defaultMemberUniqueName="[Table1].[Grade].[All]" allUniqueName="[Table1].[Grade].[All]" dimensionUniqueName="[Table1]" displayFolder="" count="0" memberValueDatatype="130" unbalanced="0"/>
    <cacheHierarchy uniqueName="[Table1].[Chapter Name]" caption="Chapter Name" attribute="1" defaultMemberUniqueName="[Table1].[Chapter Name].[All]" allUniqueName="[Table1].[Chapter Name].[All]" dimensionUniqueName="[Table1]" displayFolder="" count="2" memberValueDatatype="130" unbalanced="0">
      <fieldsUsage count="2">
        <fieldUsage x="-1"/>
        <fieldUsage x="0"/>
      </fieldsUsage>
    </cacheHierarchy>
    <cacheHierarchy uniqueName="[Table1].[Link to Source]" caption="Link to Source" attribute="1" defaultMemberUniqueName="[Table1].[Link to Source].[All]" allUniqueName="[Table1].[Link to Source].[All]" dimensionUniqueName="[Table1]" displayFolder="" count="0" memberValueDatatype="130" unbalanced="0"/>
    <cacheHierarchy uniqueName="[Table1].[Clickable Link]" caption="Clickable Link" attribute="1" defaultMemberUniqueName="[Table1].[Clickable Link].[All]" allUniqueName="[Table1].[Clickable Link].[All]" dimensionUniqueName="[Table1]" displayFolder="" count="0" memberValueDatatype="130" unbalanced="0"/>
    <cacheHierarchy uniqueName="[Table1].[Assigned]" caption="Assigned" attribute="1" time="1" defaultMemberUniqueName="[Table1].[Assigned].[All]" allUniqueName="[Table1].[Assigned].[All]" dimensionUniqueName="[Table1]" displayFolder="" count="0" memberValueDatatype="7" unbalanced="0"/>
    <cacheHierarchy uniqueName="[Table1].[Deadline]" caption="Deadline" attribute="1" time="1" defaultMemberUniqueName="[Table1].[Deadline].[All]" allUniqueName="[Table1].[Deadline].[All]" dimensionUniqueName="[Table1]" displayFolder="" count="0" memberValueDatatype="7" unbalanced="0"/>
    <cacheHierarchy uniqueName="[Table1].[Deadline (days to go)]" caption="Deadline (days to go)" attribute="1" defaultMemberUniqueName="[Table1].[Deadline (days to go)].[All]" allUniqueName="[Table1].[Deadline (days to go)].[All]" dimensionUniqueName="[Table1]" displayFolder="" count="0" memberValueDatatype="20" unbalanced="0"/>
    <cacheHierarchy uniqueName="[Table1].[Days Since Assignment]" caption="Days Since Assignment" attribute="1" defaultMemberUniqueName="[Table1].[Days Since Assignment].[All]" allUniqueName="[Table1].[Days Since Assignment].[All]" dimensionUniqueName="[Table1]" displayFolder="" count="0" memberValueDatatype="20" unbalanced="0"/>
    <cacheHierarchy uniqueName="[Table1].[Revision Status]" caption="Revision Status" attribute="1" defaultMemberUniqueName="[Table1].[Revision Status].[All]" allUniqueName="[Table1].[Revision Status].[All]" dimensionUniqueName="[Table1]" displayFolder="" count="0" memberValueDatatype="130" unbalanced="0"/>
    <cacheHierarchy uniqueName="[Table1].[Overall Status]" caption="Overall Status" attribute="1" defaultMemberUniqueName="[Table1].[Overall Status].[All]" allUniqueName="[Table1].[Overall Status].[All]" dimensionUniqueName="[Table1]" displayFolder="" count="2" memberValueDatatype="130" unbalanced="0">
      <fieldsUsage count="2">
        <fieldUsage x="-1"/>
        <fieldUsage x="1"/>
      </fieldsUsage>
    </cacheHierarchy>
    <cacheHierarchy uniqueName="[Table1].[Number of Rejection]" caption="Number of Rejection" attribute="1" defaultMemberUniqueName="[Table1].[Number of Rejection].[All]" allUniqueName="[Table1].[Number of Rejection].[All]" dimensionUniqueName="[Table1]" displayFolder="" count="0" memberValueDatatype="20" unbalanced="0"/>
    <cacheHierarchy uniqueName="[Table1].[Long Video]" caption="Long Video" attribute="1" defaultMemberUniqueName="[Table1].[Long Video].[All]" allUniqueName="[Table1].[Long Video].[All]" dimensionUniqueName="[Table1]" displayFolder="" count="0" memberValueDatatype="130" unbalanced="0"/>
    <cacheHierarchy uniqueName="[Table1].[Rate]" caption="Rate" attribute="1" defaultMemberUniqueName="[Table1].[Rate].[All]" allUniqueName="[Table1].[Rate].[All]" dimensionUniqueName="[Table1]" displayFolder="" count="0" memberValueDatatype="20" unbalanced="0"/>
    <cacheHierarchy uniqueName="[Table1].[Payment Status]" caption="Payment Status" attribute="1" defaultMemberUniqueName="[Table1].[Payment Status].[All]" allUniqueName="[Table1].[Payment Status].[All]" dimensionUniqueName="[Table1]" displayFolder="" count="0" memberValueDatatype="130" unbalanced="0"/>
    <cacheHierarchy uniqueName="[Table1].[Submission]" caption="Submission" attribute="1" defaultMemberUniqueName="[Table1].[Submission].[All]" allUniqueName="[Table1].[Submission].[All]" dimensionUniqueName="[Table1]" displayFolder="" count="0" memberValueDatatype="20" unbalanced="0"/>
    <cacheHierarchy uniqueName="[Table1].[Last Submission Date]" caption="Last Submission Date" attribute="1" time="1" defaultMemberUniqueName="[Table1].[Last Submission Date].[All]" allUniqueName="[Table1].[Last Submission Date].[All]" dimensionUniqueName="[Table1]" displayFolder="" count="0" memberValueDatatype="7" unbalanced="0" hidden="1"/>
    <cacheHierarchy uniqueName="[Measures].[__XL_Count Table1]" caption="__XL_Count Table1" measure="1" displayFolder="" measureGroup="Table1" count="0" hidden="1"/>
    <cacheHierarchy uniqueName="[Measures].[__XL_Count Calendar]" caption="__XL_Count Calendar" measure="1" displayFolder="" measureGroup="Calendar" count="0" hidden="1"/>
    <cacheHierarchy uniqueName="[Measures].[__No measures defined]" caption="__No measures defined" measure="1" displayFolder="" count="0" hidden="1"/>
    <cacheHierarchy uniqueName="[Measures].[Count of Question ID]" caption="Count of Question ID" measure="1" displayFolder="" measureGroup="Table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ubmission]" caption="Sum of Submission" measure="1" displayFolder="" measureGroup="Table1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Average of Submission]" caption="Average of Submission" measure="1" displayFolder="" measureGroup="Table1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</cacheHierarchies>
  <kpis count="0"/>
  <dimensions count="3">
    <dimension name="Calendar" uniqueName="[Calendar]" caption="Calendar"/>
    <dimension measure="1" name="Measures" uniqueName="[Measures]" caption="Measures"/>
    <dimension name="Table1" uniqueName="[Table1]" caption="Table1"/>
  </dimensions>
  <measureGroups count="2">
    <measureGroup name="Calendar" caption="Calendar"/>
    <measureGroup name="Table1" caption="Table1"/>
  </measureGroups>
  <maps count="3">
    <map measureGroup="0" dimension="0"/>
    <map measureGroup="1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win10" refreshedDate="45103.890135300928" backgroundQuery="1" createdVersion="7" refreshedVersion="7" minRefreshableVersion="3" recordCount="0" supportSubquery="1" supportAdvancedDrill="1" xr:uid="{68D246E3-1185-4EC4-953F-A546AC446059}">
  <cacheSource type="external" connectionId="2"/>
  <cacheFields count="4">
    <cacheField name="[Calendar].[Week].[Week]" caption="Week" numFmtId="0" hierarchy="8" level="1">
      <sharedItems containsSemiMixedTypes="0" containsString="0" containsNumber="1" containsInteger="1" minValue="1" maxValue="53" count="49"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</sharedItems>
      <extLst>
        <ext xmlns:x15="http://schemas.microsoft.com/office/spreadsheetml/2010/11/main" uri="{4F2E5C28-24EA-4eb8-9CBF-B6C8F9C3D259}">
          <x15:cachedUniqueNames>
            <x15:cachedUniqueName index="0" name="[Calendar].[Week].&amp;[48]"/>
            <x15:cachedUniqueName index="1" name="[Calendar].[Week].&amp;[49]"/>
            <x15:cachedUniqueName index="2" name="[Calendar].[Week].&amp;[50]"/>
            <x15:cachedUniqueName index="3" name="[Calendar].[Week].&amp;[51]"/>
            <x15:cachedUniqueName index="4" name="[Calendar].[Week].&amp;[52]"/>
            <x15:cachedUniqueName index="5" name="[Calendar].[Week].&amp;[53]"/>
            <x15:cachedUniqueName index="6" name="[Calendar].[Week].&amp;[1]"/>
            <x15:cachedUniqueName index="7" name="[Calendar].[Week].&amp;[2]"/>
            <x15:cachedUniqueName index="8" name="[Calendar].[Week].&amp;[3]"/>
            <x15:cachedUniqueName index="9" name="[Calendar].[Week].&amp;[4]"/>
            <x15:cachedUniqueName index="10" name="[Calendar].[Week].&amp;[5]"/>
            <x15:cachedUniqueName index="11" name="[Calendar].[Week].&amp;[6]"/>
            <x15:cachedUniqueName index="12" name="[Calendar].[Week].&amp;[7]"/>
            <x15:cachedUniqueName index="13" name="[Calendar].[Week].&amp;[8]"/>
            <x15:cachedUniqueName index="14" name="[Calendar].[Week].&amp;[9]"/>
            <x15:cachedUniqueName index="15" name="[Calendar].[Week].&amp;[10]"/>
            <x15:cachedUniqueName index="16" name="[Calendar].[Week].&amp;[11]"/>
            <x15:cachedUniqueName index="17" name="[Calendar].[Week].&amp;[12]"/>
            <x15:cachedUniqueName index="18" name="[Calendar].[Week].&amp;[13]"/>
            <x15:cachedUniqueName index="19" name="[Calendar].[Week].&amp;[14]"/>
            <x15:cachedUniqueName index="20" name="[Calendar].[Week].&amp;[15]"/>
            <x15:cachedUniqueName index="21" name="[Calendar].[Week].&amp;[16]"/>
            <x15:cachedUniqueName index="22" name="[Calendar].[Week].&amp;[17]"/>
            <x15:cachedUniqueName index="23" name="[Calendar].[Week].&amp;[18]"/>
            <x15:cachedUniqueName index="24" name="[Calendar].[Week].&amp;[19]"/>
            <x15:cachedUniqueName index="25" name="[Calendar].[Week].&amp;[20]"/>
            <x15:cachedUniqueName index="26" name="[Calendar].[Week].&amp;[21]"/>
            <x15:cachedUniqueName index="27" name="[Calendar].[Week].&amp;[22]"/>
            <x15:cachedUniqueName index="28" name="[Calendar].[Week].&amp;[23]"/>
            <x15:cachedUniqueName index="29" name="[Calendar].[Week].&amp;[24]"/>
            <x15:cachedUniqueName index="30" name="[Calendar].[Week].&amp;[25]"/>
            <x15:cachedUniqueName index="31" name="[Calendar].[Week].&amp;[26]"/>
            <x15:cachedUniqueName index="32" name="[Calendar].[Week].&amp;[27]"/>
            <x15:cachedUniqueName index="33" name="[Calendar].[Week].&amp;[28]"/>
            <x15:cachedUniqueName index="34" name="[Calendar].[Week].&amp;[29]"/>
            <x15:cachedUniqueName index="35" name="[Calendar].[Week].&amp;[30]"/>
            <x15:cachedUniqueName index="36" name="[Calendar].[Week].&amp;[31]"/>
            <x15:cachedUniqueName index="37" name="[Calendar].[Week].&amp;[32]"/>
            <x15:cachedUniqueName index="38" name="[Calendar].[Week].&amp;[33]"/>
            <x15:cachedUniqueName index="39" name="[Calendar].[Week].&amp;[34]"/>
            <x15:cachedUniqueName index="40" name="[Calendar].[Week].&amp;[35]"/>
            <x15:cachedUniqueName index="41" name="[Calendar].[Week].&amp;[36]"/>
            <x15:cachedUniqueName index="42" name="[Calendar].[Week].&amp;[37]"/>
            <x15:cachedUniqueName index="43" name="[Calendar].[Week].&amp;[38]"/>
            <x15:cachedUniqueName index="44" name="[Calendar].[Week].&amp;[39]"/>
            <x15:cachedUniqueName index="45" name="[Calendar].[Week].&amp;[40]"/>
            <x15:cachedUniqueName index="46" name="[Calendar].[Week].&amp;[41]"/>
            <x15:cachedUniqueName index="47" name="[Calendar].[Week].&amp;[42]"/>
            <x15:cachedUniqueName index="48" name="[Calendar].[Week].&amp;[43]"/>
          </x15:cachedUniqueNames>
        </ext>
      </extLst>
    </cacheField>
    <cacheField name="[Calendar].[Year].[Year]" caption="Year" numFmtId="0" hierarchy="2" level="1">
      <sharedItems containsSemiMixedTypes="0" containsString="0" containsNumber="1" containsInteger="1" minValue="2020" maxValue="2021" count="2">
        <n v="2020"/>
        <n v="2021"/>
      </sharedItems>
      <extLst>
        <ext xmlns:x15="http://schemas.microsoft.com/office/spreadsheetml/2010/11/main" uri="{4F2E5C28-24EA-4eb8-9CBF-B6C8F9C3D259}">
          <x15:cachedUniqueNames>
            <x15:cachedUniqueName index="0" name="[Calendar].[Year].&amp;[2020]"/>
            <x15:cachedUniqueName index="1" name="[Calendar].[Year].&amp;[2021]"/>
          </x15:cachedUniqueNames>
        </ext>
      </extLst>
    </cacheField>
    <cacheField name="[Measures].[Count of Question ID]" caption="Count of Question ID" numFmtId="0" hierarchy="29" level="32767"/>
    <cacheField name="[Table1].[Overall Status].[Overall Status]" caption="Overall Status" numFmtId="0" hierarchy="19" level="1">
      <sharedItems containsSemiMixedTypes="0" containsNonDate="0" containsString="0"/>
    </cacheField>
  </cacheFields>
  <cacheHierarchies count="32"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0" unbalanced="0"/>
    <cacheHierarchy uniqueName="[Calendar].[Year]" caption="Year" attribute="1" time="1" defaultMemberUniqueName="[Calendar].[Year].[All]" allUniqueName="[Calendar].[Year].[All]" dimensionUniqueName="[Calendar]" displayFolder="" count="2" memberValueDatatype="20" unbalanced="0">
      <fieldsUsage count="2">
        <fieldUsage x="-1"/>
        <fieldUsage x="1"/>
      </fieldsUsage>
    </cacheHierarchy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0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Calendar].[Week]" caption="Week" attribute="1" time="1" defaultMemberUniqueName="[Calendar].[Week].[All]" allUniqueName="[Calendar].[Week].[All]" dimensionUniqueName="[Calendar]" displayFolder="" count="2" memberValueDatatype="20" unbalanced="0">
      <fieldsUsage count="2">
        <fieldUsage x="-1"/>
        <fieldUsage x="0"/>
      </fieldsUsage>
    </cacheHierarchy>
    <cacheHierarchy uniqueName="[Table1].[Question ID]" caption="Question ID" attribute="1" defaultMemberUniqueName="[Table1].[Question ID].[All]" allUniqueName="[Table1].[Question ID].[All]" dimensionUniqueName="[Table1]" displayFolder="" count="0" memberValueDatatype="130" unbalanced="0"/>
    <cacheHierarchy uniqueName="[Table1].[Grade]" caption="Grade" attribute="1" defaultMemberUniqueName="[Table1].[Grade].[All]" allUniqueName="[Table1].[Grade].[All]" dimensionUniqueName="[Table1]" displayFolder="" count="0" memberValueDatatype="130" unbalanced="0"/>
    <cacheHierarchy uniqueName="[Table1].[Chapter Name]" caption="Chapter Name" attribute="1" defaultMemberUniqueName="[Table1].[Chapter Name].[All]" allUniqueName="[Table1].[Chapter Name].[All]" dimensionUniqueName="[Table1]" displayFolder="" count="0" memberValueDatatype="130" unbalanced="0"/>
    <cacheHierarchy uniqueName="[Table1].[Link to Source]" caption="Link to Source" attribute="1" defaultMemberUniqueName="[Table1].[Link to Source].[All]" allUniqueName="[Table1].[Link to Source].[All]" dimensionUniqueName="[Table1]" displayFolder="" count="0" memberValueDatatype="130" unbalanced="0"/>
    <cacheHierarchy uniqueName="[Table1].[Clickable Link]" caption="Clickable Link" attribute="1" defaultMemberUniqueName="[Table1].[Clickable Link].[All]" allUniqueName="[Table1].[Clickable Link].[All]" dimensionUniqueName="[Table1]" displayFolder="" count="0" memberValueDatatype="130" unbalanced="0"/>
    <cacheHierarchy uniqueName="[Table1].[Assigned]" caption="Assigned" attribute="1" time="1" defaultMemberUniqueName="[Table1].[Assigned].[All]" allUniqueName="[Table1].[Assigned].[All]" dimensionUniqueName="[Table1]" displayFolder="" count="0" memberValueDatatype="7" unbalanced="0"/>
    <cacheHierarchy uniqueName="[Table1].[Deadline]" caption="Deadline" attribute="1" time="1" defaultMemberUniqueName="[Table1].[Deadline].[All]" allUniqueName="[Table1].[Deadline].[All]" dimensionUniqueName="[Table1]" displayFolder="" count="0" memberValueDatatype="7" unbalanced="0"/>
    <cacheHierarchy uniqueName="[Table1].[Deadline (days to go)]" caption="Deadline (days to go)" attribute="1" defaultMemberUniqueName="[Table1].[Deadline (days to go)].[All]" allUniqueName="[Table1].[Deadline (days to go)].[All]" dimensionUniqueName="[Table1]" displayFolder="" count="0" memberValueDatatype="20" unbalanced="0"/>
    <cacheHierarchy uniqueName="[Table1].[Days Since Assignment]" caption="Days Since Assignment" attribute="1" defaultMemberUniqueName="[Table1].[Days Since Assignment].[All]" allUniqueName="[Table1].[Days Since Assignment].[All]" dimensionUniqueName="[Table1]" displayFolder="" count="0" memberValueDatatype="20" unbalanced="0"/>
    <cacheHierarchy uniqueName="[Table1].[Revision Status]" caption="Revision Status" attribute="1" defaultMemberUniqueName="[Table1].[Revision Status].[All]" allUniqueName="[Table1].[Revision Status].[All]" dimensionUniqueName="[Table1]" displayFolder="" count="0" memberValueDatatype="130" unbalanced="0"/>
    <cacheHierarchy uniqueName="[Table1].[Overall Status]" caption="Overall Status" attribute="1" defaultMemberUniqueName="[Table1].[Overall Status].[All]" allUniqueName="[Table1].[Overall Status].[All]" dimensionUniqueName="[Table1]" displayFolder="" count="2" memberValueDatatype="130" unbalanced="0">
      <fieldsUsage count="2">
        <fieldUsage x="-1"/>
        <fieldUsage x="3"/>
      </fieldsUsage>
    </cacheHierarchy>
    <cacheHierarchy uniqueName="[Table1].[Number of Rejection]" caption="Number of Rejection" attribute="1" defaultMemberUniqueName="[Table1].[Number of Rejection].[All]" allUniqueName="[Table1].[Number of Rejection].[All]" dimensionUniqueName="[Table1]" displayFolder="" count="0" memberValueDatatype="20" unbalanced="0"/>
    <cacheHierarchy uniqueName="[Table1].[Long Video]" caption="Long Video" attribute="1" defaultMemberUniqueName="[Table1].[Long Video].[All]" allUniqueName="[Table1].[Long Video].[All]" dimensionUniqueName="[Table1]" displayFolder="" count="0" memberValueDatatype="130" unbalanced="0"/>
    <cacheHierarchy uniqueName="[Table1].[Rate]" caption="Rate" attribute="1" defaultMemberUniqueName="[Table1].[Rate].[All]" allUniqueName="[Table1].[Rate].[All]" dimensionUniqueName="[Table1]" displayFolder="" count="0" memberValueDatatype="20" unbalanced="0"/>
    <cacheHierarchy uniqueName="[Table1].[Payment Status]" caption="Payment Status" attribute="1" defaultMemberUniqueName="[Table1].[Payment Status].[All]" allUniqueName="[Table1].[Payment Status].[All]" dimensionUniqueName="[Table1]" displayFolder="" count="0" memberValueDatatype="130" unbalanced="0"/>
    <cacheHierarchy uniqueName="[Table1].[Submission]" caption="Submission" attribute="1" defaultMemberUniqueName="[Table1].[Submission].[All]" allUniqueName="[Table1].[Submission].[All]" dimensionUniqueName="[Table1]" displayFolder="" count="0" memberValueDatatype="20" unbalanced="0"/>
    <cacheHierarchy uniqueName="[Table1].[Last Submission Date]" caption="Last Submission Date" attribute="1" time="1" defaultMemberUniqueName="[Table1].[Last Submission Date].[All]" allUniqueName="[Table1].[Last Submission Date].[All]" dimensionUniqueName="[Table1]" displayFolder="" count="0" memberValueDatatype="7" unbalanced="0" hidden="1"/>
    <cacheHierarchy uniqueName="[Measures].[__XL_Count Table1]" caption="__XL_Count Table1" measure="1" displayFolder="" measureGroup="Table1" count="0" hidden="1"/>
    <cacheHierarchy uniqueName="[Measures].[__XL_Count Calendar]" caption="__XL_Count Calendar" measure="1" displayFolder="" measureGroup="Calendar" count="0" hidden="1"/>
    <cacheHierarchy uniqueName="[Measures].[__No measures defined]" caption="__No measures defined" measure="1" displayFolder="" count="0" hidden="1"/>
    <cacheHierarchy uniqueName="[Measures].[Count of Question ID]" caption="Count of Question ID" measure="1" displayFolder="" measureGroup="Table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ubmission]" caption="Sum of Submission" measure="1" displayFolder="" measureGroup="Table1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Average of Submission]" caption="Average of Submission" measure="1" displayFolder="" measureGroup="Table1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</cacheHierarchies>
  <kpis count="0"/>
  <dimensions count="3">
    <dimension name="Calendar" uniqueName="[Calendar]" caption="Calendar"/>
    <dimension measure="1" name="Measures" uniqueName="[Measures]" caption="Measures"/>
    <dimension name="Table1" uniqueName="[Table1]" caption="Table1"/>
  </dimensions>
  <measureGroups count="2">
    <measureGroup name="Calendar" caption="Calendar"/>
    <measureGroup name="Table1" caption="Table1"/>
  </measureGroups>
  <maps count="3">
    <map measureGroup="0" dimension="0"/>
    <map measureGroup="1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win10" refreshedDate="45103.890136574075" backgroundQuery="1" createdVersion="7" refreshedVersion="7" minRefreshableVersion="3" recordCount="0" supportSubquery="1" supportAdvancedDrill="1" xr:uid="{54244096-0E6D-4BD0-A1F6-69DAB44B8E57}">
  <cacheSource type="external" connectionId="2"/>
  <cacheFields count="2">
    <cacheField name="[Calendar].[Day Of Week].[Day Of Week]" caption="Day Of Week" numFmtId="0" hierarchy="7" level="1">
      <sharedItems count="7">
        <s v="Sunday"/>
        <s v="Monday"/>
        <s v="Tuesday"/>
        <s v="Wednesday"/>
        <s v="Thursday"/>
        <s v="Friday"/>
        <s v="Saturday"/>
      </sharedItems>
    </cacheField>
    <cacheField name="[Measures].[Sum of Submission]" caption="Sum of Submission" numFmtId="0" hierarchy="30" level="32767"/>
  </cacheFields>
  <cacheHierarchies count="32"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0" unbalanced="0"/>
    <cacheHierarchy uniqueName="[Calendar].[Year]" caption="Year" attribute="1" time="1" defaultMemberUniqueName="[Calendar].[Year].[All]" allUniqueName="[Calendar].[Year].[All]" dimensionUniqueName="[Calendar]" displayFolder="" count="0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0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2" memberValueDatatype="130" unbalanced="0">
      <fieldsUsage count="2">
        <fieldUsage x="-1"/>
        <fieldUsage x="0"/>
      </fieldsUsage>
    </cacheHierarchy>
    <cacheHierarchy uniqueName="[Calendar].[Week]" caption="Week" attribute="1" time="1" defaultMemberUniqueName="[Calendar].[Week].[All]" allUniqueName="[Calendar].[Week].[All]" dimensionUniqueName="[Calendar]" displayFolder="" count="0" memberValueDatatype="20" unbalanced="0"/>
    <cacheHierarchy uniqueName="[Table1].[Question ID]" caption="Question ID" attribute="1" defaultMemberUniqueName="[Table1].[Question ID].[All]" allUniqueName="[Table1].[Question ID].[All]" dimensionUniqueName="[Table1]" displayFolder="" count="0" memberValueDatatype="130" unbalanced="0"/>
    <cacheHierarchy uniqueName="[Table1].[Grade]" caption="Grade" attribute="1" defaultMemberUniqueName="[Table1].[Grade].[All]" allUniqueName="[Table1].[Grade].[All]" dimensionUniqueName="[Table1]" displayFolder="" count="0" memberValueDatatype="130" unbalanced="0"/>
    <cacheHierarchy uniqueName="[Table1].[Chapter Name]" caption="Chapter Name" attribute="1" defaultMemberUniqueName="[Table1].[Chapter Name].[All]" allUniqueName="[Table1].[Chapter Name].[All]" dimensionUniqueName="[Table1]" displayFolder="" count="0" memberValueDatatype="130" unbalanced="0"/>
    <cacheHierarchy uniqueName="[Table1].[Link to Source]" caption="Link to Source" attribute="1" defaultMemberUniqueName="[Table1].[Link to Source].[All]" allUniqueName="[Table1].[Link to Source].[All]" dimensionUniqueName="[Table1]" displayFolder="" count="0" memberValueDatatype="130" unbalanced="0"/>
    <cacheHierarchy uniqueName="[Table1].[Clickable Link]" caption="Clickable Link" attribute="1" defaultMemberUniqueName="[Table1].[Clickable Link].[All]" allUniqueName="[Table1].[Clickable Link].[All]" dimensionUniqueName="[Table1]" displayFolder="" count="0" memberValueDatatype="130" unbalanced="0"/>
    <cacheHierarchy uniqueName="[Table1].[Assigned]" caption="Assigned" attribute="1" time="1" defaultMemberUniqueName="[Table1].[Assigned].[All]" allUniqueName="[Table1].[Assigned].[All]" dimensionUniqueName="[Table1]" displayFolder="" count="0" memberValueDatatype="7" unbalanced="0"/>
    <cacheHierarchy uniqueName="[Table1].[Deadline]" caption="Deadline" attribute="1" time="1" defaultMemberUniqueName="[Table1].[Deadline].[All]" allUniqueName="[Table1].[Deadline].[All]" dimensionUniqueName="[Table1]" displayFolder="" count="0" memberValueDatatype="7" unbalanced="0"/>
    <cacheHierarchy uniqueName="[Table1].[Deadline (days to go)]" caption="Deadline (days to go)" attribute="1" defaultMemberUniqueName="[Table1].[Deadline (days to go)].[All]" allUniqueName="[Table1].[Deadline (days to go)].[All]" dimensionUniqueName="[Table1]" displayFolder="" count="0" memberValueDatatype="20" unbalanced="0"/>
    <cacheHierarchy uniqueName="[Table1].[Days Since Assignment]" caption="Days Since Assignment" attribute="1" defaultMemberUniqueName="[Table1].[Days Since Assignment].[All]" allUniqueName="[Table1].[Days Since Assignment].[All]" dimensionUniqueName="[Table1]" displayFolder="" count="0" memberValueDatatype="20" unbalanced="0"/>
    <cacheHierarchy uniqueName="[Table1].[Revision Status]" caption="Revision Status" attribute="1" defaultMemberUniqueName="[Table1].[Revision Status].[All]" allUniqueName="[Table1].[Revision Status].[All]" dimensionUniqueName="[Table1]" displayFolder="" count="0" memberValueDatatype="130" unbalanced="0"/>
    <cacheHierarchy uniqueName="[Table1].[Overall Status]" caption="Overall Status" attribute="1" defaultMemberUniqueName="[Table1].[Overall Status].[All]" allUniqueName="[Table1].[Overall Status].[All]" dimensionUniqueName="[Table1]" displayFolder="" count="0" memberValueDatatype="130" unbalanced="0"/>
    <cacheHierarchy uniqueName="[Table1].[Number of Rejection]" caption="Number of Rejection" attribute="1" defaultMemberUniqueName="[Table1].[Number of Rejection].[All]" allUniqueName="[Table1].[Number of Rejection].[All]" dimensionUniqueName="[Table1]" displayFolder="" count="0" memberValueDatatype="20" unbalanced="0"/>
    <cacheHierarchy uniqueName="[Table1].[Long Video]" caption="Long Video" attribute="1" defaultMemberUniqueName="[Table1].[Long Video].[All]" allUniqueName="[Table1].[Long Video].[All]" dimensionUniqueName="[Table1]" displayFolder="" count="0" memberValueDatatype="130" unbalanced="0"/>
    <cacheHierarchy uniqueName="[Table1].[Rate]" caption="Rate" attribute="1" defaultMemberUniqueName="[Table1].[Rate].[All]" allUniqueName="[Table1].[Rate].[All]" dimensionUniqueName="[Table1]" displayFolder="" count="0" memberValueDatatype="20" unbalanced="0"/>
    <cacheHierarchy uniqueName="[Table1].[Payment Status]" caption="Payment Status" attribute="1" defaultMemberUniqueName="[Table1].[Payment Status].[All]" allUniqueName="[Table1].[Payment Status].[All]" dimensionUniqueName="[Table1]" displayFolder="" count="0" memberValueDatatype="130" unbalanced="0"/>
    <cacheHierarchy uniqueName="[Table1].[Submission]" caption="Submission" attribute="1" defaultMemberUniqueName="[Table1].[Submission].[All]" allUniqueName="[Table1].[Submission].[All]" dimensionUniqueName="[Table1]" displayFolder="" count="0" memberValueDatatype="20" unbalanced="0"/>
    <cacheHierarchy uniqueName="[Table1].[Last Submission Date]" caption="Last Submission Date" attribute="1" time="1" defaultMemberUniqueName="[Table1].[Last Submission Date].[All]" allUniqueName="[Table1].[Last Submission Date].[All]" dimensionUniqueName="[Table1]" displayFolder="" count="0" memberValueDatatype="7" unbalanced="0" hidden="1"/>
    <cacheHierarchy uniqueName="[Measures].[__XL_Count Table1]" caption="__XL_Count Table1" measure="1" displayFolder="" measureGroup="Table1" count="0" hidden="1"/>
    <cacheHierarchy uniqueName="[Measures].[__XL_Count Calendar]" caption="__XL_Count Calendar" measure="1" displayFolder="" measureGroup="Calendar" count="0" hidden="1"/>
    <cacheHierarchy uniqueName="[Measures].[__No measures defined]" caption="__No measures defined" measure="1" displayFolder="" count="0" hidden="1"/>
    <cacheHierarchy uniqueName="[Measures].[Count of Question ID]" caption="Count of Question ID" measure="1" displayFolder="" measureGroup="Table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ubmission]" caption="Sum of Submission" measure="1" displayFolder="" measureGroup="Table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Average of Submission]" caption="Average of Submission" measure="1" displayFolder="" measureGroup="Table1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</cacheHierarchies>
  <kpis count="0"/>
  <dimensions count="3">
    <dimension name="Calendar" uniqueName="[Calendar]" caption="Calendar"/>
    <dimension measure="1" name="Measures" uniqueName="[Measures]" caption="Measures"/>
    <dimension name="Table1" uniqueName="[Table1]" caption="Table1"/>
  </dimensions>
  <measureGroups count="2">
    <measureGroup name="Calendar" caption="Calendar"/>
    <measureGroup name="Table1" caption="Table1"/>
  </measureGroups>
  <maps count="3">
    <map measureGroup="0" dimension="0"/>
    <map measureGroup="1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10" refreshedDate="45103.890138773146" createdVersion="5" refreshedVersion="7" minRefreshableVersion="3" recordCount="1204" xr:uid="{00000000-000A-0000-FFFF-FFFF0D000000}">
  <cacheSource type="worksheet">
    <worksheetSource ref="A1:P1205" sheet="Data"/>
  </cacheSource>
  <cacheFields count="16">
    <cacheField name="Question ID" numFmtId="0">
      <sharedItems/>
    </cacheField>
    <cacheField name="Grade" numFmtId="0">
      <sharedItems/>
    </cacheField>
    <cacheField name="Chapter Name" numFmtId="0">
      <sharedItems/>
    </cacheField>
    <cacheField name="Link to Source" numFmtId="0">
      <sharedItems/>
    </cacheField>
    <cacheField name="Clickable Link" numFmtId="0">
      <sharedItems/>
    </cacheField>
    <cacheField name="Assigned" numFmtId="14">
      <sharedItems containsSemiMixedTypes="0" containsNonDate="0" containsDate="1" containsString="0" minDate="2020-09-22T00:00:00" maxDate="2021-10-12T00:00:00"/>
    </cacheField>
    <cacheField name="Deadline" numFmtId="14">
      <sharedItems containsSemiMixedTypes="0" containsNonDate="0" containsDate="1" containsString="0" minDate="2020-09-29T00:00:00" maxDate="2021-10-25T00:00:00" count="75">
        <d v="2020-10-27T00:00:00"/>
        <d v="2020-11-05T00:00:00"/>
        <d v="2020-11-07T00:00:00"/>
        <d v="2020-11-20T00:00:00"/>
        <d v="2020-09-30T00:00:00"/>
        <d v="2020-10-01T00:00:00"/>
        <d v="2020-10-05T00:00:00"/>
        <d v="2020-10-06T00:00:00"/>
        <d v="2020-12-10T00:00:00"/>
        <d v="2020-12-11T00:00:00"/>
        <d v="2020-12-29T00:00:00"/>
        <d v="2020-12-30T00:00:00"/>
        <d v="2021-01-15T00:00:00"/>
        <d v="2020-09-29T00:00:00"/>
        <d v="2020-10-08T00:00:00"/>
        <d v="2021-01-27T00:00:00"/>
        <d v="2021-01-29T00:00:00"/>
        <d v="2021-02-05T00:00:00"/>
        <d v="2021-02-10T00:00:00"/>
        <d v="2021-02-12T00:00:00"/>
        <d v="2021-02-18T00:00:00"/>
        <d v="2021-02-23T00:00:00"/>
        <d v="2021-03-02T00:00:00"/>
        <d v="2021-03-16T00:00:00"/>
        <d v="2021-03-23T00:00:00"/>
        <d v="2021-03-24T00:00:00"/>
        <d v="2021-03-25T00:00:00"/>
        <d v="2021-03-30T00:00:00"/>
        <d v="2021-03-31T00:00:00"/>
        <d v="2021-04-03T00:00:00"/>
        <d v="2021-04-12T00:00:00"/>
        <d v="2021-04-14T00:00:00"/>
        <d v="2021-04-15T00:00:00"/>
        <d v="2021-04-19T00:00:00"/>
        <d v="2021-04-22T00:00:00"/>
        <d v="2021-04-26T00:00:00"/>
        <d v="2021-05-03T00:00:00"/>
        <d v="2021-05-11T00:00:00"/>
        <d v="2021-05-17T00:00:00"/>
        <d v="2021-06-13T00:00:00"/>
        <d v="2021-06-16T00:00:00"/>
        <d v="2021-06-24T00:00:00"/>
        <d v="2021-06-26T00:00:00"/>
        <d v="2021-07-01T00:00:00"/>
        <d v="2021-07-04T00:00:00"/>
        <d v="2021-07-11T00:00:00"/>
        <d v="2021-07-18T00:00:00"/>
        <d v="2021-07-25T00:00:00"/>
        <d v="2021-08-01T00:00:00"/>
        <d v="2021-08-08T00:00:00"/>
        <d v="2021-08-29T00:00:00"/>
        <d v="2021-08-15T00:00:00"/>
        <d v="2021-08-22T00:00:00"/>
        <d v="2021-09-02T00:00:00"/>
        <d v="2021-08-26T00:00:00"/>
        <d v="2021-09-12T00:00:00"/>
        <d v="2021-09-05T00:00:00"/>
        <d v="2021-10-03T00:00:00"/>
        <d v="2021-09-11T00:00:00"/>
        <d v="2021-09-09T00:00:00"/>
        <d v="2021-09-16T00:00:00"/>
        <d v="2021-09-17T00:00:00"/>
        <d v="2021-09-19T00:00:00"/>
        <d v="2021-09-23T00:00:00"/>
        <d v="2021-09-26T00:00:00"/>
        <d v="2021-10-10T00:00:00"/>
        <d v="2021-09-30T00:00:00"/>
        <d v="2021-10-14T00:00:00"/>
        <d v="2021-10-17T00:00:00"/>
        <d v="2021-10-24T00:00:00"/>
        <d v="2020-10-16T00:00:00"/>
        <d v="2020-12-14T00:00:00"/>
        <d v="2020-12-25T00:00:00"/>
        <d v="2021-09-13T00:00:00"/>
        <d v="2021-09-22T00:00:00"/>
      </sharedItems>
      <fieldGroup base="6">
        <rangePr groupBy="years" startDate="2020-09-29T00:00:00" endDate="2021-10-25T00:00:00"/>
        <groupItems count="4">
          <s v="&lt;9/29/2020"/>
          <s v="2020"/>
          <s v="2021"/>
          <s v="&gt;10/25/2021"/>
        </groupItems>
      </fieldGroup>
    </cacheField>
    <cacheField name="Deadline (days to go)" numFmtId="1">
      <sharedItems containsSemiMixedTypes="0" containsString="0" containsNumber="1" containsInteger="1" minValue="-1000" maxValue="-610"/>
    </cacheField>
    <cacheField name="Last Submission Date" numFmtId="0">
      <sharedItems containsNonDate="0" containsDate="1" containsString="0" containsBlank="1" minDate="2020-11-26T00:00:00" maxDate="2021-10-25T00:00:00" count="132">
        <d v="2020-11-26T00:00:00"/>
        <d v="2020-11-27T00:00:00"/>
        <d v="2020-11-28T00:00:00"/>
        <d v="2020-11-30T00:00:00"/>
        <d v="2020-12-02T00:00:00"/>
        <d v="2020-12-04T00:00:00"/>
        <d v="2020-12-13T00:00:00"/>
        <d v="2020-12-14T00:00:00"/>
        <d v="2020-12-23T00:00:00"/>
        <d v="2020-12-25T00:00:00"/>
        <d v="2020-12-26T00:00:00"/>
        <d v="2021-01-18T00:00:00"/>
        <d v="2021-01-22T00:00:00"/>
        <d v="2021-01-23T00:00:00"/>
        <d v="2021-01-24T00:00:00"/>
        <d v="2021-01-27T00:00:00"/>
        <d v="2021-01-29T00:00:00"/>
        <d v="2021-02-01T00:00:00"/>
        <d v="2021-02-04T00:00:00"/>
        <d v="2021-02-05T00:00:00"/>
        <d v="2021-02-08T00:00:00"/>
        <d v="2021-02-09T00:00:00"/>
        <d v="2021-02-13T00:00:00"/>
        <d v="2021-02-17T00:00:00"/>
        <d v="2021-02-18T00:00:00"/>
        <d v="2021-02-21T00:00:00"/>
        <d v="2021-02-25T00:00:00"/>
        <d v="2021-02-28T00:00:00"/>
        <d v="2021-03-05T00:00:00"/>
        <d v="2021-03-06T00:00:00"/>
        <d v="2021-03-07T00:00:00"/>
        <d v="2021-03-13T00:00:00"/>
        <d v="2021-03-14T00:00:00"/>
        <d v="2021-03-18T00:00:00"/>
        <d v="2021-03-19T00:00:00"/>
        <d v="2021-03-23T00:00:00"/>
        <d v="2021-03-24T00:00:00"/>
        <d v="2021-03-27T00:00:00"/>
        <d v="2021-03-28T00:00:00"/>
        <d v="2021-04-07T00:00:00"/>
        <d v="2021-04-08T00:00:00"/>
        <d v="2021-04-09T00:00:00"/>
        <d v="2021-04-11T00:00:00"/>
        <d v="2021-04-15T00:00:00"/>
        <d v="2021-04-18T00:00:00"/>
        <d v="2021-04-20T00:00:00"/>
        <d v="2021-04-22T00:00:00"/>
        <d v="2021-04-25T00:00:00"/>
        <d v="2021-05-02T00:00:00"/>
        <d v="2021-05-06T00:00:00"/>
        <d v="2021-05-15T00:00:00"/>
        <d v="2021-05-16T00:00:00"/>
        <d v="2021-05-23T00:00:00"/>
        <d v="2021-06-10T00:00:00"/>
        <d v="2021-06-13T00:00:00"/>
        <d v="2021-06-17T00:00:00"/>
        <d v="2021-06-19T00:00:00"/>
        <d v="2021-06-20T00:00:00"/>
        <d v="2021-06-24T00:00:00"/>
        <d v="2021-06-26T00:00:00"/>
        <d v="2021-06-27T00:00:00"/>
        <d v="2021-06-29T00:00:00"/>
        <d v="2021-06-30T00:00:00"/>
        <d v="2021-07-01T00:00:00"/>
        <d v="2021-07-02T00:00:00"/>
        <d v="2021-07-03T00:00:00"/>
        <d v="2021-07-04T00:00:00"/>
        <d v="2021-07-05T00:00:00"/>
        <d v="2021-07-06T00:00:00"/>
        <d v="2021-07-07T00:00:00"/>
        <d v="2021-07-08T00:00:00"/>
        <d v="2021-07-09T00:00:00"/>
        <d v="2021-07-11T00:00:00"/>
        <d v="2021-07-14T00:00:00"/>
        <d v="2021-07-15T00:00:00"/>
        <d v="2021-07-17T00:00:00"/>
        <d v="2021-07-18T00:00:00"/>
        <d v="2021-07-24T00:00:00"/>
        <d v="2021-07-25T00:00:00"/>
        <d v="2021-07-27T00:00:00"/>
        <d v="2021-07-29T00:00:00"/>
        <d v="2021-08-01T00:00:00"/>
        <d v="2021-08-02T00:00:00"/>
        <d v="2021-08-03T00:00:00"/>
        <d v="2021-08-04T00:00:00"/>
        <d v="2021-08-05T00:00:00"/>
        <d v="2021-08-06T00:00:00"/>
        <d v="2021-08-07T00:00:00"/>
        <d v="2021-08-08T00:00:00"/>
        <d v="2021-08-11T00:00:00"/>
        <d v="2021-08-13T00:00:00"/>
        <d v="2021-08-14T00:00:00"/>
        <d v="2021-08-15T00:00:00"/>
        <d v="2021-08-17T00:00:00"/>
        <d v="2021-08-18T00:00:00"/>
        <d v="2021-08-19T00:00:00"/>
        <d v="2021-08-21T00:00:00"/>
        <d v="2021-08-22T00:00:00"/>
        <d v="2021-08-24T00:00:00"/>
        <d v="2021-08-25T00:00:00"/>
        <d v="2021-08-26T00:00:00"/>
        <d v="2021-08-27T00:00:00"/>
        <d v="2021-08-28T00:00:00"/>
        <d v="2021-08-29T00:00:00"/>
        <d v="2021-09-01T00:00:00"/>
        <d v="2021-09-02T00:00:00"/>
        <d v="2021-09-04T00:00:00"/>
        <d v="2021-09-05T00:00:00"/>
        <d v="2021-09-07T00:00:00"/>
        <d v="2021-09-08T00:00:00"/>
        <d v="2021-09-09T00:00:00"/>
        <d v="2021-09-11T00:00:00"/>
        <d v="2021-09-12T00:00:00"/>
        <d v="2021-09-15T00:00:00"/>
        <d v="2021-09-16T00:00:00"/>
        <d v="2021-09-18T00:00:00"/>
        <d v="2021-09-19T00:00:00"/>
        <d v="2021-09-21T00:00:00"/>
        <d v="2021-09-22T00:00:00"/>
        <d v="2021-09-23T00:00:00"/>
        <d v="2021-09-26T00:00:00"/>
        <d v="2021-09-28T00:00:00"/>
        <d v="2021-09-30T00:00:00"/>
        <d v="2021-10-03T00:00:00"/>
        <d v="2021-10-06T00:00:00"/>
        <d v="2021-10-08T00:00:00"/>
        <d v="2021-10-09T00:00:00"/>
        <d v="2021-10-10T00:00:00"/>
        <d v="2021-10-13T00:00:00"/>
        <d v="2021-10-16T00:00:00"/>
        <d v="2021-10-24T00:00:00"/>
        <m/>
      </sharedItems>
      <fieldGroup base="8">
        <rangePr groupBy="days" startDate="2020-11-26T00:00:00" endDate="2021-10-25T00:00:00" groupInterval="7"/>
        <groupItems count="50">
          <s v="(blank)"/>
          <s v="11/26/2020 - 12/2/2020"/>
          <s v="12/3/2020 - 12/9/2020"/>
          <s v="12/10/2020 - 12/16/2020"/>
          <s v="12/17/2020 - 12/23/2020"/>
          <s v="12/24/2020 - 12/30/2020"/>
          <s v="12/31/2020 - 1/6/2021"/>
          <s v="1/7/2021 - 1/13/2021"/>
          <s v="1/14/2021 - 1/20/2021"/>
          <s v="1/21/2021 - 1/27/2021"/>
          <s v="1/28/2021 - 2/3/2021"/>
          <s v="2/4/2021 - 2/10/2021"/>
          <s v="2/11/2021 - 2/17/2021"/>
          <s v="2/18/2021 - 2/24/2021"/>
          <s v="2/25/2021 - 3/3/2021"/>
          <s v="3/4/2021 - 3/10/2021"/>
          <s v="3/11/2021 - 3/17/2021"/>
          <s v="3/18/2021 - 3/24/2021"/>
          <s v="3/25/2021 - 3/31/2021"/>
          <s v="4/1/2021 - 4/7/2021"/>
          <s v="4/8/2021 - 4/14/2021"/>
          <s v="4/15/2021 - 4/21/2021"/>
          <s v="4/22/2021 - 4/28/2021"/>
          <s v="4/29/2021 - 5/5/2021"/>
          <s v="5/6/2021 - 5/12/2021"/>
          <s v="5/13/2021 - 5/19/2021"/>
          <s v="5/20/2021 - 5/26/2021"/>
          <s v="5/27/2021 - 6/2/2021"/>
          <s v="6/3/2021 - 6/9/2021"/>
          <s v="6/10/2021 - 6/16/2021"/>
          <s v="6/17/2021 - 6/23/2021"/>
          <s v="6/24/2021 - 6/30/2021"/>
          <s v="7/1/2021 - 7/7/2021"/>
          <s v="7/8/2021 - 7/14/2021"/>
          <s v="7/15/2021 - 7/21/2021"/>
          <s v="7/22/2021 - 7/28/2021"/>
          <s v="7/29/2021 - 8/4/2021"/>
          <s v="8/5/2021 - 8/11/2021"/>
          <s v="8/12/2021 - 8/18/2021"/>
          <s v="8/19/2021 - 8/25/2021"/>
          <s v="8/26/2021 - 9/1/2021"/>
          <s v="9/2/2021 - 9/8/2021"/>
          <s v="9/9/2021 - 9/15/2021"/>
          <s v="9/16/2021 - 9/22/2021"/>
          <s v="9/23/2021 - 9/29/2021"/>
          <s v="9/30/2021 - 10/6/2021"/>
          <s v="10/7/2021 - 10/13/2021"/>
          <s v="10/14/2021 - 10/20/2021"/>
          <s v="10/21/2021 - 10/25/2021"/>
          <s v="&gt;10/25/2021"/>
        </groupItems>
      </fieldGroup>
    </cacheField>
    <cacheField name="Days Since Assignment" numFmtId="1">
      <sharedItems containsSemiMixedTypes="0" containsString="0" containsNumber="1" containsInteger="1" minValue="0" maxValue="990"/>
    </cacheField>
    <cacheField name="Revision Status" numFmtId="0">
      <sharedItems containsBlank="1"/>
    </cacheField>
    <cacheField name="Overall Status" numFmtId="0">
      <sharedItems/>
    </cacheField>
    <cacheField name="Number of Rejection" numFmtId="0">
      <sharedItems containsSemiMixedTypes="0" containsString="0" containsNumber="1" containsInteger="1" minValue="0" maxValue="2" count="3">
        <n v="1"/>
        <n v="0"/>
        <n v="2"/>
      </sharedItems>
    </cacheField>
    <cacheField name="Long Video" numFmtId="0">
      <sharedItems/>
    </cacheField>
    <cacheField name="Rate" numFmtId="166">
      <sharedItems containsSemiMixedTypes="0" containsString="0" containsNumber="1" containsInteger="1" minValue="0" maxValue="25000"/>
    </cacheField>
    <cacheField name="Payment Statu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10" refreshedDate="45103.890139236108" createdVersion="7" refreshedVersion="7" minRefreshableVersion="3" recordCount="1204" xr:uid="{27586084-9CA4-4D20-9042-33732F2D574E}">
  <cacheSource type="worksheet">
    <worksheetSource name="Table1"/>
  </cacheSource>
  <cacheFields count="16">
    <cacheField name="Question ID" numFmtId="0">
      <sharedItems/>
    </cacheField>
    <cacheField name="Grade" numFmtId="0">
      <sharedItems/>
    </cacheField>
    <cacheField name="Chapter Name" numFmtId="0">
      <sharedItems/>
    </cacheField>
    <cacheField name="Link to Source" numFmtId="0">
      <sharedItems/>
    </cacheField>
    <cacheField name="Clickable Link" numFmtId="0">
      <sharedItems/>
    </cacheField>
    <cacheField name="Assigned" numFmtId="14">
      <sharedItems containsSemiMixedTypes="0" containsNonDate="0" containsDate="1" containsString="0" minDate="2020-09-22T00:00:00" maxDate="2021-10-12T00:00:00"/>
    </cacheField>
    <cacheField name="Deadline" numFmtId="14">
      <sharedItems containsSemiMixedTypes="0" containsNonDate="0" containsDate="1" containsString="0" minDate="2020-09-29T00:00:00" maxDate="2021-10-25T00:00:00"/>
    </cacheField>
    <cacheField name="Deadline (days to go)" numFmtId="1">
      <sharedItems containsSemiMixedTypes="0" containsString="0" containsNumber="1" containsInteger="1" minValue="-1000" maxValue="-610"/>
    </cacheField>
    <cacheField name="Last Submission Date" numFmtId="0">
      <sharedItems containsNonDate="0" containsDate="1" containsString="0" containsBlank="1" minDate="2020-11-26T00:00:00" maxDate="2021-10-25T00:00:00" count="132">
        <d v="2020-11-26T00:00:00"/>
        <d v="2020-11-27T00:00:00"/>
        <d v="2020-11-28T00:00:00"/>
        <d v="2020-11-30T00:00:00"/>
        <d v="2020-12-02T00:00:00"/>
        <d v="2020-12-04T00:00:00"/>
        <d v="2020-12-13T00:00:00"/>
        <d v="2020-12-14T00:00:00"/>
        <d v="2020-12-23T00:00:00"/>
        <d v="2020-12-25T00:00:00"/>
        <d v="2020-12-26T00:00:00"/>
        <d v="2021-01-18T00:00:00"/>
        <d v="2021-01-22T00:00:00"/>
        <d v="2021-01-23T00:00:00"/>
        <d v="2021-01-24T00:00:00"/>
        <d v="2021-01-27T00:00:00"/>
        <d v="2021-01-29T00:00:00"/>
        <d v="2021-02-01T00:00:00"/>
        <d v="2021-02-04T00:00:00"/>
        <d v="2021-02-05T00:00:00"/>
        <d v="2021-02-08T00:00:00"/>
        <d v="2021-02-09T00:00:00"/>
        <d v="2021-02-13T00:00:00"/>
        <d v="2021-02-17T00:00:00"/>
        <d v="2021-02-18T00:00:00"/>
        <d v="2021-02-21T00:00:00"/>
        <d v="2021-02-25T00:00:00"/>
        <d v="2021-02-28T00:00:00"/>
        <d v="2021-03-05T00:00:00"/>
        <d v="2021-03-06T00:00:00"/>
        <d v="2021-03-07T00:00:00"/>
        <d v="2021-03-13T00:00:00"/>
        <d v="2021-03-14T00:00:00"/>
        <d v="2021-03-18T00:00:00"/>
        <d v="2021-03-19T00:00:00"/>
        <d v="2021-03-23T00:00:00"/>
        <d v="2021-03-24T00:00:00"/>
        <d v="2021-03-27T00:00:00"/>
        <d v="2021-03-28T00:00:00"/>
        <d v="2021-04-07T00:00:00"/>
        <d v="2021-04-08T00:00:00"/>
        <d v="2021-04-09T00:00:00"/>
        <d v="2021-04-11T00:00:00"/>
        <d v="2021-04-15T00:00:00"/>
        <d v="2021-04-18T00:00:00"/>
        <d v="2021-04-20T00:00:00"/>
        <d v="2021-04-22T00:00:00"/>
        <d v="2021-04-25T00:00:00"/>
        <d v="2021-05-02T00:00:00"/>
        <d v="2021-05-06T00:00:00"/>
        <d v="2021-05-15T00:00:00"/>
        <d v="2021-05-16T00:00:00"/>
        <d v="2021-05-23T00:00:00"/>
        <d v="2021-06-10T00:00:00"/>
        <d v="2021-06-13T00:00:00"/>
        <d v="2021-06-17T00:00:00"/>
        <d v="2021-06-19T00:00:00"/>
        <d v="2021-06-20T00:00:00"/>
        <d v="2021-06-24T00:00:00"/>
        <d v="2021-06-26T00:00:00"/>
        <d v="2021-06-27T00:00:00"/>
        <d v="2021-06-29T00:00:00"/>
        <d v="2021-06-30T00:00:00"/>
        <d v="2021-07-01T00:00:00"/>
        <d v="2021-07-02T00:00:00"/>
        <d v="2021-07-03T00:00:00"/>
        <d v="2021-07-04T00:00:00"/>
        <d v="2021-07-05T00:00:00"/>
        <d v="2021-07-06T00:00:00"/>
        <d v="2021-07-07T00:00:00"/>
        <d v="2021-07-08T00:00:00"/>
        <d v="2021-07-09T00:00:00"/>
        <d v="2021-07-11T00:00:00"/>
        <d v="2021-07-14T00:00:00"/>
        <d v="2021-07-15T00:00:00"/>
        <d v="2021-07-17T00:00:00"/>
        <d v="2021-07-18T00:00:00"/>
        <d v="2021-07-24T00:00:00"/>
        <d v="2021-07-25T00:00:00"/>
        <d v="2021-07-27T00:00:00"/>
        <d v="2021-07-29T00:00:00"/>
        <d v="2021-08-01T00:00:00"/>
        <d v="2021-08-02T00:00:00"/>
        <d v="2021-08-03T00:00:00"/>
        <d v="2021-08-04T00:00:00"/>
        <d v="2021-08-05T00:00:00"/>
        <d v="2021-08-06T00:00:00"/>
        <d v="2021-08-07T00:00:00"/>
        <d v="2021-08-08T00:00:00"/>
        <d v="2021-08-11T00:00:00"/>
        <d v="2021-08-13T00:00:00"/>
        <d v="2021-08-14T00:00:00"/>
        <d v="2021-08-15T00:00:00"/>
        <d v="2021-08-17T00:00:00"/>
        <d v="2021-08-18T00:00:00"/>
        <d v="2021-08-19T00:00:00"/>
        <d v="2021-08-21T00:00:00"/>
        <d v="2021-08-22T00:00:00"/>
        <d v="2021-08-24T00:00:00"/>
        <d v="2021-08-25T00:00:00"/>
        <d v="2021-08-26T00:00:00"/>
        <d v="2021-08-27T00:00:00"/>
        <d v="2021-08-28T00:00:00"/>
        <d v="2021-08-29T00:00:00"/>
        <d v="2021-09-01T00:00:00"/>
        <d v="2021-09-02T00:00:00"/>
        <d v="2021-09-04T00:00:00"/>
        <d v="2021-09-05T00:00:00"/>
        <d v="2021-09-07T00:00:00"/>
        <d v="2021-09-08T00:00:00"/>
        <d v="2021-09-09T00:00:00"/>
        <d v="2021-09-11T00:00:00"/>
        <d v="2021-09-12T00:00:00"/>
        <d v="2021-09-15T00:00:00"/>
        <d v="2021-09-16T00:00:00"/>
        <d v="2021-09-18T00:00:00"/>
        <d v="2021-09-19T00:00:00"/>
        <d v="2021-09-21T00:00:00"/>
        <d v="2021-09-22T00:00:00"/>
        <d v="2021-09-23T00:00:00"/>
        <d v="2021-09-26T00:00:00"/>
        <d v="2021-09-28T00:00:00"/>
        <d v="2021-09-30T00:00:00"/>
        <d v="2021-10-03T00:00:00"/>
        <d v="2021-10-06T00:00:00"/>
        <d v="2021-10-08T00:00:00"/>
        <d v="2021-10-09T00:00:00"/>
        <d v="2021-10-10T00:00:00"/>
        <d v="2021-10-13T00:00:00"/>
        <d v="2021-10-16T00:00:00"/>
        <d v="2021-10-24T00:00:00"/>
        <m/>
      </sharedItems>
      <fieldGroup base="8">
        <rangePr groupBy="days" startDate="2020-11-26T00:00:00" endDate="2021-10-25T00:00:00" groupInterval="7"/>
        <groupItems count="50">
          <s v="(blank)"/>
          <s v="11/26/2020 - 12/2/2020"/>
          <s v="12/3/2020 - 12/9/2020"/>
          <s v="12/10/2020 - 12/16/2020"/>
          <s v="12/17/2020 - 12/23/2020"/>
          <s v="12/24/2020 - 12/30/2020"/>
          <s v="12/31/2020 - 1/6/2021"/>
          <s v="1/7/2021 - 1/13/2021"/>
          <s v="1/14/2021 - 1/20/2021"/>
          <s v="1/21/2021 - 1/27/2021"/>
          <s v="1/28/2021 - 2/3/2021"/>
          <s v="2/4/2021 - 2/10/2021"/>
          <s v="2/11/2021 - 2/17/2021"/>
          <s v="2/18/2021 - 2/24/2021"/>
          <s v="2/25/2021 - 3/3/2021"/>
          <s v="3/4/2021 - 3/10/2021"/>
          <s v="3/11/2021 - 3/17/2021"/>
          <s v="3/18/2021 - 3/24/2021"/>
          <s v="3/25/2021 - 3/31/2021"/>
          <s v="4/1/2021 - 4/7/2021"/>
          <s v="4/8/2021 - 4/14/2021"/>
          <s v="4/15/2021 - 4/21/2021"/>
          <s v="4/22/2021 - 4/28/2021"/>
          <s v="4/29/2021 - 5/5/2021"/>
          <s v="5/6/2021 - 5/12/2021"/>
          <s v="5/13/2021 - 5/19/2021"/>
          <s v="5/20/2021 - 5/26/2021"/>
          <s v="5/27/2021 - 6/2/2021"/>
          <s v="6/3/2021 - 6/9/2021"/>
          <s v="6/10/2021 - 6/16/2021"/>
          <s v="6/17/2021 - 6/23/2021"/>
          <s v="6/24/2021 - 6/30/2021"/>
          <s v="7/1/2021 - 7/7/2021"/>
          <s v="7/8/2021 - 7/14/2021"/>
          <s v="7/15/2021 - 7/21/2021"/>
          <s v="7/22/2021 - 7/28/2021"/>
          <s v="7/29/2021 - 8/4/2021"/>
          <s v="8/5/2021 - 8/11/2021"/>
          <s v="8/12/2021 - 8/18/2021"/>
          <s v="8/19/2021 - 8/25/2021"/>
          <s v="8/26/2021 - 9/1/2021"/>
          <s v="9/2/2021 - 9/8/2021"/>
          <s v="9/9/2021 - 9/15/2021"/>
          <s v="9/16/2021 - 9/22/2021"/>
          <s v="9/23/2021 - 9/29/2021"/>
          <s v="9/30/2021 - 10/6/2021"/>
          <s v="10/7/2021 - 10/13/2021"/>
          <s v="10/14/2021 - 10/20/2021"/>
          <s v="10/21/2021 - 10/25/2021"/>
          <s v="&gt;10/25/2021"/>
        </groupItems>
      </fieldGroup>
    </cacheField>
    <cacheField name="Days Since Assignment" numFmtId="1">
      <sharedItems containsSemiMixedTypes="0" containsString="0" containsNumber="1" containsInteger="1" minValue="0" maxValue="990"/>
    </cacheField>
    <cacheField name="Revision Status" numFmtId="0">
      <sharedItems containsBlank="1" count="7">
        <m/>
        <s v="AV"/>
        <s v="Corr"/>
        <s v="Inquiry"/>
        <s v="AV + Corr"/>
        <s v="QC"/>
        <s v="Waiting for QC" u="1"/>
      </sharedItems>
    </cacheField>
    <cacheField name="Overall Status" numFmtId="0">
      <sharedItems/>
    </cacheField>
    <cacheField name="Number of Rejection" numFmtId="0">
      <sharedItems containsSemiMixedTypes="0" containsString="0" containsNumber="1" containsInteger="1" minValue="0" maxValue="2"/>
    </cacheField>
    <cacheField name="Long Video" numFmtId="0">
      <sharedItems/>
    </cacheField>
    <cacheField name="Rate" numFmtId="166">
      <sharedItems containsSemiMixedTypes="0" containsString="0" containsNumber="1" containsInteger="1" minValue="0" maxValue="25000"/>
    </cacheField>
    <cacheField name="Payment Statu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4">
  <r>
    <s v="C0040011P006"/>
    <s v="SMA"/>
    <s v="Persamaan Trigonometri"/>
    <s v="https://drive.google.com/open?id=1P38DKmKoe7lQUgI0doEZqealGfvTbiyi"/>
    <s v="C0040011P006"/>
    <d v="2020-10-20T00:00:00"/>
    <x v="0"/>
    <n v="-972"/>
    <x v="0"/>
    <n v="0"/>
    <m/>
    <s v="Accepted"/>
    <x v="0"/>
    <s v="no"/>
    <n v="20000"/>
    <s v="paid"/>
  </r>
  <r>
    <s v="C0040021P008"/>
    <s v="SMA"/>
    <s v="Persamaan Trigonometri"/>
    <s v="https://drive.google.com/open?id=1WxeI--uJGRjMQd6QgjR1DaarxZvLJkgI"/>
    <s v="C0040021P008"/>
    <d v="2020-10-20T00:00:00"/>
    <x v="0"/>
    <n v="-972"/>
    <x v="0"/>
    <n v="0"/>
    <m/>
    <s v="Accepted"/>
    <x v="1"/>
    <s v="no"/>
    <n v="20000"/>
    <s v="paid"/>
  </r>
  <r>
    <s v="C0090431P001"/>
    <s v="SMP"/>
    <s v="Sudut Dan Garis Sejajar"/>
    <s v="https://drive.google.com/open?id=1GKIthOQQCHOzsO43iioO2MyAzLElEMQ3"/>
    <s v="C0090431P001"/>
    <d v="2020-09-28T00:00:00"/>
    <x v="1"/>
    <n v="-963"/>
    <x v="0"/>
    <n v="0"/>
    <m/>
    <s v="Accepted"/>
    <x v="1"/>
    <s v="yes"/>
    <n v="18000"/>
    <s v="paid"/>
  </r>
  <r>
    <s v="M0300582E005"/>
    <s v="SMP"/>
    <s v="Pola Bilangan Dan Barisan Bilangan"/>
    <s v="https://drive.google.com/open?id=1CVH4Ys_2yiSwpB8pax62bbROhJcmWmf7"/>
    <s v="M0300582E005"/>
    <d v="2020-10-31T00:00:00"/>
    <x v="2"/>
    <n v="-961"/>
    <x v="0"/>
    <n v="0"/>
    <m/>
    <s v="Accepted"/>
    <x v="1"/>
    <s v="no"/>
    <n v="15000"/>
    <s v="paid"/>
  </r>
  <r>
    <s v="C0171371P027"/>
    <s v="SMP"/>
    <s v="Bangun Ruang Sisi Lengkung"/>
    <s v="https://drive.google.com/open?id=1nnjOh78W7-oXvOyMj4zcyywDv3PBQGsB"/>
    <s v="C0171371P027"/>
    <d v="2020-11-13T00:00:00"/>
    <x v="3"/>
    <n v="-948"/>
    <x v="1"/>
    <n v="0"/>
    <m/>
    <s v="Accepted"/>
    <x v="1"/>
    <s v="yes"/>
    <n v="18000"/>
    <s v="paid"/>
  </r>
  <r>
    <s v="C0171371P029"/>
    <s v="SMP"/>
    <s v="Bangun Ruang Sisi Lengkung"/>
    <s v="https://drive.google.com/open?id=1n9ebRobhZkK_MC-lMHzYXBfMuYC-wI3_"/>
    <s v="C0171371P029"/>
    <d v="2020-11-13T00:00:00"/>
    <x v="3"/>
    <n v="-948"/>
    <x v="1"/>
    <n v="0"/>
    <m/>
    <s v="Accepted"/>
    <x v="0"/>
    <s v="no"/>
    <n v="15000"/>
    <s v="paid"/>
  </r>
  <r>
    <s v="C0171371P030"/>
    <s v="SMP"/>
    <s v="Bangun Ruang Sisi Datar"/>
    <s v="https://drive.google.com/open?id=1mK8MBCUZt1uDkQKJ_sdU-h1ffu8Wx9ZJ"/>
    <s v="C0171371P030"/>
    <d v="2020-11-13T00:00:00"/>
    <x v="3"/>
    <n v="-948"/>
    <x v="1"/>
    <n v="0"/>
    <m/>
    <s v="Accepted"/>
    <x v="1"/>
    <s v="no"/>
    <n v="15000"/>
    <s v="paid"/>
  </r>
  <r>
    <s v="M0221713E021"/>
    <s v="SMA"/>
    <s v="Peluang Wajib"/>
    <s v="https://drive.google.com/open?id=1vTfZU_5clZZ1Q3wbilRFl_7sJ09o8xyz"/>
    <s v="M0221713E021"/>
    <d v="2020-09-23T00:00:00"/>
    <x v="4"/>
    <n v="-999"/>
    <x v="2"/>
    <n v="0"/>
    <m/>
    <s v="Accepted"/>
    <x v="0"/>
    <s v="no"/>
    <n v="20000"/>
    <s v="paid"/>
  </r>
  <r>
    <s v="M0070061a008"/>
    <s v="SMP"/>
    <s v="Bilangan Bulat Dan Pecahan"/>
    <s v="https://drive.google.com/open?id=1J65bLT54yVSpsnnhBq7BsFzKJu4VtvPT"/>
    <s v="M0070061a008"/>
    <d v="2020-09-24T00:00:00"/>
    <x v="5"/>
    <n v="-998"/>
    <x v="2"/>
    <n v="0"/>
    <m/>
    <s v="Accepted"/>
    <x v="1"/>
    <s v="yes"/>
    <n v="18000"/>
    <s v="paid"/>
  </r>
  <r>
    <s v="M0070731P032"/>
    <s v="SMP"/>
    <s v="Bilangan Bulat Dan Pecahan"/>
    <s v="https://drive.google.com/open?id=1ymthlIWHrvK5hYG1hlhWfTsTJ_wUoJTO"/>
    <s v="M0070731P032"/>
    <d v="2020-09-24T00:00:00"/>
    <x v="5"/>
    <n v="-998"/>
    <x v="2"/>
    <n v="0"/>
    <m/>
    <s v="Accepted"/>
    <x v="1"/>
    <s v="no"/>
    <n v="15000"/>
    <s v="paid"/>
  </r>
  <r>
    <s v="M0070742b003"/>
    <s v="SMP"/>
    <s v="Bilangan Bulat Dan Pecahan"/>
    <s v="https://drive.google.com/open?id=1YUsEWHLy2fy-rmyERzpe1I4QrMZAyv8-"/>
    <s v="M0070742b003"/>
    <d v="2020-09-24T00:00:00"/>
    <x v="5"/>
    <n v="-998"/>
    <x v="2"/>
    <n v="0"/>
    <m/>
    <s v="Accepted"/>
    <x v="1"/>
    <s v="no"/>
    <n v="15000"/>
    <s v="paid"/>
  </r>
  <r>
    <s v="C0090041P027"/>
    <s v="SMP"/>
    <s v="Bangun Ruang Sisi Datar"/>
    <s v="https://drive.google.com/open?id=16hJU8VmnBIzroMGVyO0nmlYAjCmkP6s0"/>
    <s v="C0090041P027"/>
    <d v="2020-09-28T00:00:00"/>
    <x v="6"/>
    <n v="-994"/>
    <x v="2"/>
    <n v="0"/>
    <m/>
    <s v="Accepted"/>
    <x v="1"/>
    <s v="no"/>
    <n v="15000"/>
    <s v="paid"/>
  </r>
  <r>
    <s v="C0090041P030"/>
    <s v="SMP"/>
    <s v="Bangun Ruang Sisi Lengkung"/>
    <s v="https://drive.google.com/open?id=1B2R8-btRV8lBO8AKBMQindcF8fAU4Wg5"/>
    <s v="C0090041P030"/>
    <d v="2020-09-28T00:00:00"/>
    <x v="6"/>
    <n v="-994"/>
    <x v="2"/>
    <n v="0"/>
    <m/>
    <s v="Accepted"/>
    <x v="1"/>
    <s v="no"/>
    <n v="15000"/>
    <s v="paid"/>
  </r>
  <r>
    <s v="M0270541P084"/>
    <s v="SMA"/>
    <s v="Grafik, Persamaan, Dan Pertidaksamaan Eksponen Dan Logaritma"/>
    <s v="https://drive.google.com/open?id=1d6bjZfPytYCuxRvYh7LlVGQqNrx2zy7i"/>
    <s v="M0270541P084"/>
    <d v="2020-09-23T00:00:00"/>
    <x v="4"/>
    <n v="-999"/>
    <x v="3"/>
    <n v="0"/>
    <m/>
    <s v="Accepted"/>
    <x v="1"/>
    <s v="no"/>
    <n v="20000"/>
    <s v="paid"/>
  </r>
  <r>
    <s v="M1871111P002"/>
    <s v="SMA"/>
    <s v="Transformasi"/>
    <s v="https://drive.google.com/open?id=1CaTU4Hu4w5UukakAr4_8LfFaMDYjmJ9Q"/>
    <s v="M1871111P002"/>
    <d v="2020-09-29T00:00:00"/>
    <x v="7"/>
    <n v="-993"/>
    <x v="3"/>
    <n v="0"/>
    <m/>
    <s v="Accepted"/>
    <x v="1"/>
    <s v="no"/>
    <n v="20000"/>
    <s v="paid"/>
  </r>
  <r>
    <s v="M1871141a002"/>
    <s v="SMA"/>
    <s v="Transformasi"/>
    <s v="https://drive.google.com/open?id=1xJEqqbXLY4kFh8HvbvGO86he-Qm6QwEQ"/>
    <s v="M1871141a002"/>
    <d v="2020-09-29T00:00:00"/>
    <x v="7"/>
    <n v="-993"/>
    <x v="3"/>
    <n v="0"/>
    <m/>
    <s v="Accepted"/>
    <x v="1"/>
    <s v="yes"/>
    <n v="25000"/>
    <s v="paid"/>
  </r>
  <r>
    <s v="C0171371P031"/>
    <s v="SMP"/>
    <s v="Bangun Ruang Sisi Lengkung"/>
    <s v="https://drive.google.com/open?id=1Ri9YKs08u1I5fmwLc5khRhXm7xcEAEbT"/>
    <s v="C0171371P031"/>
    <d v="2020-11-13T00:00:00"/>
    <x v="3"/>
    <n v="-948"/>
    <x v="4"/>
    <n v="0"/>
    <m/>
    <s v="Accepted"/>
    <x v="1"/>
    <s v="no"/>
    <n v="15000"/>
    <s v="paid"/>
  </r>
  <r>
    <s v="C0171371P032"/>
    <s v="SMP"/>
    <s v="Bangun Ruang Sisi Lengkung"/>
    <s v="https://drive.google.com/open?id=1hhVG0xzDwiaHz8U5rD2te7z2OV2G1fn0"/>
    <s v="C0171371P032"/>
    <d v="2020-11-13T00:00:00"/>
    <x v="3"/>
    <n v="-948"/>
    <x v="4"/>
    <n v="0"/>
    <m/>
    <s v="Accepted"/>
    <x v="1"/>
    <s v="yes"/>
    <n v="18000"/>
    <s v="paid"/>
  </r>
  <r>
    <s v="C0171371P033"/>
    <s v="SMP"/>
    <s v="Bangun Ruang Sisi Datar"/>
    <s v="https://drive.google.com/open?id=1JoCs8fKhkXSL9hj-rpgBxEqWIkEFxkii"/>
    <s v="C0171371P033"/>
    <d v="2020-11-13T00:00:00"/>
    <x v="3"/>
    <n v="-948"/>
    <x v="4"/>
    <n v="0"/>
    <m/>
    <s v="Accepted"/>
    <x v="1"/>
    <s v="no"/>
    <n v="15000"/>
    <s v="paid"/>
  </r>
  <r>
    <s v="C0171371P034"/>
    <s v="SMP"/>
    <s v="Bangun Ruang Sisi Lengkung"/>
    <s v="https://drive.google.com/open?id=1_uF-nF1e9qw6Cli4wdnpegpoYAKeRN9X"/>
    <s v="C0171371P034"/>
    <d v="2020-11-13T00:00:00"/>
    <x v="3"/>
    <n v="-948"/>
    <x v="4"/>
    <n v="0"/>
    <m/>
    <s v="Accepted"/>
    <x v="1"/>
    <s v="no"/>
    <n v="15000"/>
    <s v="paid"/>
  </r>
  <r>
    <s v="C0171371P035"/>
    <s v="SMP"/>
    <s v="Bangun Ruang Sisi Datar"/>
    <s v="https://drive.google.com/open?id=1-pV_HFCNKGUykmwS5YD1ZaOhQdRtJquO"/>
    <s v="C0171371P035"/>
    <d v="2020-11-13T00:00:00"/>
    <x v="3"/>
    <n v="-948"/>
    <x v="4"/>
    <n v="0"/>
    <m/>
    <s v="Accepted"/>
    <x v="1"/>
    <s v="no"/>
    <n v="15000"/>
    <s v="paid"/>
  </r>
  <r>
    <s v="C0171441E001"/>
    <s v="SMP"/>
    <s v="Kesebangunan Dan Kongruensi"/>
    <s v="https://drive.google.com/open?id=1N38xmnyOKc0AGzV2NgOrgcx-0UGHH6iE"/>
    <s v="C0171441E001"/>
    <d v="2020-11-13T00:00:00"/>
    <x v="3"/>
    <n v="-948"/>
    <x v="4"/>
    <n v="0"/>
    <m/>
    <s v="Accepted"/>
    <x v="1"/>
    <s v="no"/>
    <n v="15000"/>
    <s v="paid"/>
  </r>
  <r>
    <s v="C0171441E003"/>
    <s v="SMP"/>
    <s v="Kesebangunan Dan Kongruensi"/>
    <s v="https://drive.google.com/open?id=1mgmBlV0uv2kUrb4_z-WKAmmCZ3bd-yuF"/>
    <s v="C0171441E003"/>
    <d v="2020-11-13T00:00:00"/>
    <x v="3"/>
    <n v="-948"/>
    <x v="4"/>
    <n v="0"/>
    <m/>
    <s v="Accepted"/>
    <x v="1"/>
    <s v="no"/>
    <n v="15000"/>
    <s v="paid"/>
  </r>
  <r>
    <s v="C0171471P031"/>
    <s v="SMP"/>
    <s v="Kesebangunan Dan Kongruensi"/>
    <s v="https://drive.google.com/open?id=1zdTGs8IIpYAH5bZGk4wlB3TjQkxjIa-y"/>
    <s v="C0171471P031"/>
    <d v="2020-11-13T00:00:00"/>
    <x v="3"/>
    <n v="-948"/>
    <x v="5"/>
    <n v="0"/>
    <m/>
    <s v="Accepted"/>
    <x v="1"/>
    <s v="yes"/>
    <n v="18000"/>
    <s v="paid"/>
  </r>
  <r>
    <s v="C0171471P032"/>
    <s v="SMP"/>
    <s v="Kesebangunan Dan Kongruensi"/>
    <s v="https://drive.google.com/open?id=11S6fNPT2eaqVBYn92GcuGcfSQOOdTjBK"/>
    <s v="C0171471P032"/>
    <d v="2020-11-13T00:00:00"/>
    <x v="3"/>
    <n v="-948"/>
    <x v="5"/>
    <n v="0"/>
    <m/>
    <s v="Accepted"/>
    <x v="1"/>
    <s v="no"/>
    <n v="15000"/>
    <s v="paid"/>
  </r>
  <r>
    <s v="C0171471P033"/>
    <s v="SMP"/>
    <s v="Kesebangunan Dan Kongruensi"/>
    <s v="https://drive.google.com/open?id=1hnXJwIEXFR50t_GH5tZrK1LYspHGvio-"/>
    <s v="C0171471P033"/>
    <d v="2020-11-13T00:00:00"/>
    <x v="3"/>
    <n v="-948"/>
    <x v="5"/>
    <n v="0"/>
    <m/>
    <s v="Accepted"/>
    <x v="1"/>
    <s v="no"/>
    <n v="15000"/>
    <s v="paid"/>
  </r>
  <r>
    <s v="C0171521E001"/>
    <s v="SMP"/>
    <s v="Statistika 8"/>
    <s v="https://drive.google.com/open?id=1zkDfIaU0FgZgp05_SI59Urhb9nffvDMe"/>
    <s v="C0171521E001"/>
    <d v="2020-11-13T00:00:00"/>
    <x v="3"/>
    <n v="-948"/>
    <x v="5"/>
    <n v="0"/>
    <m/>
    <s v="Accepted"/>
    <x v="1"/>
    <s v="no"/>
    <n v="15000"/>
    <s v="paid"/>
  </r>
  <r>
    <s v="C0171531E002"/>
    <s v="SMP"/>
    <s v="Statistika 8"/>
    <s v="https://drive.google.com/open?id=133H1wZ6bi6wi4DqBGke4ij5BqGzVIww5"/>
    <s v="C0171531E002"/>
    <d v="2020-11-13T00:00:00"/>
    <x v="3"/>
    <n v="-948"/>
    <x v="5"/>
    <n v="0"/>
    <m/>
    <s v="Accepted"/>
    <x v="1"/>
    <s v="yes"/>
    <n v="18000"/>
    <s v="paid"/>
  </r>
  <r>
    <s v="M2231411E004"/>
    <s v="SMP"/>
    <s v="Bangun Ruang Sisi Lengkung"/>
    <s v="https://drive.google.com/open?id=1J7ntTpwAmirhUAXSvb8a5G0PtcAUTTrk"/>
    <s v="M2231411E004"/>
    <d v="2020-12-03T00:00:00"/>
    <x v="8"/>
    <n v="-928"/>
    <x v="6"/>
    <n v="0"/>
    <m/>
    <s v="Accepted"/>
    <x v="1"/>
    <s v="yes"/>
    <n v="18000"/>
    <s v="paid"/>
  </r>
  <r>
    <s v="M2231411E005"/>
    <s v="SMP"/>
    <s v="Bangun Ruang Sisi Lengkung"/>
    <s v="https://drive.google.com/open?id=16rI0NU7wqhCtddgD3nYHI2qsg1xjOXqM"/>
    <s v="M2231411E005"/>
    <d v="2020-12-03T00:00:00"/>
    <x v="8"/>
    <n v="-928"/>
    <x v="6"/>
    <n v="0"/>
    <m/>
    <s v="Accepted"/>
    <x v="1"/>
    <s v="yes"/>
    <n v="18000"/>
    <s v="paid"/>
  </r>
  <r>
    <s v="M2231411E006"/>
    <s v="SMP"/>
    <s v="Bangun Ruang Sisi Lengkung"/>
    <s v="https://drive.google.com/open?id=1zyKyqUoxgPf_83ImxE-gLo8sYy3k9T9Z"/>
    <s v="M2231411E006"/>
    <d v="2020-12-03T00:00:00"/>
    <x v="8"/>
    <n v="-928"/>
    <x v="6"/>
    <n v="0"/>
    <m/>
    <s v="Accepted"/>
    <x v="1"/>
    <s v="no"/>
    <n v="15000"/>
    <s v="paid"/>
  </r>
  <r>
    <s v="M2231411E007"/>
    <s v="SMP"/>
    <s v="Bangun Ruang Sisi Lengkung"/>
    <s v="https://drive.google.com/open?id=1TmPpKTvqWXXVj2ggiMJItmEB0c5W6plr"/>
    <s v="M2231411E007"/>
    <d v="2020-12-03T00:00:00"/>
    <x v="8"/>
    <n v="-928"/>
    <x v="6"/>
    <n v="0"/>
    <m/>
    <s v="Accepted"/>
    <x v="1"/>
    <s v="no"/>
    <n v="15000"/>
    <s v="paid"/>
  </r>
  <r>
    <s v="M2231411E008"/>
    <s v="SMP"/>
    <s v="Bangun Ruang Sisi Lengkung"/>
    <s v="https://drive.google.com/open?id=1s57R3-rJ8bnDUkzqBaS8opeXvct9aIPr"/>
    <s v="M2231411E008"/>
    <d v="2020-12-03T00:00:00"/>
    <x v="8"/>
    <n v="-928"/>
    <x v="6"/>
    <n v="0"/>
    <m/>
    <s v="Accepted"/>
    <x v="1"/>
    <s v="no"/>
    <n v="15000"/>
    <s v="paid"/>
  </r>
  <r>
    <s v="M2231411E009"/>
    <s v="SMP"/>
    <s v="Bangun Ruang Sisi Lengkung"/>
    <s v="https://drive.google.com/open?id=1RkabEN0avopv_P5Yf05c2dmZtycED7aS"/>
    <s v="M2231411E009"/>
    <d v="2020-12-03T00:00:00"/>
    <x v="8"/>
    <n v="-928"/>
    <x v="6"/>
    <n v="0"/>
    <m/>
    <s v="Accepted"/>
    <x v="1"/>
    <s v="no"/>
    <n v="15000"/>
    <s v="paid"/>
  </r>
  <r>
    <s v="M2231411E010"/>
    <s v="SMP"/>
    <s v="Bangun Ruang Sisi Lengkung"/>
    <s v="https://drive.google.com/open?id=17_ma55ZkP5RNCSfSTfC7RYOYEswnXf1S"/>
    <s v="M2231411E010"/>
    <d v="2020-12-03T00:00:00"/>
    <x v="8"/>
    <n v="-928"/>
    <x v="6"/>
    <n v="0"/>
    <m/>
    <s v="Accepted"/>
    <x v="1"/>
    <s v="yes"/>
    <n v="18000"/>
    <s v="paid"/>
  </r>
  <r>
    <s v="M2231411E011"/>
    <s v="SMP"/>
    <s v="Bangun Ruang Sisi Lengkung"/>
    <s v="https://drive.google.com/open?id=13suz0_TQO_m7vdefUps7a1QoJnYuu3MU"/>
    <s v="M2231411E011"/>
    <d v="2020-12-03T00:00:00"/>
    <x v="8"/>
    <n v="-928"/>
    <x v="6"/>
    <n v="0"/>
    <m/>
    <s v="Accepted"/>
    <x v="1"/>
    <s v="no"/>
    <n v="15000"/>
    <s v="paid"/>
  </r>
  <r>
    <s v="M2231421E012"/>
    <s v="SMP"/>
    <s v="Bangun Ruang Sisi Lengkung"/>
    <s v="https://drive.google.com/open?id=1YgZ2X4TPBhf7fm41ihRTIGjRYoopC6YM"/>
    <s v="M2231421E012"/>
    <d v="2020-12-03T00:00:00"/>
    <x v="8"/>
    <n v="-928"/>
    <x v="6"/>
    <n v="0"/>
    <m/>
    <s v="Accepted"/>
    <x v="0"/>
    <s v="no"/>
    <n v="15000"/>
    <s v="paid"/>
  </r>
  <r>
    <s v="M2231421E013"/>
    <s v="SMP"/>
    <s v="Bangun Ruang Sisi Lengkung"/>
    <s v="https://drive.google.com/open?id=14TDUymcJxN3r8-BdTpQrtBP_D3aVbrj6"/>
    <s v="M2231421E013"/>
    <d v="2020-12-03T00:00:00"/>
    <x v="8"/>
    <n v="-928"/>
    <x v="6"/>
    <n v="0"/>
    <m/>
    <s v="Accepted"/>
    <x v="1"/>
    <s v="no"/>
    <n v="15000"/>
    <s v="paid"/>
  </r>
  <r>
    <s v="M2231421E014"/>
    <s v="SMP"/>
    <s v="Bangun Ruang Sisi Lengkung"/>
    <s v="https://drive.google.com/open?id=1TPs0l_ycuXO_fOlf7D34BoScJbjQFo9t"/>
    <s v="M2231421E014"/>
    <d v="2020-12-03T00:00:00"/>
    <x v="8"/>
    <n v="-928"/>
    <x v="6"/>
    <n v="0"/>
    <m/>
    <s v="Accepted"/>
    <x v="1"/>
    <s v="yes"/>
    <n v="18000"/>
    <s v="paid"/>
  </r>
  <r>
    <s v="M2231421E015"/>
    <s v="SMP"/>
    <s v="Bangun Ruang Sisi Lengkung"/>
    <s v="https://drive.google.com/open?id=1GgOutdmAozNJJdvNbbOHOy5f5JZwXZYD"/>
    <s v="M2231421E015"/>
    <d v="2020-12-03T00:00:00"/>
    <x v="8"/>
    <n v="-928"/>
    <x v="6"/>
    <n v="0"/>
    <m/>
    <s v="Accepted"/>
    <x v="1"/>
    <s v="yes"/>
    <n v="18000"/>
    <s v="paid"/>
  </r>
  <r>
    <s v="M2231422E001"/>
    <s v="SMP"/>
    <s v="Bangun Ruang Sisi Lengkung"/>
    <s v="https://drive.google.com/open?id=1TtTZIVGjZYmQPnf3KTdhSX_G76k069xM"/>
    <s v="M2231422E001"/>
    <d v="2020-12-03T00:00:00"/>
    <x v="8"/>
    <n v="-928"/>
    <x v="6"/>
    <n v="0"/>
    <m/>
    <s v="Accepted"/>
    <x v="1"/>
    <s v="yes"/>
    <n v="18000"/>
    <s v="paid"/>
  </r>
  <r>
    <s v="M2231431E001"/>
    <s v="SMP"/>
    <s v="Bangun Ruang Sisi Lengkung"/>
    <s v="https://drive.google.com/open?id=1eWIwk69D8KHbkmUK0FXaFuL4VkTDvOEY"/>
    <s v="M2231431E001"/>
    <d v="2020-12-03T00:00:00"/>
    <x v="8"/>
    <n v="-928"/>
    <x v="6"/>
    <n v="0"/>
    <m/>
    <s v="Accepted"/>
    <x v="1"/>
    <s v="yes"/>
    <n v="18000"/>
    <s v="paid"/>
  </r>
  <r>
    <s v="M2231441E001"/>
    <s v="SMP"/>
    <s v="Bangun Ruang Sisi Lengkung"/>
    <s v="https://drive.google.com/open?id=1vSaBajSh0o-wfkpkmts1CZjZD5BVELuo"/>
    <s v="M2231441E001"/>
    <d v="2020-12-03T00:00:00"/>
    <x v="8"/>
    <n v="-928"/>
    <x v="6"/>
    <n v="0"/>
    <m/>
    <s v="Accepted"/>
    <x v="1"/>
    <s v="no"/>
    <n v="15000"/>
    <s v="paid"/>
  </r>
  <r>
    <s v="C0171441E002"/>
    <s v="SMP"/>
    <s v="Kesebangunan Dan Kongruensi"/>
    <s v="https://drive.google.com/open?id=1E4MFKBsTbYg69dEylJ2utDVFJ9U6cmWy"/>
    <s v="C0171441E002"/>
    <d v="2020-11-13T00:00:00"/>
    <x v="3"/>
    <n v="-948"/>
    <x v="7"/>
    <n v="0"/>
    <m/>
    <s v="Accepted"/>
    <x v="1"/>
    <s v="no"/>
    <n v="15000"/>
    <s v="paid"/>
  </r>
  <r>
    <s v="M2231432E001"/>
    <s v="SMP"/>
    <s v="Bangun Ruang Sisi Lengkung"/>
    <s v="https://drive.google.com/open?id=1x_al1w6X74jS8ZqVQlpkMap0g2SjVQHg"/>
    <s v="M2231432E001"/>
    <d v="2020-12-03T00:00:00"/>
    <x v="8"/>
    <n v="-928"/>
    <x v="7"/>
    <n v="0"/>
    <m/>
    <s v="Accepted"/>
    <x v="1"/>
    <s v="yes"/>
    <n v="18000"/>
    <s v="paid"/>
  </r>
  <r>
    <s v="M2231441E002"/>
    <s v="SMP"/>
    <s v="Bangun Ruang Sisi Lengkung"/>
    <s v="https://drive.google.com/open?id=1_kMr3aIVAhivIXsuqpuBk0GkNxQ4eV-j"/>
    <s v="M2231441E002"/>
    <d v="2020-12-03T00:00:00"/>
    <x v="8"/>
    <n v="-928"/>
    <x v="7"/>
    <n v="0"/>
    <m/>
    <s v="Accepted"/>
    <x v="1"/>
    <s v="no"/>
    <n v="15000"/>
    <s v="paid"/>
  </r>
  <r>
    <s v="M2231441E003"/>
    <s v="SMP"/>
    <s v="Bangun Ruang Sisi Lengkung"/>
    <s v="https://drive.google.com/open?id=1Vj7ijL-C5jOLOxpmHDW11P9DDJPLR77w"/>
    <s v="M2231441E003"/>
    <d v="2020-12-03T00:00:00"/>
    <x v="8"/>
    <n v="-928"/>
    <x v="7"/>
    <n v="0"/>
    <m/>
    <s v="Accepted"/>
    <x v="1"/>
    <s v="no"/>
    <n v="15000"/>
    <s v="paid"/>
  </r>
  <r>
    <s v="M2231451E004"/>
    <s v="SMP"/>
    <s v="Bangun Ruang Sisi Lengkung"/>
    <s v="https://drive.google.com/open?id=19T9ySz1CEK-ETrLZJPyLn032_x9roYJ0"/>
    <s v="M2231451E004"/>
    <d v="2020-12-03T00:00:00"/>
    <x v="8"/>
    <n v="-928"/>
    <x v="7"/>
    <n v="0"/>
    <m/>
    <s v="Accepted"/>
    <x v="1"/>
    <s v="no"/>
    <n v="15000"/>
    <s v="paid"/>
  </r>
  <r>
    <s v="M2231451E005"/>
    <s v="SMP"/>
    <s v="Bangun Ruang Sisi Lengkung"/>
    <s v="https://drive.google.com/open?id=1cSo_Q3oRU6r2nwvH7kjJIR16EUjCg3dw"/>
    <s v="M2231451E005"/>
    <d v="2020-12-03T00:00:00"/>
    <x v="8"/>
    <n v="-928"/>
    <x v="7"/>
    <n v="0"/>
    <m/>
    <s v="Accepted"/>
    <x v="1"/>
    <s v="yes"/>
    <n v="18000"/>
    <s v="paid"/>
  </r>
  <r>
    <s v="B0035541E001"/>
    <s v="SMA"/>
    <s v="Program Linear"/>
    <s v="https://drive.google.com/open?id=1CCRs94a-rtWAvr1Yh_cLf55UnLeRxwNh"/>
    <s v="B0035541E001"/>
    <d v="2020-10-20T00:00:00"/>
    <x v="0"/>
    <n v="-972"/>
    <x v="8"/>
    <n v="0"/>
    <m/>
    <s v="Accepted"/>
    <x v="0"/>
    <s v="no"/>
    <n v="20000"/>
    <s v="paid"/>
  </r>
  <r>
    <s v="C0040021P009"/>
    <s v="SMA"/>
    <s v="Persamaan Trigonometri"/>
    <s v="https://drive.google.com/open?id=11SLotIkVuJxjJQreq6nfgY2OyN3CyY7e"/>
    <s v="C0040021P009"/>
    <d v="2020-10-20T00:00:00"/>
    <x v="0"/>
    <n v="-972"/>
    <x v="8"/>
    <n v="0"/>
    <m/>
    <s v="Accepted"/>
    <x v="1"/>
    <s v="no"/>
    <n v="20000"/>
    <s v="paid"/>
  </r>
  <r>
    <s v="C0171481P034"/>
    <s v="SMP"/>
    <s v="Kesebangunan Dan Kongruensi"/>
    <s v="https://drive.google.com/open?id=1dsdF3vQwj64oJ-gS1ipO5uOzGujcjvdI"/>
    <s v="C0171481P034"/>
    <d v="2020-11-13T00:00:00"/>
    <x v="3"/>
    <n v="-948"/>
    <x v="8"/>
    <n v="0"/>
    <m/>
    <s v="Accepted"/>
    <x v="1"/>
    <s v="no"/>
    <n v="15000"/>
    <s v="paid"/>
  </r>
  <r>
    <s v="M0941921P021"/>
    <s v="SMA"/>
    <s v="Polinomial"/>
    <s v="https://drive.google.com/open?id=1NEeIu0YdrumvrvGTBfRiDhSSnqKlzmUm"/>
    <s v="M0941921P021"/>
    <d v="2020-12-04T00:00:00"/>
    <x v="9"/>
    <n v="-927"/>
    <x v="8"/>
    <n v="0"/>
    <m/>
    <s v="Accepted"/>
    <x v="1"/>
    <s v="yes"/>
    <n v="25000"/>
    <s v="paid"/>
  </r>
  <r>
    <s v="M0941921P022"/>
    <s v="SMA"/>
    <s v="Polinomial"/>
    <s v="https://drive.google.com/open?id=1UMZIi31WZVNmuoeK8IwXwxaXolw3tg4u"/>
    <s v="M0941921P022"/>
    <d v="2020-12-04T00:00:00"/>
    <x v="9"/>
    <n v="-927"/>
    <x v="8"/>
    <n v="0"/>
    <m/>
    <s v="Accepted"/>
    <x v="1"/>
    <s v="no"/>
    <n v="20000"/>
    <s v="paid"/>
  </r>
  <r>
    <s v="M0941931P023"/>
    <s v="SMA"/>
    <s v="Polinomial"/>
    <s v="https://drive.google.com/open?id=1YDuVLc6IrtJiTaEpjr-lrXDLaeJXSltF"/>
    <s v="M0941931P023"/>
    <d v="2020-12-04T00:00:00"/>
    <x v="9"/>
    <n v="-927"/>
    <x v="8"/>
    <n v="0"/>
    <m/>
    <s v="Accepted"/>
    <x v="1"/>
    <s v="no"/>
    <n v="20000"/>
    <s v="paid"/>
  </r>
  <r>
    <s v="M0941931P024"/>
    <s v="SMA"/>
    <s v="Polinomial"/>
    <s v="https://drive.google.com/open?id=1-J2kYerkDiRUlnmC6SET8OuSnBOJqVbN"/>
    <s v="M0941931P024"/>
    <d v="2020-12-04T00:00:00"/>
    <x v="9"/>
    <n v="-927"/>
    <x v="8"/>
    <n v="0"/>
    <m/>
    <s v="Accepted"/>
    <x v="1"/>
    <s v="no"/>
    <n v="20000"/>
    <s v="paid"/>
  </r>
  <r>
    <s v="M0941931P025"/>
    <s v="SMA"/>
    <s v="Polinomial"/>
    <s v="https://drive.google.com/open?id=1T1MSVLgVpX4N_foZ9DzDiktxhEv9TdM3"/>
    <s v="M0941931P025"/>
    <d v="2020-12-04T00:00:00"/>
    <x v="9"/>
    <n v="-927"/>
    <x v="8"/>
    <n v="0"/>
    <m/>
    <s v="Accepted"/>
    <x v="0"/>
    <s v="no"/>
    <n v="20000"/>
    <s v="paid"/>
  </r>
  <r>
    <s v="M1072051a002"/>
    <s v="SMA"/>
    <s v="Persamaan Lingkaran Dan Irisan Dua Lingkaran"/>
    <s v="https://drive.google.com/open?id=1Id0genanF-228EAg3bGvvxYtjLdfCX-H"/>
    <s v="M1072051a002"/>
    <d v="2020-12-04T00:00:00"/>
    <x v="9"/>
    <n v="-927"/>
    <x v="8"/>
    <n v="0"/>
    <m/>
    <s v="Accepted"/>
    <x v="0"/>
    <s v="yes"/>
    <n v="25000"/>
    <s v="paid"/>
  </r>
  <r>
    <s v="M1072051b002"/>
    <s v="SMA"/>
    <s v="Persamaan Lingkaran Dan Irisan Dua Lingkaran"/>
    <s v="https://drive.google.com/open?id=1Y5e58SCrGXJ23cDASZicHbzMnNS8jtQy"/>
    <s v="M1072051b002"/>
    <d v="2020-12-04T00:00:00"/>
    <x v="9"/>
    <n v="-927"/>
    <x v="8"/>
    <n v="0"/>
    <m/>
    <s v="Accepted"/>
    <x v="1"/>
    <s v="no"/>
    <n v="20000"/>
    <s v="paid"/>
  </r>
  <r>
    <s v="M1072051c002"/>
    <s v="SMA"/>
    <s v="Persamaan Lingkaran Dan Irisan Dua Lingkaran"/>
    <s v="https://drive.google.com/open?id=1TlwD8mHKuD9t55-dKu_DAaBSsh-J1aYG"/>
    <s v="M1072051c002"/>
    <d v="2020-12-04T00:00:00"/>
    <x v="9"/>
    <n v="-927"/>
    <x v="8"/>
    <n v="0"/>
    <m/>
    <s v="Accepted"/>
    <x v="1"/>
    <s v="no"/>
    <n v="20000"/>
    <s v="paid"/>
  </r>
  <r>
    <s v="M1712371P012"/>
    <s v="SMA"/>
    <s v="Turunan"/>
    <s v="https://drive.google.com/open?id=1jNerNPAx0Q0uEkVyXY-9mdGCRzgISfBO"/>
    <s v="M1712371P012"/>
    <d v="2020-12-04T00:00:00"/>
    <x v="9"/>
    <n v="-927"/>
    <x v="9"/>
    <n v="0"/>
    <m/>
    <s v="Accepted"/>
    <x v="1"/>
    <s v="no"/>
    <n v="20000"/>
    <s v="paid"/>
  </r>
  <r>
    <s v="M1712371P013"/>
    <s v="SMA"/>
    <s v="Turunan"/>
    <s v="https://drive.google.com/open?id=1A942_RZugyFiw1UFNllR2BvCIRsRgJeN"/>
    <s v="M1712371P013"/>
    <d v="2020-12-04T00:00:00"/>
    <x v="9"/>
    <n v="-927"/>
    <x v="9"/>
    <n v="0"/>
    <m/>
    <s v="Accepted"/>
    <x v="0"/>
    <s v="no"/>
    <n v="20000"/>
    <s v="paid"/>
  </r>
  <r>
    <s v="M1712371P014"/>
    <s v="SMA"/>
    <s v="Turunan"/>
    <s v="https://drive.google.com/open?id=189DEedW35rTEP0dWV5UgmkrHirpeb_EO"/>
    <s v="M1712371P014"/>
    <d v="2020-12-04T00:00:00"/>
    <x v="9"/>
    <n v="-927"/>
    <x v="9"/>
    <n v="0"/>
    <m/>
    <s v="Accepted"/>
    <x v="1"/>
    <s v="no"/>
    <n v="20000"/>
    <s v="paid"/>
  </r>
  <r>
    <s v="M1712371P015"/>
    <s v="SMA"/>
    <s v="Turunan"/>
    <s v="https://drive.google.com/open?id=1YxM2b15LjCd7GMPCd7d_8UgJqYupUUpm"/>
    <s v="M1712371P015"/>
    <d v="2020-12-04T00:00:00"/>
    <x v="9"/>
    <n v="-927"/>
    <x v="9"/>
    <n v="0"/>
    <m/>
    <s v="Accepted"/>
    <x v="1"/>
    <s v="no"/>
    <n v="20000"/>
    <s v="paid"/>
  </r>
  <r>
    <s v="M1712371P016"/>
    <s v="SMA"/>
    <s v="Turunan"/>
    <s v="https://drive.google.com/open?id=13aY0Uj7BRSEWMMWlIH5wtaBkCbtQnemu"/>
    <s v="M1712371P016"/>
    <d v="2020-12-04T00:00:00"/>
    <x v="9"/>
    <n v="-927"/>
    <x v="9"/>
    <n v="0"/>
    <m/>
    <s v="Accepted"/>
    <x v="1"/>
    <s v="yes"/>
    <n v="25000"/>
    <s v="paid"/>
  </r>
  <r>
    <s v="M1712371P017"/>
    <s v="SMA"/>
    <s v="Turunan"/>
    <s v="https://drive.google.com/open?id=1rm8gTmTSmiwYFEiGSkPxHmioADXl9vQK"/>
    <s v="M1712371P017"/>
    <d v="2020-12-04T00:00:00"/>
    <x v="9"/>
    <n v="-927"/>
    <x v="9"/>
    <n v="0"/>
    <m/>
    <s v="Accepted"/>
    <x v="1"/>
    <s v="no"/>
    <n v="20000"/>
    <s v="paid"/>
  </r>
  <r>
    <s v="M1712371P018"/>
    <s v="SMA"/>
    <s v="Turunan"/>
    <s v="https://drive.google.com/open?id=1iCIG6KEEwwxT4OHEctXrdhuJpgXSU4an"/>
    <s v="M1712371P018"/>
    <d v="2020-12-04T00:00:00"/>
    <x v="9"/>
    <n v="-927"/>
    <x v="9"/>
    <n v="0"/>
    <m/>
    <s v="Accepted"/>
    <x v="0"/>
    <s v="no"/>
    <n v="20000"/>
    <s v="paid"/>
  </r>
  <r>
    <s v="M1712371P019"/>
    <s v="SMA"/>
    <s v="Turunan"/>
    <s v="https://drive.google.com/open?id=11ePSFsWTeYtmUmgTrNuuiBvNNBh0D2gd"/>
    <s v="M1712371P019"/>
    <d v="2020-12-04T00:00:00"/>
    <x v="9"/>
    <n v="-927"/>
    <x v="9"/>
    <n v="0"/>
    <m/>
    <s v="Accepted"/>
    <x v="1"/>
    <s v="no"/>
    <n v="20000"/>
    <s v="paid"/>
  </r>
  <r>
    <s v="M1712371P020"/>
    <s v="SMA"/>
    <s v="Turunan"/>
    <s v="https://drive.google.com/open?id=1H3l68cUDIjxRMqE0GH2jvjS02-SoRLz1"/>
    <s v="M1712371P020"/>
    <d v="2020-12-04T00:00:00"/>
    <x v="9"/>
    <n v="-927"/>
    <x v="9"/>
    <n v="0"/>
    <m/>
    <s v="Accepted"/>
    <x v="1"/>
    <s v="no"/>
    <n v="20000"/>
    <s v="paid"/>
  </r>
  <r>
    <s v="M1072051d002"/>
    <s v="SMA"/>
    <s v="Persamaan Lingkaran Dan Irisan Dua Lingkaran"/>
    <s v="https://drive.google.com/open?id=1ZcTKtDIY5d1-QGWq7csVJwHgUTeFfIY7"/>
    <s v="M1072051d002"/>
    <d v="2020-12-04T00:00:00"/>
    <x v="9"/>
    <n v="-927"/>
    <x v="9"/>
    <n v="0"/>
    <m/>
    <s v="Accepted"/>
    <x v="1"/>
    <s v="no"/>
    <n v="20000"/>
    <s v="paid"/>
  </r>
  <r>
    <s v="M1072051e002"/>
    <s v="SMA"/>
    <s v="Persamaan Lingkaran Dan Irisan Dua Lingkaran"/>
    <s v="https://drive.google.com/open?id=1nzQob6fLzskkmuDT-iznVJ5heOXJAxaa"/>
    <s v="M1072051e002"/>
    <d v="2020-12-04T00:00:00"/>
    <x v="9"/>
    <n v="-927"/>
    <x v="9"/>
    <n v="0"/>
    <m/>
    <s v="Accepted"/>
    <x v="0"/>
    <s v="yes"/>
    <n v="25000"/>
    <s v="paid"/>
  </r>
  <r>
    <s v="M1072051f002"/>
    <s v="SMA"/>
    <s v="Persamaan Lingkaran Dan Irisan Dua Lingkaran"/>
    <s v="https://drive.google.com/open?id=1d00O-rLpM2ibBkuxOAOUHxBfJmxqEG1d"/>
    <s v="M1072051f002"/>
    <d v="2020-12-04T00:00:00"/>
    <x v="9"/>
    <n v="-927"/>
    <x v="9"/>
    <n v="0"/>
    <m/>
    <s v="Accepted"/>
    <x v="0"/>
    <s v="no"/>
    <n v="20000"/>
    <s v="paid"/>
  </r>
  <r>
    <s v="M2641391P002"/>
    <s v="SMA"/>
    <s v="Skalar Dan Vektor Serta Operasi Aljabar Vektor"/>
    <s v="https://drive.google.com/open?id=1mUHTHdDNhzcZi2jgNprcbZRewqmLofog"/>
    <s v="M2641391P002"/>
    <d v="2020-12-22T00:00:00"/>
    <x v="10"/>
    <n v="-909"/>
    <x v="10"/>
    <n v="0"/>
    <m/>
    <s v="Accepted"/>
    <x v="1"/>
    <s v="no"/>
    <n v="20000"/>
    <s v="paid"/>
  </r>
  <r>
    <s v="M2641391P003"/>
    <s v="SMA"/>
    <s v="Skalar Dan Vektor Serta Operasi Aljabar Vektor"/>
    <s v="https://drive.google.com/open?id=1K4sqY_eAHtENASwGbLy-AuWjIUtN7HWw"/>
    <s v="M2641391P003"/>
    <d v="2020-12-22T00:00:00"/>
    <x v="10"/>
    <n v="-909"/>
    <x v="10"/>
    <n v="0"/>
    <m/>
    <s v="Accepted"/>
    <x v="0"/>
    <s v="no"/>
    <n v="20000"/>
    <s v="paid"/>
  </r>
  <r>
    <s v="M2641391P004"/>
    <s v="SMA"/>
    <s v="Skalar Dan Vektor Serta Operasi Aljabar Vektor"/>
    <s v="https://drive.google.com/open?id=14ZNl3McOPgySgK5v739yqTkNC4RHXpy5"/>
    <s v="M2641391P004"/>
    <d v="2020-12-22T00:00:00"/>
    <x v="10"/>
    <n v="-909"/>
    <x v="10"/>
    <n v="0"/>
    <m/>
    <s v="Accepted"/>
    <x v="1"/>
    <s v="yes"/>
    <n v="25000"/>
    <s v="paid"/>
  </r>
  <r>
    <s v="M2641391P005"/>
    <s v="SMA"/>
    <s v="Skalar Dan Vektor Serta Operasi Aljabar Vektor"/>
    <s v="https://drive.google.com/open?id=1myBBHw5Llb31ujtaavWpm-EGsstBmu4o"/>
    <s v="M2641391P005"/>
    <d v="2020-12-22T00:00:00"/>
    <x v="10"/>
    <n v="-909"/>
    <x v="10"/>
    <n v="0"/>
    <m/>
    <s v="Accepted"/>
    <x v="1"/>
    <s v="no"/>
    <n v="20000"/>
    <s v="paid"/>
  </r>
  <r>
    <s v="M2641391P006"/>
    <s v="SMA"/>
    <s v="Skalar Dan Vektor Serta Operasi Aljabar Vektor"/>
    <s v="https://drive.google.com/open?id=1sRn226OAndn0lzUljkHbz3KoEIwEmHFP"/>
    <s v="M2641391P006"/>
    <d v="2020-12-22T00:00:00"/>
    <x v="10"/>
    <n v="-909"/>
    <x v="10"/>
    <n v="0"/>
    <m/>
    <s v="Accepted"/>
    <x v="1"/>
    <s v="no"/>
    <n v="20000"/>
    <s v="paid"/>
  </r>
  <r>
    <s v="M2641391P007"/>
    <s v="SMA"/>
    <s v="Skalar Dan Vektor Serta Operasi Aljabar Vektor"/>
    <s v="https://drive.google.com/open?id=1fLonbYKz8bE-BIvuafxs3toJVHE03963"/>
    <s v="M2641391P007"/>
    <d v="2020-12-22T00:00:00"/>
    <x v="10"/>
    <n v="-909"/>
    <x v="10"/>
    <n v="0"/>
    <m/>
    <s v="Accepted"/>
    <x v="1"/>
    <s v="yes"/>
    <n v="25000"/>
    <s v="paid"/>
  </r>
  <r>
    <s v="M2641391P008"/>
    <s v="SMA"/>
    <s v="Skalar Dan Vektor Serta Operasi Aljabar Vektor"/>
    <s v="https://drive.google.com/open?id=1WruPHyWWHH6TkxyOmW1CzSb6ubMtRkis"/>
    <s v="M2641391P008"/>
    <d v="2020-12-22T00:00:00"/>
    <x v="10"/>
    <n v="-909"/>
    <x v="10"/>
    <n v="0"/>
    <m/>
    <s v="Accepted"/>
    <x v="1"/>
    <s v="yes"/>
    <n v="25000"/>
    <s v="paid"/>
  </r>
  <r>
    <s v="M2641401P009"/>
    <s v="SMA"/>
    <s v="Skalar Dan Vektor Serta Operasi Aljabar Vektor"/>
    <s v="https://drive.google.com/open?id=1jhvfR6xm8JxJMN__aQis4G5n5-vxq9Tk"/>
    <s v="M2641401P009"/>
    <d v="2020-12-22T00:00:00"/>
    <x v="10"/>
    <n v="-909"/>
    <x v="10"/>
    <n v="0"/>
    <m/>
    <s v="Accepted"/>
    <x v="1"/>
    <s v="no"/>
    <n v="20000"/>
    <s v="paid"/>
  </r>
  <r>
    <s v="M2641401P010"/>
    <s v="SMA"/>
    <s v="Skalar Dan Vektor Serta Operasi Aljabar Vektor"/>
    <s v="https://drive.google.com/open?id=1o-5LotfA4eHSyYQnOYk86qT0qyRJFrIy"/>
    <s v="M2641401P010"/>
    <d v="2020-12-22T00:00:00"/>
    <x v="10"/>
    <n v="-909"/>
    <x v="10"/>
    <n v="0"/>
    <m/>
    <s v="Accepted"/>
    <x v="1"/>
    <s v="yes"/>
    <n v="25000"/>
    <s v="paid"/>
  </r>
  <r>
    <s v="M2641401P011"/>
    <s v="SMA"/>
    <s v="Skalar Dan Vektor Serta Operasi Aljabar Vektor"/>
    <s v="https://drive.google.com/open?id=1uhVuN1uJHlgKtndbTWCyFcYiviMwDYPo"/>
    <s v="M2641401P011"/>
    <d v="2020-12-22T00:00:00"/>
    <x v="10"/>
    <n v="-909"/>
    <x v="10"/>
    <n v="0"/>
    <m/>
    <s v="Accepted"/>
    <x v="0"/>
    <s v="yes"/>
    <n v="25000"/>
    <s v="paid"/>
  </r>
  <r>
    <s v="M2641401P012"/>
    <s v="SMA"/>
    <s v="Skalar Dan Vektor Serta Operasi Aljabar Vektor"/>
    <s v="https://drive.google.com/open?id=1LGdwaYpR7pICN07N5hjcIHBeyZTqfm14"/>
    <s v="M2641401P012"/>
    <d v="2020-12-22T00:00:00"/>
    <x v="10"/>
    <n v="-909"/>
    <x v="10"/>
    <n v="0"/>
    <m/>
    <s v="Accepted"/>
    <x v="1"/>
    <s v="no"/>
    <n v="20000"/>
    <s v="paid"/>
  </r>
  <r>
    <s v="M2641401P013"/>
    <s v="SMA"/>
    <s v="Skalar Dan Vektor Serta Operasi Aljabar Vektor"/>
    <s v="https://drive.google.com/open?id=14CpM3GfzZhjmP9D8QKvSJ1-lfRdcds66"/>
    <s v="M2641401P013"/>
    <d v="2020-12-22T00:00:00"/>
    <x v="10"/>
    <n v="-909"/>
    <x v="10"/>
    <n v="0"/>
    <m/>
    <s v="Accepted"/>
    <x v="0"/>
    <s v="yes"/>
    <n v="25000"/>
    <s v="paid"/>
  </r>
  <r>
    <s v="M2641401P014"/>
    <s v="SMA"/>
    <s v="Skalar Dan Vektor Serta Operasi Aljabar Vektor"/>
    <s v="https://drive.google.com/open?id=1V5wAYcKchKccQufs6M2hK0kX2qlwNwQA"/>
    <s v="M2641401P014"/>
    <d v="2020-12-22T00:00:00"/>
    <x v="10"/>
    <n v="-909"/>
    <x v="10"/>
    <n v="0"/>
    <m/>
    <s v="Accepted"/>
    <x v="1"/>
    <s v="no"/>
    <n v="20000"/>
    <s v="paid"/>
  </r>
  <r>
    <s v="M2641401P015"/>
    <s v="SMA"/>
    <s v="Skalar Dan Vektor Serta Operasi Aljabar Vektor"/>
    <s v="https://drive.google.com/open?id=1Cu8yYYQ7QaSKusxba1liumKum9q6b1HD"/>
    <s v="M2641401P015"/>
    <d v="2020-12-22T00:00:00"/>
    <x v="10"/>
    <n v="-909"/>
    <x v="10"/>
    <n v="0"/>
    <m/>
    <s v="Accepted"/>
    <x v="1"/>
    <s v="no"/>
    <n v="20000"/>
    <s v="paid"/>
  </r>
  <r>
    <s v="M1083201P047"/>
    <s v="SMA"/>
    <s v="Integral"/>
    <s v="https://drive.google.com/open?id=1MDwwLp7SxPMlUUwHYBGRWwo-Zqw5k5HP"/>
    <s v="M1083201P047"/>
    <d v="2020-12-23T00:00:00"/>
    <x v="11"/>
    <n v="-908"/>
    <x v="11"/>
    <n v="0"/>
    <m/>
    <s v="Accepted"/>
    <x v="0"/>
    <s v="no"/>
    <n v="20000"/>
    <s v="paid"/>
  </r>
  <r>
    <s v="M2790641P010"/>
    <s v="SMA"/>
    <s v="Trigonometri"/>
    <s v="https://drive.google.com/open?id=1bV2BQdvtDX0mNrng2cFn38zfNdRs00Ma"/>
    <s v="M2790641P010"/>
    <d v="2020-12-23T00:00:00"/>
    <x v="11"/>
    <n v="-908"/>
    <x v="11"/>
    <n v="0"/>
    <m/>
    <s v="Accepted"/>
    <x v="1"/>
    <s v="no"/>
    <n v="20000"/>
    <s v="paid"/>
  </r>
  <r>
    <s v="M2790651P011"/>
    <s v="SMA"/>
    <s v="Trigonometri"/>
    <s v="https://drive.google.com/open?id=1Lh8R1V-2LRTqdLM70dhade2EBMBvsL3J"/>
    <s v="M2790651P011"/>
    <d v="2020-12-23T00:00:00"/>
    <x v="11"/>
    <n v="-908"/>
    <x v="11"/>
    <n v="0"/>
    <m/>
    <s v="Accepted"/>
    <x v="1"/>
    <s v="no"/>
    <n v="20000"/>
    <s v="paid"/>
  </r>
  <r>
    <s v="M2790651P012"/>
    <s v="SMA"/>
    <s v="Trigonometri"/>
    <s v="https://drive.google.com/open?id=1QL6jmBnSomEEhk29PwVT3aUaf8ThlxMV"/>
    <s v="M2790651P012"/>
    <d v="2020-12-23T00:00:00"/>
    <x v="11"/>
    <n v="-908"/>
    <x v="11"/>
    <n v="0"/>
    <m/>
    <s v="Accepted"/>
    <x v="1"/>
    <s v="no"/>
    <n v="20000"/>
    <s v="paid"/>
  </r>
  <r>
    <s v="M2790651P013"/>
    <s v="SMA"/>
    <s v="Trigonometri"/>
    <s v="https://drive.google.com/open?id=1JyqcYUY2-i4DzdAnuWEK6aWyX-neU8kI"/>
    <s v="M2790651P013"/>
    <d v="2020-12-23T00:00:00"/>
    <x v="11"/>
    <n v="-908"/>
    <x v="11"/>
    <n v="0"/>
    <m/>
    <s v="Accepted"/>
    <x v="1"/>
    <s v="no"/>
    <n v="20000"/>
    <s v="paid"/>
  </r>
  <r>
    <s v="M2790651P015"/>
    <s v="SMA"/>
    <s v="Trigonometri"/>
    <s v="https://drive.google.com/open?id=1RMAKj1z8U-1CeKg81jrjaaRmNU87dbFP"/>
    <s v="M2790651P015"/>
    <d v="2020-12-23T00:00:00"/>
    <x v="11"/>
    <n v="-908"/>
    <x v="11"/>
    <n v="0"/>
    <m/>
    <s v="Accepted"/>
    <x v="1"/>
    <s v="no"/>
    <n v="20000"/>
    <s v="paid"/>
  </r>
  <r>
    <s v="M2790651P016"/>
    <s v="SMA"/>
    <s v="Trigonometri"/>
    <s v="https://drive.google.com/open?id=13R5DKVuaGd4PR4WqASh1RItq6T_gCwrQ"/>
    <s v="M2790651P016"/>
    <d v="2020-12-23T00:00:00"/>
    <x v="11"/>
    <n v="-908"/>
    <x v="11"/>
    <n v="0"/>
    <m/>
    <s v="Accepted"/>
    <x v="1"/>
    <s v="yes"/>
    <n v="25000"/>
    <s v="paid"/>
  </r>
  <r>
    <s v="M2790651P018"/>
    <s v="SMA"/>
    <s v="Trigonometri"/>
    <s v="https://drive.google.com/open?id=1-Emh5CwOSWdNqOhyYBwNuu8LetJ32z1L"/>
    <s v="M2790651P018"/>
    <d v="2020-12-23T00:00:00"/>
    <x v="11"/>
    <n v="-908"/>
    <x v="11"/>
    <n v="0"/>
    <m/>
    <s v="Accepted"/>
    <x v="0"/>
    <s v="no"/>
    <n v="20000"/>
    <s v="paid"/>
  </r>
  <r>
    <s v="M2622471P015"/>
    <s v="SMA"/>
    <s v="Statistika Inferensia"/>
    <s v="https://drive.google.com/open?id=19uIWqbm7qJqrTV10c9qYsjfSrmKgDgjC"/>
    <s v="M2622471P015"/>
    <d v="2021-01-08T00:00:00"/>
    <x v="12"/>
    <n v="-892"/>
    <x v="11"/>
    <n v="0"/>
    <m/>
    <s v="Accepted"/>
    <x v="1"/>
    <s v="no"/>
    <n v="20000"/>
    <s v="paid"/>
  </r>
  <r>
    <s v="M2631241E005"/>
    <s v="SMA"/>
    <s v="Fungsi"/>
    <s v="https://drive.google.com/open?id=13lO4qHPAp4FXIT0Mg8bU1K6R_MSsHMDe"/>
    <s v="M2631241E005"/>
    <d v="2021-01-08T00:00:00"/>
    <x v="12"/>
    <n v="-892"/>
    <x v="11"/>
    <n v="0"/>
    <m/>
    <s v="Accepted"/>
    <x v="1"/>
    <s v="no"/>
    <n v="20000"/>
    <s v="paid"/>
  </r>
  <r>
    <s v="M2631241E013"/>
    <s v="SMA"/>
    <s v="Fungsi"/>
    <s v="https://drive.google.com/open?id=1aPW_rbbaG6JNgHAeEYhqQwQ1j0gjjqgY"/>
    <s v="M2631241E013"/>
    <d v="2021-01-08T00:00:00"/>
    <x v="12"/>
    <n v="-892"/>
    <x v="11"/>
    <n v="0"/>
    <m/>
    <s v="Accepted"/>
    <x v="1"/>
    <s v="no"/>
    <n v="20000"/>
    <s v="paid"/>
  </r>
  <r>
    <s v="M0280391P156"/>
    <s v="SMA"/>
    <s v="Persamaan Trigonometri"/>
    <s v="https://drive.google.com/open?id=1vtPCv5_Po_AW58I-HUlLtXuKPrmEy1xh"/>
    <s v="M0280391P156"/>
    <d v="2020-09-22T00:00:00"/>
    <x v="13"/>
    <n v="-1000"/>
    <x v="12"/>
    <n v="0"/>
    <m/>
    <s v="Accepted"/>
    <x v="1"/>
    <s v="no"/>
    <n v="20000"/>
    <s v="paid"/>
  </r>
  <r>
    <s v="M0221702P014"/>
    <s v="SMA"/>
    <s v="Peluang Wajib"/>
    <s v="https://drive.google.com/open?id=1M1TI18hfZ8Wl1zBpvEIHQzYntE1i3tpm"/>
    <s v="M0221702P014"/>
    <d v="2020-09-23T00:00:00"/>
    <x v="4"/>
    <n v="-999"/>
    <x v="12"/>
    <n v="0"/>
    <m/>
    <s v="Accepted"/>
    <x v="1"/>
    <s v="no"/>
    <n v="20000"/>
    <s v="paid"/>
  </r>
  <r>
    <s v="M0070061E005"/>
    <s v="SMP"/>
    <s v="Bilangan Bulat Dan Pecahan"/>
    <s v="https://drive.google.com/open?id=16SmwxIdvalKaa5IS7Ki3WWo9IHqGqyvp"/>
    <s v="M0070061E005"/>
    <d v="2020-09-24T00:00:00"/>
    <x v="5"/>
    <n v="-998"/>
    <x v="12"/>
    <n v="0"/>
    <m/>
    <s v="Accepted"/>
    <x v="1"/>
    <s v="no"/>
    <n v="15000"/>
    <s v="paid"/>
  </r>
  <r>
    <s v="M0070061E007"/>
    <s v="SMP"/>
    <s v="Bilangan Bulat Dan Pecahan"/>
    <s v="https://drive.google.com/open?id=1Jmj_8nDy4YywD68O8po5KWpS4Agc7CGz"/>
    <s v="M0070061E007"/>
    <d v="2020-09-24T00:00:00"/>
    <x v="5"/>
    <n v="-998"/>
    <x v="12"/>
    <n v="0"/>
    <m/>
    <s v="Accepted"/>
    <x v="2"/>
    <s v="yes"/>
    <n v="18000"/>
    <s v="paid"/>
  </r>
  <r>
    <s v="C0090431P002"/>
    <s v="SMP"/>
    <s v="Sudut Dan Garis Sejajar"/>
    <s v="https://drive.google.com/open?id=1GKIthOQQCHOzsO43iioO2MyAzLElEMQ3"/>
    <s v="C0090431P002"/>
    <d v="2020-09-28T00:00:00"/>
    <x v="6"/>
    <n v="-994"/>
    <x v="12"/>
    <n v="0"/>
    <m/>
    <s v="Accepted"/>
    <x v="1"/>
    <s v="yes"/>
    <n v="18000"/>
    <s v="paid"/>
  </r>
  <r>
    <s v="M1871141a001"/>
    <s v="SMA"/>
    <s v="Transformasi"/>
    <s v="https://drive.google.com/open?id=1q-ytBHVJ8rgXYu2f9NWZyi3XvpFYmoYr"/>
    <s v="M1871141a001"/>
    <d v="2020-09-29T00:00:00"/>
    <x v="7"/>
    <n v="-993"/>
    <x v="12"/>
    <n v="0"/>
    <m/>
    <s v="Accepted"/>
    <x v="1"/>
    <s v="no"/>
    <n v="20000"/>
    <s v="paid"/>
  </r>
  <r>
    <s v="C0090431P003"/>
    <s v="SMP"/>
    <s v="Sudut Dan Garis Sejajar"/>
    <s v="https://drive.google.com/open?id=1GKIthOQQCHOzsO43iioO2MyAzLElEMQ3"/>
    <s v="C0090431P003"/>
    <d v="2020-10-01T00:00:00"/>
    <x v="14"/>
    <n v="-991"/>
    <x v="12"/>
    <n v="0"/>
    <m/>
    <s v="Accepted"/>
    <x v="1"/>
    <s v="no"/>
    <n v="15000"/>
    <s v="paid"/>
  </r>
  <r>
    <s v="C0171371P026"/>
    <s v="SMP"/>
    <s v="Bangun Ruang Sisi Lengkung"/>
    <s v="https://drive.google.com/open?id=1pQljazc28xg5Bl8iNspwz2Zrnzrp9OL7"/>
    <s v="C0171371P026"/>
    <d v="2020-11-13T00:00:00"/>
    <x v="3"/>
    <n v="-948"/>
    <x v="12"/>
    <n v="0"/>
    <m/>
    <s v="Accepted"/>
    <x v="1"/>
    <s v="yes"/>
    <n v="18000"/>
    <s v="paid"/>
  </r>
  <r>
    <s v="C0171371P028"/>
    <s v="SMP"/>
    <s v="Bangun Ruang Sisi Datar"/>
    <s v="https://drive.google.com/open?id=1V5awMhO_P_uB-PTAHoolqBIPnGDczwea"/>
    <s v="C0171371P028"/>
    <d v="2020-11-13T00:00:00"/>
    <x v="3"/>
    <n v="-948"/>
    <x v="12"/>
    <n v="0"/>
    <m/>
    <s v="Accepted"/>
    <x v="1"/>
    <s v="no"/>
    <n v="15000"/>
    <s v="paid"/>
  </r>
  <r>
    <s v="M1083201P048"/>
    <s v="SMA"/>
    <s v="Integral"/>
    <s v="https://drive.google.com/open?id=1DxsD8uUOffZK-eJSTydAgyv_JCNFcZnO"/>
    <s v="M1083201P048"/>
    <d v="2020-12-23T00:00:00"/>
    <x v="11"/>
    <n v="-908"/>
    <x v="13"/>
    <n v="0"/>
    <m/>
    <s v="Accepted"/>
    <x v="1"/>
    <s v="yes"/>
    <n v="25000"/>
    <s v="paid"/>
  </r>
  <r>
    <s v="M1083201P049"/>
    <s v="SMA"/>
    <s v="Integral"/>
    <s v="https://drive.google.com/open?id=13UUEL4FUr1nkLtbT_wRTHrYtrEKZUkUg"/>
    <s v="M1083201P049"/>
    <d v="2020-12-23T00:00:00"/>
    <x v="11"/>
    <n v="-908"/>
    <x v="13"/>
    <n v="0"/>
    <m/>
    <s v="Accepted"/>
    <x v="0"/>
    <s v="no"/>
    <n v="20000"/>
    <s v="paid"/>
  </r>
  <r>
    <s v="M2631241E015"/>
    <s v="SMA"/>
    <s v="Fungsi"/>
    <s v="https://drive.google.com/open?id=1as6gQffXagKQTK3gUqwCaASa5TegoE7X"/>
    <s v="M2631241E015"/>
    <d v="2021-01-08T00:00:00"/>
    <x v="12"/>
    <n v="-892"/>
    <x v="13"/>
    <n v="0"/>
    <m/>
    <s v="Accepted"/>
    <x v="0"/>
    <s v="yes"/>
    <n v="25000"/>
    <s v="paid"/>
  </r>
  <r>
    <s v="M2631251a001"/>
    <s v="SMA"/>
    <s v="Fungsi"/>
    <s v="https://drive.google.com/open?id=1v58rfvMiAaszejV1O8Qm3xpec-rOaLTM"/>
    <s v="M2631251a001"/>
    <d v="2021-01-08T00:00:00"/>
    <x v="12"/>
    <n v="-892"/>
    <x v="13"/>
    <n v="0"/>
    <m/>
    <s v="Accepted"/>
    <x v="1"/>
    <s v="no"/>
    <n v="20000"/>
    <s v="paid"/>
  </r>
  <r>
    <s v="M2631251b001"/>
    <s v="SMA"/>
    <s v="Fungsi"/>
    <s v="https://drive.google.com/open?id=14EEuENnsFQVxcnuWYObJWYzKaVixq81b"/>
    <s v="M2631251b001"/>
    <d v="2021-01-08T00:00:00"/>
    <x v="12"/>
    <n v="-892"/>
    <x v="13"/>
    <n v="0"/>
    <m/>
    <s v="Accepted"/>
    <x v="1"/>
    <s v="no"/>
    <n v="20000"/>
    <s v="paid"/>
  </r>
  <r>
    <s v="M2790651P014"/>
    <s v="SMA"/>
    <s v="Trigonometri"/>
    <s v="https://drive.google.com/open?id=1vEHWQPdWGM8Duc7hduQ_3qivN1sUH-YU"/>
    <s v="M2790651P014"/>
    <d v="2020-12-23T00:00:00"/>
    <x v="11"/>
    <n v="-908"/>
    <x v="14"/>
    <n v="0"/>
    <m/>
    <s v="Accepted"/>
    <x v="1"/>
    <s v="yes"/>
    <n v="25000"/>
    <s v="paid"/>
  </r>
  <r>
    <s v="M2790651P017"/>
    <s v="SMA"/>
    <s v="Trigonometri"/>
    <s v="https://drive.google.com/open?id=1WS2cc4kz9vWPgcLYVrLQTSboCTzcln6W"/>
    <s v="M2790651P017"/>
    <d v="2020-12-23T00:00:00"/>
    <x v="11"/>
    <n v="-908"/>
    <x v="14"/>
    <n v="0"/>
    <m/>
    <s v="Accepted"/>
    <x v="1"/>
    <s v="no"/>
    <n v="20000"/>
    <s v="paid"/>
  </r>
  <r>
    <s v="M2622421E016"/>
    <s v="SMA"/>
    <s v="Statistika Inferensia"/>
    <s v="https://drive.google.com/open?id=14daKGw8PZvR9G_GO8Ct6ddnmxobk-_k_"/>
    <s v="M2622421E016"/>
    <d v="2021-01-08T00:00:00"/>
    <x v="12"/>
    <n v="-892"/>
    <x v="14"/>
    <n v="0"/>
    <m/>
    <s v="Accepted"/>
    <x v="1"/>
    <s v="no"/>
    <n v="20000"/>
    <s v="paid"/>
  </r>
  <r>
    <s v="M2631241E004"/>
    <s v="SMA"/>
    <s v="Fungsi"/>
    <s v="https://drive.google.com/open?id=1vbDHg0Pm_fAMPczqKc6k167hYyweh-Yk"/>
    <s v="M2631241E004"/>
    <d v="2021-01-08T00:00:00"/>
    <x v="12"/>
    <n v="-892"/>
    <x v="14"/>
    <n v="0"/>
    <m/>
    <s v="Accepted"/>
    <x v="0"/>
    <s v="no"/>
    <n v="20000"/>
    <s v="paid"/>
  </r>
  <r>
    <s v="M2631241E014"/>
    <s v="SMA"/>
    <s v="Fungsi"/>
    <s v="https://drive.google.com/open?id=1V73O1MGT_XkWI9v5z23MbxAb0UyeZtLO"/>
    <s v="M2631241E014"/>
    <d v="2021-01-08T00:00:00"/>
    <x v="12"/>
    <n v="-892"/>
    <x v="14"/>
    <n v="0"/>
    <m/>
    <s v="Accepted"/>
    <x v="1"/>
    <s v="no"/>
    <n v="20000"/>
    <s v="paid"/>
  </r>
  <r>
    <s v="M0841121E006"/>
    <s v="SMA"/>
    <s v="Grafik, Persamaan, Dan Pertidaksamaan Eksponen Dan Logaritma"/>
    <s v="https://drive.google.com/open?id=1FZy5maHqayHWGnmLoigZtKI5cIOYq7aZ"/>
    <s v="M0841121E006"/>
    <d v="2021-01-20T00:00:00"/>
    <x v="15"/>
    <n v="-880"/>
    <x v="15"/>
    <n v="0"/>
    <m/>
    <s v="Accepted"/>
    <x v="0"/>
    <s v="no"/>
    <n v="20000"/>
    <s v="paid"/>
  </r>
  <r>
    <s v="C0171101P008"/>
    <s v="SMP"/>
    <s v="Kesebangunan Dan Kongruensi"/>
    <s v="https://drive.google.com/open?id=18TRgovRvlrbOGVDHKFg467_8DhqpFpLT"/>
    <s v="C0171101P008"/>
    <d v="2021-01-20T00:00:00"/>
    <x v="15"/>
    <n v="-880"/>
    <x v="15"/>
    <n v="0"/>
    <m/>
    <s v="Accepted"/>
    <x v="1"/>
    <s v="no"/>
    <n v="15000"/>
    <s v="paid"/>
  </r>
  <r>
    <s v="M1110603E001"/>
    <s v="SMA"/>
    <s v="Statistika Wajib"/>
    <s v="https://drive.google.com/open?id=19BfV-zVWMRJB5o9ttdnrW-ANNJGvWDKC"/>
    <s v="M1110603E001"/>
    <d v="2021-01-20T00:00:00"/>
    <x v="15"/>
    <n v="-880"/>
    <x v="15"/>
    <n v="0"/>
    <m/>
    <s v="Accepted"/>
    <x v="1"/>
    <s v="no"/>
    <n v="20000"/>
    <s v="paid"/>
  </r>
  <r>
    <s v="M1110681E001"/>
    <s v="SMA"/>
    <s v="Statistika Wajib"/>
    <s v="https://drive.google.com/open?id=1lRYjXuq5t3vCSh9gzXwX0tR64H_U7U44"/>
    <s v="M1110681E001"/>
    <d v="2021-01-20T00:00:00"/>
    <x v="15"/>
    <n v="-880"/>
    <x v="15"/>
    <n v="0"/>
    <m/>
    <s v="Accepted"/>
    <x v="1"/>
    <s v="yes"/>
    <n v="25000"/>
    <s v="paid"/>
  </r>
  <r>
    <s v="M2901431P033"/>
    <s v="SMA"/>
    <s v="Barisan"/>
    <s v="https://drive.google.com/open?id=1UDAr5gabOU2nLxRKyuec3UAWJlF_xVXt"/>
    <s v="M2901431P033"/>
    <d v="2021-01-22T00:00:00"/>
    <x v="16"/>
    <n v="-878"/>
    <x v="15"/>
    <n v="0"/>
    <m/>
    <s v="Accepted"/>
    <x v="1"/>
    <s v="yes"/>
    <n v="25000"/>
    <s v="paid"/>
  </r>
  <r>
    <s v="M2901431P034"/>
    <s v="SMA"/>
    <s v="Barisan"/>
    <s v="https://drive.google.com/open?id=1N2t_vakSb-pyhNE5J1yhvtgvISaXz0yX"/>
    <s v="M2901431P034"/>
    <d v="2021-01-22T00:00:00"/>
    <x v="16"/>
    <n v="-878"/>
    <x v="15"/>
    <n v="0"/>
    <m/>
    <s v="Accepted"/>
    <x v="0"/>
    <s v="no"/>
    <n v="20000"/>
    <s v="paid"/>
  </r>
  <r>
    <s v="M2902691P035"/>
    <s v="SMA"/>
    <s v="Limit Fungsi"/>
    <s v="https://drive.google.com/open?id=1AHf5rWPIW3_rEyx8WOZo6GU_xQ2LbRj_"/>
    <s v="M2902691P035"/>
    <d v="2021-01-22T00:00:00"/>
    <x v="16"/>
    <n v="-878"/>
    <x v="15"/>
    <n v="0"/>
    <m/>
    <s v="Accepted"/>
    <x v="1"/>
    <s v="yes"/>
    <n v="25000"/>
    <s v="paid"/>
  </r>
  <r>
    <s v="M2902691P036"/>
    <s v="SMA"/>
    <s v="Limit Fungsi"/>
    <s v="https://drive.google.com/open?id=10VfQr2vMmOCeZUQYUqaH2VBpbmlQXIXh"/>
    <s v="M2902691P036"/>
    <d v="2021-01-22T00:00:00"/>
    <x v="16"/>
    <n v="-878"/>
    <x v="15"/>
    <n v="0"/>
    <m/>
    <s v="Accepted"/>
    <x v="1"/>
    <s v="yes"/>
    <n v="25000"/>
    <s v="paid"/>
  </r>
  <r>
    <s v="M2902691P037"/>
    <s v="SMA"/>
    <s v="Limit Fungsi"/>
    <s v="https://drive.google.com/open?id=1e-4WbROK48_yVErGzyGDWxxBNU_1LpR8"/>
    <s v="M2902691P037"/>
    <d v="2021-01-22T00:00:00"/>
    <x v="16"/>
    <n v="-878"/>
    <x v="15"/>
    <n v="0"/>
    <m/>
    <s v="Accepted"/>
    <x v="1"/>
    <s v="no"/>
    <n v="20000"/>
    <s v="paid"/>
  </r>
  <r>
    <s v="B0053924P006"/>
    <s v="SMA"/>
    <s v="Skalar Dan Vektor Serta Operasi Aljabar Vektor"/>
    <s v="https://drive.google.com/open?id=1Rf9cuRJ8ugQphfGwq43ZuZs1mPgPkkLE"/>
    <s v="B0053924P006"/>
    <d v="2020-12-22T00:00:00"/>
    <x v="10"/>
    <n v="-909"/>
    <x v="16"/>
    <n v="0"/>
    <m/>
    <s v="Accepted"/>
    <x v="1"/>
    <s v="no"/>
    <n v="20000"/>
    <s v="paid"/>
  </r>
  <r>
    <s v="M2790672E003"/>
    <s v="SMA"/>
    <s v="Trigonometri"/>
    <s v="https://drive.google.com/open?id=1yQsX8rlgNbikQT3hNzxhqeBesahex57b"/>
    <s v="M2790672E003"/>
    <d v="2021-01-20T00:00:00"/>
    <x v="15"/>
    <n v="-880"/>
    <x v="16"/>
    <n v="0"/>
    <m/>
    <s v="Accepted"/>
    <x v="1"/>
    <s v="no"/>
    <n v="20000"/>
    <s v="paid"/>
  </r>
  <r>
    <s v="M2622461P004"/>
    <s v="SMA"/>
    <s v="Statistika Inferensia"/>
    <s v="https://drive.google.com/open?id=1iCKyI-XijUGIY1yAKKMidDAgrK1olXmt"/>
    <s v="M2622461P004"/>
    <d v="2021-01-20T00:00:00"/>
    <x v="15"/>
    <n v="-880"/>
    <x v="16"/>
    <n v="0"/>
    <m/>
    <s v="Accepted"/>
    <x v="1"/>
    <s v="no"/>
    <n v="20000"/>
    <s v="paid"/>
  </r>
  <r>
    <s v="M2622481P021"/>
    <s v="SMA"/>
    <s v="Statistika Inferensia"/>
    <s v="https://drive.google.com/open?id=1-zARn-XTc_7BRmQhuhgq6tBLB-lWbWmc"/>
    <s v="M2622481P021"/>
    <d v="2021-01-20T00:00:00"/>
    <x v="15"/>
    <n v="-880"/>
    <x v="16"/>
    <n v="0"/>
    <m/>
    <s v="Accepted"/>
    <x v="1"/>
    <s v="no"/>
    <n v="20000"/>
    <s v="paid"/>
  </r>
  <r>
    <s v="M2622482E003"/>
    <s v="SMA"/>
    <s v="Statistika Inferensia"/>
    <s v="https://drive.google.com/open?id=1W-qT7Tr11laE0rWyTea_jGYZYCMOloqt"/>
    <s v="M2622482E003"/>
    <d v="2021-01-20T00:00:00"/>
    <x v="15"/>
    <n v="-880"/>
    <x v="16"/>
    <n v="0"/>
    <m/>
    <s v="Accepted"/>
    <x v="1"/>
    <s v="no"/>
    <n v="20000"/>
    <s v="paid"/>
  </r>
  <r>
    <s v="M2900811P050"/>
    <s v="SMA"/>
    <s v="Fungsi"/>
    <s v="https://drive.google.com/open?id=1cBWLApW-Z62zK7cMFq1Jo-u-rWaOvzwQ"/>
    <s v="M2900811P050"/>
    <d v="2021-01-22T00:00:00"/>
    <x v="16"/>
    <n v="-878"/>
    <x v="16"/>
    <n v="0"/>
    <m/>
    <s v="Accepted"/>
    <x v="1"/>
    <s v="no"/>
    <n v="20000"/>
    <s v="paid"/>
  </r>
  <r>
    <s v="M2900811P052"/>
    <s v="SMA"/>
    <s v="Fungsi"/>
    <s v="https://drive.google.com/open?id=1EdQlnAcAG3pNmpiyrHK_nF4Lf2Z2UlOd"/>
    <s v="M2900811P052"/>
    <d v="2021-01-22T00:00:00"/>
    <x v="16"/>
    <n v="-878"/>
    <x v="16"/>
    <n v="0"/>
    <m/>
    <s v="Accepted"/>
    <x v="1"/>
    <s v="no"/>
    <n v="20000"/>
    <s v="paid"/>
  </r>
  <r>
    <s v="M2900871P100"/>
    <s v="SMA"/>
    <s v="Fungsi"/>
    <s v="https://drive.google.com/open?id=1s1kR1RMa4utt7rJbWmZAOGxLsXC6Aqm8"/>
    <s v="M2900871P100"/>
    <d v="2021-01-22T00:00:00"/>
    <x v="16"/>
    <n v="-878"/>
    <x v="16"/>
    <n v="0"/>
    <m/>
    <s v="Accepted"/>
    <x v="1"/>
    <s v="yes"/>
    <n v="25000"/>
    <s v="paid"/>
  </r>
  <r>
    <s v="M2900871P101"/>
    <s v="SMA"/>
    <s v="Fungsi"/>
    <s v="https://drive.google.com/open?id=19gFMuwU2hGTtwirt3nEgUR3ya17zn7qT"/>
    <s v="M2900871P101"/>
    <d v="2021-01-22T00:00:00"/>
    <x v="16"/>
    <n v="-878"/>
    <x v="16"/>
    <n v="0"/>
    <m/>
    <s v="Accepted"/>
    <x v="1"/>
    <s v="no"/>
    <n v="20000"/>
    <s v="paid"/>
  </r>
  <r>
    <s v="M2900871P102"/>
    <s v="SMA"/>
    <s v="Fungsi"/>
    <s v="https://drive.google.com/open?id=1yF7Ft9VGIMmP6bJ3mCXEfBEfkE7yqNOI"/>
    <s v="M2900871P102"/>
    <d v="2021-01-22T00:00:00"/>
    <x v="16"/>
    <n v="-878"/>
    <x v="16"/>
    <n v="0"/>
    <m/>
    <s v="Accepted"/>
    <x v="1"/>
    <s v="no"/>
    <n v="20000"/>
    <s v="paid"/>
  </r>
  <r>
    <s v="M2901171P062"/>
    <s v="SMA"/>
    <s v="Trigonometri"/>
    <s v="https://drive.google.com/open?id=1Nzq_Fu6qzKLdA0VheaVBIGsaTcNL96cx"/>
    <s v="M2901171P062"/>
    <d v="2021-01-22T00:00:00"/>
    <x v="16"/>
    <n v="-878"/>
    <x v="16"/>
    <n v="0"/>
    <m/>
    <s v="Accepted"/>
    <x v="1"/>
    <s v="no"/>
    <n v="20000"/>
    <s v="paid"/>
  </r>
  <r>
    <s v="M2901181P063"/>
    <s v="SMA"/>
    <s v="Trigonometri"/>
    <s v="https://drive.google.com/open?id=1_DCPAmd3i1AyTs_YOjNKrazlkfD_USSj"/>
    <s v="M2901181P063"/>
    <d v="2021-01-22T00:00:00"/>
    <x v="16"/>
    <n v="-878"/>
    <x v="16"/>
    <n v="0"/>
    <m/>
    <s v="Accepted"/>
    <x v="1"/>
    <s v="no"/>
    <n v="20000"/>
    <s v="paid"/>
  </r>
  <r>
    <s v="M2901181P064"/>
    <s v="SMA"/>
    <s v="Trigonometri"/>
    <s v="https://drive.google.com/open?id=1aVkXs6REjK_-voypP2t6QNhGuKv2y8Tv"/>
    <s v="M2901181P064"/>
    <d v="2021-01-22T00:00:00"/>
    <x v="16"/>
    <n v="-878"/>
    <x v="16"/>
    <n v="0"/>
    <m/>
    <s v="Accepted"/>
    <x v="1"/>
    <s v="no"/>
    <n v="20000"/>
    <s v="paid"/>
  </r>
  <r>
    <s v="M2901431P035"/>
    <s v="SMA"/>
    <s v="Barisan"/>
    <s v="https://drive.google.com/open?id=1d1Aqx_IbcyDn3ydRTpK3aWn4G8cawfFD"/>
    <s v="M2901431P035"/>
    <d v="2021-01-22T00:00:00"/>
    <x v="16"/>
    <n v="-878"/>
    <x v="16"/>
    <n v="0"/>
    <m/>
    <s v="Accepted"/>
    <x v="0"/>
    <s v="yes"/>
    <n v="25000"/>
    <s v="paid"/>
  </r>
  <r>
    <s v="M3130501P013"/>
    <s v="SMA"/>
    <s v="Persamaan Lingkaran Dan Irisan Dua Lingkaran"/>
    <s v="https://drive.google.com/open?id=1jrRLebBdboerDnOAV2ZIf-OvdPozpUcg"/>
    <s v="M3130501P013"/>
    <d v="2021-01-29T00:00:00"/>
    <x v="17"/>
    <n v="-871"/>
    <x v="17"/>
    <n v="0"/>
    <m/>
    <s v="Accepted"/>
    <x v="1"/>
    <s v="yes"/>
    <n v="25000"/>
    <s v="paid"/>
  </r>
  <r>
    <s v="M2380751E008"/>
    <s v="SMA"/>
    <s v="Irisan Kerucut"/>
    <s v="https://drive.google.com/open?id=1F4H4l4TAF0OHZaX7l_b-tfVnJv5pHI1m"/>
    <s v="M2380751E008"/>
    <d v="2021-01-29T00:00:00"/>
    <x v="17"/>
    <n v="-871"/>
    <x v="17"/>
    <n v="0"/>
    <m/>
    <s v="Accepted"/>
    <x v="1"/>
    <s v="yes"/>
    <n v="25000"/>
    <s v="paid"/>
  </r>
  <r>
    <s v="M2960021P005"/>
    <s v="SMA"/>
    <s v="Grafik, Persamaan, Dan Pertidaksamaan Eksponen Dan Logaritma"/>
    <s v="https://drive.google.com/open?id=1dWTZEPz5O22meM6OfuxzjIhzFluPdq6M"/>
    <s v="M2960021P005"/>
    <d v="2021-01-29T00:00:00"/>
    <x v="17"/>
    <n v="-871"/>
    <x v="17"/>
    <n v="0"/>
    <m/>
    <s v="Accepted"/>
    <x v="1"/>
    <s v="no"/>
    <n v="20000"/>
    <s v="paid"/>
  </r>
  <r>
    <s v="M0430842E001"/>
    <s v="SMA"/>
    <s v="Statistika Inferensia"/>
    <s v="https://drive.google.com/open?id=16L-qI3tYq9pNYGgb8Ioxr7SfWCXrnpxD"/>
    <s v="M0430842E001"/>
    <d v="2021-01-29T00:00:00"/>
    <x v="17"/>
    <n v="-871"/>
    <x v="17"/>
    <n v="0"/>
    <m/>
    <s v="Accepted"/>
    <x v="1"/>
    <s v="yes"/>
    <n v="25000"/>
    <s v="paid"/>
  </r>
  <r>
    <s v="M2671031P006"/>
    <s v="SMA"/>
    <s v="Dimensi Tiga"/>
    <s v="https://drive.google.com/open?id=1P3_Mot-fSpe09G6d-uZG5pVtMaiGddbb"/>
    <s v="M2671031P006"/>
    <d v="2021-02-03T00:00:00"/>
    <x v="18"/>
    <n v="-866"/>
    <x v="18"/>
    <n v="0"/>
    <m/>
    <s v="Accepted"/>
    <x v="0"/>
    <s v="yes"/>
    <n v="25000"/>
    <s v="paid"/>
  </r>
  <r>
    <s v="B0101131c001"/>
    <s v="SMA"/>
    <s v="Limit Fungsi"/>
    <s v="https://drive.google.com/open?id=1-H1eHTxeoZ-XqBlcjzdIMslNrdnW5V_a"/>
    <s v="B0101131c001"/>
    <d v="2021-02-03T00:00:00"/>
    <x v="18"/>
    <n v="-866"/>
    <x v="18"/>
    <n v="0"/>
    <m/>
    <s v="Accepted"/>
    <x v="1"/>
    <s v="no"/>
    <n v="20000"/>
    <s v="paid"/>
  </r>
  <r>
    <s v="M2671861P002"/>
    <s v="SMA"/>
    <s v="Dimensi Tiga"/>
    <s v="https://drive.google.com/open?id=1giwpFxcQl3a0vqrOtXOVB9laeTDUTJkq"/>
    <s v="M2671861P002"/>
    <d v="2021-02-03T00:00:00"/>
    <x v="18"/>
    <n v="-866"/>
    <x v="19"/>
    <n v="0"/>
    <m/>
    <s v="Accepted"/>
    <x v="0"/>
    <s v="yes"/>
    <n v="25000"/>
    <s v="paid"/>
  </r>
  <r>
    <s v="M2870752E009"/>
    <s v="SMA"/>
    <s v="Irisan Kerucut"/>
    <s v="https://drive.google.com/open?id=1Em5mEJW6jcunW10emtDKuvxVyOFsf21M"/>
    <s v="M2870752E009"/>
    <d v="2021-02-03T00:00:00"/>
    <x v="18"/>
    <n v="-866"/>
    <x v="19"/>
    <n v="0"/>
    <m/>
    <s v="Accepted"/>
    <x v="2"/>
    <s v="no"/>
    <n v="20000"/>
    <s v="paid"/>
  </r>
  <r>
    <s v="M2640401P065"/>
    <s v="SMA"/>
    <s v="Sistem Pertidaksamaan Dua Variabel"/>
    <s v="https://drive.google.com/open?id=17p0vcG3rUPJdrXT1JHLzBbWadIb8WNW5"/>
    <s v="M2640401P065"/>
    <d v="2021-02-05T00:00:00"/>
    <x v="19"/>
    <n v="-864"/>
    <x v="20"/>
    <n v="0"/>
    <m/>
    <s v="Accepted"/>
    <x v="1"/>
    <s v="no"/>
    <n v="20000"/>
    <s v="paid"/>
  </r>
  <r>
    <s v="M2640631P027"/>
    <s v="SMA"/>
    <s v="Sistem Pertidaksamaan Dua Variabel"/>
    <s v="https://drive.google.com/open?id=1uvZuDWkVFnO8klFVM0TsK6kxz63jEYu5"/>
    <s v="M2640631P027"/>
    <d v="2021-02-05T00:00:00"/>
    <x v="19"/>
    <n v="-864"/>
    <x v="20"/>
    <n v="0"/>
    <m/>
    <s v="Accepted"/>
    <x v="1"/>
    <s v="yes"/>
    <n v="25000"/>
    <s v="paid"/>
  </r>
  <r>
    <s v="M2651282E001"/>
    <s v="SMA"/>
    <s v="Grafik, Persamaan, Dan Pertidaksamaan Eksponen Dan Logaritma"/>
    <s v="https://drive.google.com/open?id=19uXDdjJZFxKQ_cNBY6CVrQsLJuufydOM"/>
    <s v="M2651282E001"/>
    <d v="2021-02-05T00:00:00"/>
    <x v="19"/>
    <n v="-864"/>
    <x v="21"/>
    <n v="0"/>
    <m/>
    <s v="Accepted"/>
    <x v="1"/>
    <s v="no"/>
    <n v="20000"/>
    <s v="paid"/>
  </r>
  <r>
    <s v="M2770601E001"/>
    <s v="SMA"/>
    <s v="Statistika Wajib"/>
    <s v="https://drive.google.com/open?id=1y-kwm_Ymy8nUlz54qvltWaKxyDiM9UJD"/>
    <s v="M2770601E001"/>
    <d v="2021-02-05T00:00:00"/>
    <x v="19"/>
    <n v="-864"/>
    <x v="21"/>
    <n v="0"/>
    <m/>
    <s v="Accepted"/>
    <x v="1"/>
    <s v="yes"/>
    <n v="25000"/>
    <s v="paid"/>
  </r>
  <r>
    <s v="M2780371E001"/>
    <s v="SMA"/>
    <s v="Statistika Wajib"/>
    <s v="https://drive.google.com/open?id=1WYkC3TX64nwmMy3KK0HKKWeukhot9a0q"/>
    <s v="M2780371E001"/>
    <d v="2021-02-05T00:00:00"/>
    <x v="19"/>
    <n v="-864"/>
    <x v="22"/>
    <n v="0"/>
    <m/>
    <s v="Accepted"/>
    <x v="0"/>
    <s v="no"/>
    <n v="20000"/>
    <s v="paid"/>
  </r>
  <r>
    <s v="M2780422E001"/>
    <s v="SMA"/>
    <s v="Statistika Wajib"/>
    <s v="https://drive.google.com/open?id=1LkcPQFNDbBCbQkpWGPT66cMglKmyV_Jt"/>
    <s v="M2780422E001"/>
    <d v="2021-02-05T00:00:00"/>
    <x v="19"/>
    <n v="-864"/>
    <x v="22"/>
    <n v="0"/>
    <m/>
    <s v="Accepted"/>
    <x v="0"/>
    <s v="no"/>
    <n v="20000"/>
    <s v="paid"/>
  </r>
  <r>
    <s v="M2780481E001"/>
    <s v="SMA"/>
    <s v="Statistika Wajib"/>
    <s v="https://drive.google.com/open?id=1oEUfhONtGPvFTnMLIIFBN1-3gWzmWpYt"/>
    <s v="M2780481E001"/>
    <d v="2021-02-05T00:00:00"/>
    <x v="19"/>
    <n v="-864"/>
    <x v="22"/>
    <n v="0"/>
    <m/>
    <s v="Accepted"/>
    <x v="1"/>
    <s v="no"/>
    <n v="20000"/>
    <s v="paid"/>
  </r>
  <r>
    <s v="M2903581P077"/>
    <s v="SMA"/>
    <s v="Dimensi Tiga"/>
    <s v="https://drive.google.com/open?id=1nwjx7K6UcYKg1eus1rHc6EzvBQ8I6hMp"/>
    <s v="M2903581P077"/>
    <d v="2021-02-05T00:00:00"/>
    <x v="19"/>
    <n v="-864"/>
    <x v="22"/>
    <n v="0"/>
    <m/>
    <s v="Accepted"/>
    <x v="1"/>
    <s v="no"/>
    <n v="20000"/>
    <s v="paid"/>
  </r>
  <r>
    <s v="M2650131E001"/>
    <s v="SMA"/>
    <s v="Persamaan Dan Pertidaksamaan Linear Satu Variabel Wajib"/>
    <s v="https://drive.google.com/open?id=1OK-TJgGzEfU949vtT8QrTOKNmg9Lyrrw"/>
    <s v="M2650131E001"/>
    <d v="2021-02-05T00:00:00"/>
    <x v="19"/>
    <n v="-864"/>
    <x v="22"/>
    <n v="0"/>
    <m/>
    <s v="Accepted"/>
    <x v="1"/>
    <s v="no"/>
    <n v="20000"/>
    <s v="paid"/>
  </r>
  <r>
    <s v="M2650141a003"/>
    <s v="SMA"/>
    <s v="Persamaan Dan Pertidaksamaan Linear Satu Variabel Wajib"/>
    <s v="https://drive.google.com/open?id=1U4sgkv1xLk6liwpBJum_DPcwMC_oADz7"/>
    <s v="M2650141a003"/>
    <d v="2021-02-05T00:00:00"/>
    <x v="19"/>
    <n v="-864"/>
    <x v="22"/>
    <n v="0"/>
    <m/>
    <s v="Accepted"/>
    <x v="1"/>
    <s v="yes"/>
    <n v="25000"/>
    <s v="paid"/>
  </r>
  <r>
    <s v="M2650242E007"/>
    <s v="SMA"/>
    <s v="Sistem Persamaan Linear"/>
    <s v="https://drive.google.com/open?id=1YuMMALM0XJ3J48lJQseC3ZTzDzV3eknb"/>
    <s v="M2650242E007"/>
    <d v="2021-02-05T00:00:00"/>
    <x v="19"/>
    <n v="-864"/>
    <x v="22"/>
    <n v="0"/>
    <m/>
    <s v="Accepted"/>
    <x v="0"/>
    <s v="yes"/>
    <n v="25000"/>
    <s v="paid"/>
  </r>
  <r>
    <s v="M2650452c010"/>
    <s v="SMA"/>
    <s v="Sistem Pertidaksamaan Dua Variabel"/>
    <s v="https://drive.google.com/open?id=1Agq1bvb6mxTPriwHDrjqvmtsYzr-DpuC"/>
    <s v="M2650452c010"/>
    <d v="2021-02-05T00:00:00"/>
    <x v="19"/>
    <n v="-864"/>
    <x v="22"/>
    <n v="0"/>
    <m/>
    <s v="Accepted"/>
    <x v="1"/>
    <s v="no"/>
    <n v="20000"/>
    <s v="paid"/>
  </r>
  <r>
    <s v="M2651452a008"/>
    <s v="SMA"/>
    <s v="Grafik, Persamaan, Dan Pertidaksamaan Eksponen Dan Logaritma"/>
    <s v="https://drive.google.com/open?id=1Kd5e0-PuIXSqNIFOi61fzU-Sfwwr4Y9a"/>
    <s v="M2651452a008"/>
    <d v="2021-02-05T00:00:00"/>
    <x v="19"/>
    <n v="-864"/>
    <x v="22"/>
    <n v="0"/>
    <m/>
    <s v="Accepted"/>
    <x v="1"/>
    <s v="yes"/>
    <n v="25000"/>
    <s v="paid"/>
  </r>
  <r>
    <s v="M2780301E001"/>
    <s v="SMA"/>
    <s v="Statistika Wajib"/>
    <s v="https://drive.google.com/open?id=1P_LOg5VVKQBfmXhxzqvOQcxgNXyorXNv"/>
    <s v="M2780301E001"/>
    <d v="2021-02-05T00:00:00"/>
    <x v="19"/>
    <n v="-864"/>
    <x v="22"/>
    <n v="0"/>
    <m/>
    <s v="Accepted"/>
    <x v="0"/>
    <s v="yes"/>
    <n v="25000"/>
    <s v="paid"/>
  </r>
  <r>
    <s v="M2640641P033"/>
    <s v="SMA"/>
    <s v="Sistem Pertidaksamaan Dua Variabel"/>
    <s v="https://drive.google.com/open?id=17tnUv2Bt_tJTgE1sgr2zsJr4urVQPcrR"/>
    <s v="M2640641P033"/>
    <d v="2021-02-11T00:00:00"/>
    <x v="20"/>
    <n v="-858"/>
    <x v="22"/>
    <n v="0"/>
    <m/>
    <s v="Accepted"/>
    <x v="1"/>
    <s v="yes"/>
    <n v="25000"/>
    <s v="paid"/>
  </r>
  <r>
    <s v="M3201571E001"/>
    <s v="SMA"/>
    <s v="Fungsi"/>
    <s v="https://drive.google.com/open?id=1fH-7cm8MxyXBhF5MZ58lZoqVLfxFiaSE"/>
    <s v="M3201571E001"/>
    <d v="2021-02-11T00:00:00"/>
    <x v="20"/>
    <n v="-858"/>
    <x v="22"/>
    <n v="0"/>
    <m/>
    <s v="Accepted"/>
    <x v="1"/>
    <s v="no"/>
    <n v="20000"/>
    <s v="paid"/>
  </r>
  <r>
    <s v="M1170681P026"/>
    <s v="SMA"/>
    <s v="Program Linear"/>
    <s v="https://drive.google.com/open?id=1RuHhzQavQI7rcJwMhwSJQV0t_2ReRAl0"/>
    <s v="M1170681P026"/>
    <d v="2021-02-11T00:00:00"/>
    <x v="20"/>
    <n v="-858"/>
    <x v="22"/>
    <n v="0"/>
    <m/>
    <s v="Accepted"/>
    <x v="1"/>
    <s v="no"/>
    <n v="20000"/>
    <s v="paid"/>
  </r>
  <r>
    <s v="M1170681P030"/>
    <s v="SMA"/>
    <s v="Program Linear"/>
    <s v="https://drive.google.com/open?id=1J5XK5pUGnmUL1ajuvjochLdDj6fj1BbZ"/>
    <s v="M1170681P030"/>
    <d v="2021-02-11T00:00:00"/>
    <x v="20"/>
    <n v="-858"/>
    <x v="22"/>
    <n v="0"/>
    <m/>
    <s v="Accepted"/>
    <x v="1"/>
    <s v="yes"/>
    <n v="25000"/>
    <s v="paid"/>
  </r>
  <r>
    <s v="M1170721P001"/>
    <s v="SMA"/>
    <s v="Matriks"/>
    <s v="https://drive.google.com/open?id=1t5nOrUt1kywdTtetcCyvRZYy0JgAYVQK"/>
    <s v="M1170721P001"/>
    <d v="2021-02-11T00:00:00"/>
    <x v="20"/>
    <n v="-858"/>
    <x v="22"/>
    <n v="0"/>
    <m/>
    <s v="Accepted"/>
    <x v="1"/>
    <s v="no"/>
    <n v="20000"/>
    <s v="paid"/>
  </r>
  <r>
    <s v="A0030120E007"/>
    <s v="SMA"/>
    <s v="Integral"/>
    <s v="https://drive.google.com/open?id=1s7Guk0fhX8YWAIKwore0lUdsYFJGCdWy"/>
    <s v="A0030120E007"/>
    <d v="2021-02-16T00:00:00"/>
    <x v="21"/>
    <n v="-853"/>
    <x v="23"/>
    <n v="0"/>
    <m/>
    <s v="Accepted"/>
    <x v="1"/>
    <s v="no"/>
    <n v="20000"/>
    <s v="paid"/>
  </r>
  <r>
    <s v="A0030269E003"/>
    <s v="SMA"/>
    <s v="Barisan"/>
    <s v="https://drive.google.com/open?id=1ODlDBTzwcllYYgsCb3HK-WO0bl2dUGEv"/>
    <s v="A0030269E003"/>
    <d v="2021-02-16T00:00:00"/>
    <x v="21"/>
    <n v="-853"/>
    <x v="23"/>
    <n v="0"/>
    <m/>
    <s v="Accepted"/>
    <x v="1"/>
    <s v="no"/>
    <n v="20000"/>
    <s v="paid"/>
  </r>
  <r>
    <s v="A0030426P005"/>
    <s v="SMA"/>
    <s v="Persamaan Lingkaran Dan Irisan Dua Lingkaran"/>
    <s v="https://drive.google.com/open?id=13C5yM9F96D1wAAbJVC6hPRz4gg3sQ-Aa"/>
    <s v="A0030426P005"/>
    <d v="2021-02-16T00:00:00"/>
    <x v="21"/>
    <n v="-853"/>
    <x v="23"/>
    <n v="0"/>
    <m/>
    <s v="Accepted"/>
    <x v="1"/>
    <s v="yes"/>
    <n v="25000"/>
    <s v="paid"/>
  </r>
  <r>
    <s v="A0030803E008"/>
    <s v="SMA"/>
    <s v="Limit Fungsi"/>
    <s v="https://drive.google.com/open?id=1gbqIMnguwaLEVnQwGetsvSQXajjFuZxl"/>
    <s v="A0030803E008"/>
    <d v="2021-02-16T00:00:00"/>
    <x v="21"/>
    <n v="-853"/>
    <x v="23"/>
    <n v="0"/>
    <m/>
    <s v="Accepted"/>
    <x v="0"/>
    <s v="no"/>
    <n v="20000"/>
    <s v="paid"/>
  </r>
  <r>
    <s v="B0030182E001"/>
    <s v="SMA"/>
    <s v="Matriks"/>
    <s v="https://drive.google.com/open?id=1FkkVl11XzEGSZQPIgj07F0s3iyxapvFg"/>
    <s v="B0030182E001"/>
    <d v="2021-02-16T00:00:00"/>
    <x v="21"/>
    <n v="-853"/>
    <x v="23"/>
    <n v="0"/>
    <m/>
    <s v="Accepted"/>
    <x v="1"/>
    <s v="no"/>
    <n v="20000"/>
    <s v="paid"/>
  </r>
  <r>
    <s v="B0030482E001"/>
    <s v="SMA"/>
    <s v="Matriks"/>
    <s v="https://drive.google.com/open?id=1h-VRyJLjfCqvNDMAvFwt2Fz0dkkdpuaD"/>
    <s v="B0030482E001"/>
    <d v="2021-02-16T00:00:00"/>
    <x v="21"/>
    <n v="-853"/>
    <x v="23"/>
    <n v="0"/>
    <m/>
    <s v="Accepted"/>
    <x v="1"/>
    <s v="no"/>
    <n v="20000"/>
    <s v="paid"/>
  </r>
  <r>
    <s v="B0030562E001"/>
    <s v="SMA"/>
    <s v="Matriks"/>
    <s v="https://drive.google.com/open?id=1JoZbSe42dTAT6Xp2ZiQivMkNyb-TjPlx"/>
    <s v="B0030562E001"/>
    <d v="2021-02-16T00:00:00"/>
    <x v="21"/>
    <n v="-853"/>
    <x v="24"/>
    <n v="0"/>
    <m/>
    <s v="Accepted"/>
    <x v="0"/>
    <s v="no"/>
    <n v="20000"/>
    <s v="paid"/>
  </r>
  <r>
    <s v="B0030722E001"/>
    <s v="SMA"/>
    <s v="Matriks"/>
    <s v="https://drive.google.com/open?id=1degn2HpE5eTVyzXYnszvaYAILfdgDEyv"/>
    <s v="B0030722E001"/>
    <d v="2021-02-16T00:00:00"/>
    <x v="21"/>
    <n v="-853"/>
    <x v="24"/>
    <n v="0"/>
    <m/>
    <s v="Accepted"/>
    <x v="1"/>
    <s v="no"/>
    <n v="20000"/>
    <s v="paid"/>
  </r>
  <r>
    <s v="B0030872E001"/>
    <s v="SMA"/>
    <s v="Matriks"/>
    <s v="https://drive.google.com/open?id=1Xx6oRcZ0v_OnNoWZmhkidTzNvNhuOixw"/>
    <s v="B0030872E001"/>
    <d v="2021-02-16T00:00:00"/>
    <x v="21"/>
    <n v="-853"/>
    <x v="24"/>
    <n v="0"/>
    <m/>
    <s v="Accepted"/>
    <x v="1"/>
    <s v="no"/>
    <n v="20000"/>
    <s v="paid"/>
  </r>
  <r>
    <s v="B0031012E001"/>
    <s v="SMA"/>
    <s v="Matriks"/>
    <s v="https://drive.google.com/open?id=1PERTopcFMI8Gfu3oDGg-oVHyraFZL46m"/>
    <s v="B0031012E001"/>
    <d v="2021-02-16T00:00:00"/>
    <x v="21"/>
    <n v="-853"/>
    <x v="24"/>
    <n v="0"/>
    <m/>
    <s v="Accepted"/>
    <x v="0"/>
    <s v="no"/>
    <n v="20000"/>
    <s v="paid"/>
  </r>
  <r>
    <s v="B0031472E001"/>
    <s v="SMA"/>
    <s v="Matriks"/>
    <s v="https://drive.google.com/open?id=1ZG3qgu5dNwVW52Wq_u1Rmi6ML5Z0mLu8"/>
    <s v="B0031472E001"/>
    <d v="2021-02-16T00:00:00"/>
    <x v="21"/>
    <n v="-853"/>
    <x v="24"/>
    <n v="0"/>
    <m/>
    <s v="Accepted"/>
    <x v="1"/>
    <s v="yes"/>
    <n v="25000"/>
    <s v="paid"/>
  </r>
  <r>
    <s v="B0031622a001"/>
    <s v="SMA"/>
    <s v="Matriks"/>
    <s v="https://drive.google.com/open?id=1RcCrMhFc17yKY4PbxZjMCHKC1h0MBLLo"/>
    <s v="B0031622a001"/>
    <d v="2021-02-16T00:00:00"/>
    <x v="21"/>
    <n v="-853"/>
    <x v="24"/>
    <n v="0"/>
    <m/>
    <s v="Accepted"/>
    <x v="1"/>
    <s v="yes"/>
    <n v="25000"/>
    <s v="paid"/>
  </r>
  <r>
    <s v="B0031902E001"/>
    <s v="SMA"/>
    <s v="Matriks"/>
    <s v="https://drive.google.com/open?id=1zzemCnZACWRXIx7CPPBwsMcp5HBfdJo7"/>
    <s v="B0031902E001"/>
    <d v="2021-02-16T00:00:00"/>
    <x v="21"/>
    <n v="-853"/>
    <x v="24"/>
    <n v="0"/>
    <m/>
    <s v="Accepted"/>
    <x v="1"/>
    <s v="no"/>
    <n v="20000"/>
    <s v="paid"/>
  </r>
  <r>
    <s v="B0031982a001"/>
    <s v="SMA"/>
    <s v="Matriks"/>
    <s v="https://drive.google.com/open?id=1UoJWPEhN92A1hIA_HSKwKMaaXG3ysx6m"/>
    <s v="B0031982a001"/>
    <d v="2021-02-16T00:00:00"/>
    <x v="21"/>
    <n v="-853"/>
    <x v="24"/>
    <n v="0"/>
    <m/>
    <s v="Accepted"/>
    <x v="1"/>
    <s v="yes"/>
    <n v="25000"/>
    <s v="paid"/>
  </r>
  <r>
    <s v="B0032052a001"/>
    <s v="SMA"/>
    <s v="Matriks"/>
    <s v="https://drive.google.com/open?id=1b0GrcGnG9WibVmqx4A79dsbIp1zdwfd0"/>
    <s v="B0032052a001"/>
    <d v="2021-02-16T00:00:00"/>
    <x v="21"/>
    <n v="-853"/>
    <x v="24"/>
    <n v="0"/>
    <m/>
    <s v="Accepted"/>
    <x v="1"/>
    <s v="yes"/>
    <n v="25000"/>
    <s v="paid"/>
  </r>
  <r>
    <s v="M2570432E008"/>
    <s v="SMP"/>
    <s v="Relasi Dan Fungsi"/>
    <s v="https://drive.google.com/open?id=138zFez85VYl1mj2nKIW1iH7KGYRRyOql"/>
    <s v="M2570432E008"/>
    <d v="2021-02-16T00:00:00"/>
    <x v="21"/>
    <n v="-853"/>
    <x v="25"/>
    <n v="0"/>
    <m/>
    <s v="Accepted"/>
    <x v="1"/>
    <s v="yes"/>
    <n v="18000"/>
    <s v="paid"/>
  </r>
  <r>
    <s v="M3201521E005"/>
    <s v="SMA"/>
    <s v="Fungsi"/>
    <s v="https://drive.google.com/open?id=1vyRi4e4jGq3bEErn1cyfV6s5R6BUtgYT"/>
    <s v="M3201521E005"/>
    <d v="2021-02-16T00:00:00"/>
    <x v="21"/>
    <n v="-853"/>
    <x v="25"/>
    <n v="0"/>
    <m/>
    <s v="Accepted"/>
    <x v="1"/>
    <s v="no"/>
    <n v="20000"/>
    <s v="paid"/>
  </r>
  <r>
    <s v="M3010254E019"/>
    <s v="SMA"/>
    <s v="Sistem Pertidaksamaan Dua Variabel"/>
    <s v="https://drive.google.com/open?id=1-phNohaOd8GCH5uss5Tnt-YkX0jxzJ44"/>
    <s v="M3010254E019"/>
    <d v="2021-02-16T00:00:00"/>
    <x v="21"/>
    <n v="-853"/>
    <x v="25"/>
    <n v="0"/>
    <m/>
    <s v="Accepted"/>
    <x v="1"/>
    <s v="yes"/>
    <n v="25000"/>
    <s v="paid"/>
  </r>
  <r>
    <s v="M3020541P020"/>
    <s v="SMA"/>
    <s v="Polinomial"/>
    <s v="https://drive.google.com/open?id=1PKSAi7E6hDLzNx8jcgUfpMQVWyswDGWK"/>
    <s v="M3020541P020"/>
    <d v="2021-02-16T00:00:00"/>
    <x v="21"/>
    <n v="-853"/>
    <x v="25"/>
    <n v="0"/>
    <m/>
    <s v="Accepted"/>
    <x v="1"/>
    <s v="no"/>
    <n v="20000"/>
    <s v="paid"/>
  </r>
  <r>
    <s v="B0031962E004"/>
    <s v="SMA"/>
    <s v="Matriks"/>
    <s v="https://drive.google.com/open?id=1lesimwwcoIvq80LEJjE4jryyzPcFzt53"/>
    <s v="B0031962E004"/>
    <d v="2021-02-16T00:00:00"/>
    <x v="21"/>
    <n v="-853"/>
    <x v="25"/>
    <n v="0"/>
    <m/>
    <s v="Accepted"/>
    <x v="0"/>
    <s v="no"/>
    <n v="20000"/>
    <s v="paid"/>
  </r>
  <r>
    <s v="B0032092E002"/>
    <s v="SMA"/>
    <s v="Matriks"/>
    <s v="https://drive.google.com/open?id=1MnvQ6WZvRbSfIc3AR4oMPaYxSjA5p_tJ"/>
    <s v="B0032092E002"/>
    <d v="2021-02-16T00:00:00"/>
    <x v="21"/>
    <n v="-853"/>
    <x v="25"/>
    <n v="0"/>
    <m/>
    <s v="Accepted"/>
    <x v="1"/>
    <s v="yes"/>
    <n v="25000"/>
    <s v="paid"/>
  </r>
  <r>
    <s v="B0032172P001"/>
    <s v="SMA"/>
    <s v="Matriks"/>
    <s v="https://drive.google.com/open?id=1SGI8IMnVwtpDs8017qGqpVFmRGhdL-WH"/>
    <s v="B0032172P001"/>
    <d v="2021-02-16T00:00:00"/>
    <x v="21"/>
    <n v="-853"/>
    <x v="25"/>
    <n v="0"/>
    <m/>
    <s v="Accepted"/>
    <x v="1"/>
    <s v="no"/>
    <n v="20000"/>
    <s v="paid"/>
  </r>
  <r>
    <s v="M3200082E004"/>
    <s v="SMA"/>
    <s v="Persamaan Dan Pertidaksamaan Linear Satu Variabel Wajib"/>
    <s v="https://drive.google.com/open?id=1MRbW_CrXgPE4XDulno4gS6t6lq3xwpBi"/>
    <s v="M3200082E004"/>
    <d v="2021-02-23T00:00:00"/>
    <x v="22"/>
    <n v="-846"/>
    <x v="26"/>
    <n v="0"/>
    <m/>
    <s v="Accepted"/>
    <x v="1"/>
    <s v="no"/>
    <n v="20000"/>
    <s v="paid"/>
  </r>
  <r>
    <s v="M3200151E001"/>
    <s v="SMA"/>
    <s v="Persamaan Dan Pertidaksamaan Linear Satu Variabel Wajib"/>
    <s v="https://drive.google.com/open?id=1BPpEi_RHCSaJZxPZjIZF0QZmyG4i52Rg"/>
    <s v="M3200151E001"/>
    <d v="2021-02-23T00:00:00"/>
    <x v="22"/>
    <n v="-846"/>
    <x v="26"/>
    <n v="0"/>
    <m/>
    <s v="Accepted"/>
    <x v="1"/>
    <s v="no"/>
    <n v="20000"/>
    <s v="paid"/>
  </r>
  <r>
    <s v="M3200151E002"/>
    <s v="SMA"/>
    <s v="Persamaan Dan Pertidaksamaan Linear Satu Variabel Wajib"/>
    <s v="https://drive.google.com/open?id=1YP511R8ovm43eenizJ_RjljOMUHTStQI"/>
    <s v="M3200151E002"/>
    <d v="2021-02-23T00:00:00"/>
    <x v="22"/>
    <n v="-846"/>
    <x v="26"/>
    <n v="0"/>
    <m/>
    <s v="Accepted"/>
    <x v="0"/>
    <s v="no"/>
    <n v="20000"/>
    <s v="paid"/>
  </r>
  <r>
    <s v="M2111081E003"/>
    <s v="SMP"/>
    <s v="Transformasi Geometri"/>
    <s v="https://drive.google.com/open?id=1qOQniQZpuZHFfjppvIm9WwDfIHNaAcBG"/>
    <s v="M2111081E003"/>
    <d v="2021-02-16T00:00:00"/>
    <x v="21"/>
    <n v="-853"/>
    <x v="27"/>
    <n v="0"/>
    <m/>
    <s v="Accepted"/>
    <x v="0"/>
    <s v="yes"/>
    <n v="18000"/>
    <s v="paid"/>
  </r>
  <r>
    <s v="M2671861P006"/>
    <s v="SMA"/>
    <s v="Dimensi Tiga"/>
    <s v="https://drive.google.com/open?id=1wDAWCGTSc4SkkIocynnSqtq4amlWJh7P"/>
    <s v="M2671861P006"/>
    <d v="2021-02-16T00:00:00"/>
    <x v="21"/>
    <n v="-853"/>
    <x v="27"/>
    <n v="0"/>
    <m/>
    <s v="Accepted"/>
    <x v="1"/>
    <s v="no"/>
    <n v="20000"/>
    <s v="paid"/>
  </r>
  <r>
    <s v="B0031162E001"/>
    <s v="SMA"/>
    <s v="Matriks"/>
    <s v="https://drive.google.com/open?id=1MaSizkB7q7qS300-wvCDWUmQosZiwXDv"/>
    <s v="B0031162E001"/>
    <d v="2021-02-16T00:00:00"/>
    <x v="21"/>
    <n v="-853"/>
    <x v="27"/>
    <n v="0"/>
    <m/>
    <s v="Accepted"/>
    <x v="0"/>
    <s v="no"/>
    <n v="20000"/>
    <s v="paid"/>
  </r>
  <r>
    <s v="B0031762E001"/>
    <s v="SMA"/>
    <s v="Matriks"/>
    <s v="https://drive.google.com/open?id=1zu2sZGwucDI5wvBU2e1QzTcNwzqWBDIl"/>
    <s v="B0031762E001"/>
    <d v="2021-02-16T00:00:00"/>
    <x v="21"/>
    <n v="-853"/>
    <x v="27"/>
    <n v="0"/>
    <m/>
    <s v="Accepted"/>
    <x v="0"/>
    <s v="yes"/>
    <n v="25000"/>
    <s v="paid"/>
  </r>
  <r>
    <s v="B0032132a002"/>
    <s v="SMA"/>
    <s v="Matriks"/>
    <s v="https://drive.google.com/open?id=1C162ZFY9n9lI-BLBg7ZEjudArxVfef1_"/>
    <s v="B0032132a002"/>
    <d v="2021-02-16T00:00:00"/>
    <x v="21"/>
    <n v="-853"/>
    <x v="27"/>
    <n v="0"/>
    <m/>
    <s v="Accepted"/>
    <x v="1"/>
    <s v="no"/>
    <n v="20000"/>
    <s v="paid"/>
  </r>
  <r>
    <s v="M3200082E002"/>
    <s v="SMA"/>
    <s v="Persamaan Dan Pertidaksamaan Linear Satu Variabel Wajib"/>
    <s v="https://drive.google.com/open?id=1eghSKEPqgJ6cz3d1pyvAvKvndqeVFutZ"/>
    <s v="M3200082E002"/>
    <d v="2021-02-23T00:00:00"/>
    <x v="22"/>
    <n v="-846"/>
    <x v="27"/>
    <n v="0"/>
    <m/>
    <s v="Accepted"/>
    <x v="1"/>
    <s v="no"/>
    <n v="20000"/>
    <s v="paid"/>
  </r>
  <r>
    <s v="M3200082E003"/>
    <s v="SMA"/>
    <s v="Persamaan Dan Pertidaksamaan Linear Satu Variabel Wajib"/>
    <s v="https://drive.google.com/open?id=1ZqnIUZL7OqOO6TwxsoeK4wlQwp3GnaKs"/>
    <s v="M3200082E003"/>
    <d v="2021-02-23T00:00:00"/>
    <x v="22"/>
    <n v="-846"/>
    <x v="27"/>
    <n v="0"/>
    <m/>
    <s v="Accepted"/>
    <x v="1"/>
    <s v="no"/>
    <n v="20000"/>
    <s v="paid"/>
  </r>
  <r>
    <s v="M3200092E005"/>
    <s v="SMA"/>
    <s v="Persamaan Dan Pertidaksamaan Linear Satu Variabel Wajib"/>
    <s v="https://drive.google.com/open?id=1aFEe_IIOk4-JRq81wIxQ02fillWqp6yD"/>
    <s v="M3200092E005"/>
    <d v="2021-02-23T00:00:00"/>
    <x v="22"/>
    <n v="-846"/>
    <x v="27"/>
    <n v="0"/>
    <m/>
    <s v="Accepted"/>
    <x v="1"/>
    <s v="no"/>
    <n v="20000"/>
    <s v="paid"/>
  </r>
  <r>
    <s v="M3200121E001"/>
    <s v="SMA"/>
    <s v="Persamaan Dan Pertidaksamaan Linear Satu Variabel Wajib"/>
    <s v="https://drive.google.com/open?id=1epcNPyRKeX4JNuussZjNlkjdMQxttkod"/>
    <s v="M3200121E001"/>
    <d v="2021-02-23T00:00:00"/>
    <x v="22"/>
    <n v="-846"/>
    <x v="27"/>
    <n v="0"/>
    <m/>
    <s v="Accepted"/>
    <x v="0"/>
    <s v="no"/>
    <n v="20000"/>
    <s v="paid"/>
  </r>
  <r>
    <s v="M3200121E002"/>
    <s v="SMA"/>
    <s v="Persamaan Dan Pertidaksamaan Linear Satu Variabel Wajib"/>
    <s v="https://drive.google.com/open?id=1ECWwgYs9moiXgFEg_WY4YuDqYMDnQS6v"/>
    <s v="M3200121E002"/>
    <d v="2021-02-23T00:00:00"/>
    <x v="22"/>
    <n v="-846"/>
    <x v="27"/>
    <n v="0"/>
    <m/>
    <s v="Accepted"/>
    <x v="0"/>
    <s v="no"/>
    <n v="20000"/>
    <s v="paid"/>
  </r>
  <r>
    <s v="C0040011P003"/>
    <s v="SMA"/>
    <s v="Persamaan Trigonometri"/>
    <s v="https://drive.google.com/open?id=1XkRVCsz4y-TLz5q8IW8S52ldLCcHyQpi"/>
    <s v="C0040011P003"/>
    <d v="2020-10-20T00:00:00"/>
    <x v="0"/>
    <n v="-972"/>
    <x v="28"/>
    <n v="0"/>
    <m/>
    <s v="Accepted"/>
    <x v="1"/>
    <s v="no"/>
    <n v="20000"/>
    <s v="paid"/>
  </r>
  <r>
    <s v="C0171481P035"/>
    <s v="SMP"/>
    <s v="Kesebangunan Dan Kongruensi"/>
    <s v="https://drive.google.com/open?id=1EzoN4Zv85JUAXWfHU5DzPKGvJmKFjbJ1"/>
    <s v="C0171481P035"/>
    <d v="2020-11-13T00:00:00"/>
    <x v="3"/>
    <n v="-948"/>
    <x v="28"/>
    <n v="0"/>
    <m/>
    <s v="Accepted"/>
    <x v="1"/>
    <s v="yes"/>
    <n v="18000"/>
    <s v="paid"/>
  </r>
  <r>
    <s v="M1083201P044"/>
    <s v="SMA"/>
    <s v="Integral"/>
    <s v="https://drive.google.com/open?id=1h93iXLjEQDwt1BxgIzKTnxOXZuaM-Rdc"/>
    <s v="M1083201P044"/>
    <d v="2020-12-23T00:00:00"/>
    <x v="11"/>
    <n v="-908"/>
    <x v="28"/>
    <n v="0"/>
    <m/>
    <s v="Accepted"/>
    <x v="1"/>
    <s v="no"/>
    <n v="20000"/>
    <s v="paid"/>
  </r>
  <r>
    <s v="M2671051P016"/>
    <s v="SMA"/>
    <s v="Dimensi Tiga"/>
    <s v="https://drive.google.com/open?id=1W3iDlw6B4FjLPLuqDKSJZk1RO-zk8D37"/>
    <s v="M2671051P016"/>
    <d v="2021-02-03T00:00:00"/>
    <x v="18"/>
    <n v="-866"/>
    <x v="28"/>
    <n v="0"/>
    <m/>
    <s v="Accepted"/>
    <x v="1"/>
    <s v="no"/>
    <n v="20000"/>
    <s v="paid"/>
  </r>
  <r>
    <s v="B0101021P020"/>
    <s v="SMA"/>
    <s v="Limit Fungsi"/>
    <s v="https://drive.google.com/open?id=1N7wm2JWxFx794hbVcIpyLTXfuJ0oprDc"/>
    <s v="B0101021P020"/>
    <d v="2021-02-03T00:00:00"/>
    <x v="18"/>
    <n v="-866"/>
    <x v="28"/>
    <n v="0"/>
    <m/>
    <s v="Accepted"/>
    <x v="1"/>
    <s v="no"/>
    <n v="20000"/>
    <s v="paid"/>
  </r>
  <r>
    <s v="M2640351P044"/>
    <s v="SMA"/>
    <s v="Sistem Pertidaksamaan Dua Variabel"/>
    <s v="https://drive.google.com/open?id=1moHA_0PYjuGFE1wnfRs4dLlyi0JUgoSH"/>
    <s v="M2640351P044"/>
    <d v="2021-02-05T00:00:00"/>
    <x v="19"/>
    <n v="-864"/>
    <x v="28"/>
    <n v="0"/>
    <m/>
    <s v="Accepted"/>
    <x v="1"/>
    <s v="no"/>
    <n v="20000"/>
    <s v="paid"/>
  </r>
  <r>
    <s v="M2640371P053"/>
    <s v="SMA"/>
    <s v="Sistem Pertidaksamaan Dua Variabel"/>
    <s v="https://drive.google.com/open?id=14RUEOV9hD9gejk9fWCu7hf_WOR6nFlbO"/>
    <s v="M2640371P053"/>
    <d v="2021-02-05T00:00:00"/>
    <x v="19"/>
    <n v="-864"/>
    <x v="28"/>
    <n v="0"/>
    <m/>
    <s v="Accepted"/>
    <x v="1"/>
    <s v="yes"/>
    <n v="25000"/>
    <s v="paid"/>
  </r>
  <r>
    <s v="B0031322E001"/>
    <s v="SMA"/>
    <s v="Matriks"/>
    <s v="https://drive.google.com/open?id=17AvdEiBIavoUSM810lYxNmKXhGEAsezw"/>
    <s v="B0031322E001"/>
    <d v="2021-02-16T00:00:00"/>
    <x v="21"/>
    <n v="-853"/>
    <x v="28"/>
    <n v="0"/>
    <m/>
    <s v="Accepted"/>
    <x v="1"/>
    <s v="no"/>
    <n v="20000"/>
    <s v="paid"/>
  </r>
  <r>
    <s v="M1083201P045"/>
    <s v="SMA"/>
    <s v="Integral"/>
    <s v="https://drive.google.com/open?id=1aX5Y-64J1HEQRlzagLnzv9MNPbpkEIGp"/>
    <s v="M1083201P045"/>
    <d v="2020-12-23T00:00:00"/>
    <x v="11"/>
    <n v="-908"/>
    <x v="29"/>
    <n v="0"/>
    <m/>
    <s v="Accepted"/>
    <x v="1"/>
    <s v="no"/>
    <n v="20000"/>
    <s v="paid"/>
  </r>
  <r>
    <s v="M1083201P046"/>
    <s v="SMA"/>
    <s v="Integral"/>
    <s v="https://drive.google.com/open?id=1EM5TnsafzvS9EuMWznAqByRn5OYolxvS"/>
    <s v="M1083201P046"/>
    <d v="2020-12-23T00:00:00"/>
    <x v="11"/>
    <n v="-908"/>
    <x v="29"/>
    <n v="0"/>
    <m/>
    <s v="Accepted"/>
    <x v="0"/>
    <s v="no"/>
    <n v="20000"/>
    <s v="paid"/>
  </r>
  <r>
    <s v="M2900811P051"/>
    <s v="SMA"/>
    <s v="Fungsi"/>
    <s v="https://drive.google.com/open?id=1IwPKzNETwXnMTUO8DrYGV2QBbj2TmHe7"/>
    <s v="M2900811P051"/>
    <d v="2021-01-22T00:00:00"/>
    <x v="16"/>
    <n v="-878"/>
    <x v="29"/>
    <n v="0"/>
    <m/>
    <s v="Accepted"/>
    <x v="1"/>
    <s v="no"/>
    <n v="20000"/>
    <s v="paid"/>
  </r>
  <r>
    <s v="M2640662E008"/>
    <s v="SMA"/>
    <s v="Sistem Pertidaksamaan Dua Variabel"/>
    <s v="https://drive.google.com/open?id=15BpRggrDZgn3LNE1hVWbFpUYlTAYE6oN"/>
    <s v="M2640662E008"/>
    <d v="2021-02-05T00:00:00"/>
    <x v="19"/>
    <n v="-864"/>
    <x v="29"/>
    <n v="0"/>
    <m/>
    <s v="Accepted"/>
    <x v="1"/>
    <s v="yes"/>
    <n v="25000"/>
    <s v="paid"/>
  </r>
  <r>
    <s v="M2650261E005"/>
    <s v="SMA"/>
    <s v="Sistem Persamaan Linear"/>
    <s v="https://drive.google.com/open?id=1zW08dDm6w4pzj5BJZtkP6DTRD1_GsYTH"/>
    <s v="M2650261E005"/>
    <d v="2021-02-05T00:00:00"/>
    <x v="19"/>
    <n v="-864"/>
    <x v="29"/>
    <n v="0"/>
    <m/>
    <s v="Accepted"/>
    <x v="1"/>
    <s v="no"/>
    <n v="20000"/>
    <s v="paid"/>
  </r>
  <r>
    <s v="M1800881E002"/>
    <s v="SMA"/>
    <s v="Peluang Wajib"/>
    <s v="https://drive.google.com/open?id=1sm2wVddua3mRlch7N-G1dIg-CwFeCLRH"/>
    <s v="M1800881E002"/>
    <d v="2021-02-16T00:00:00"/>
    <x v="21"/>
    <n v="-853"/>
    <x v="29"/>
    <n v="0"/>
    <m/>
    <s v="Accepted"/>
    <x v="1"/>
    <s v="yes"/>
    <n v="25000"/>
    <s v="paid"/>
  </r>
  <r>
    <s v="M1172291P012"/>
    <s v="SMA"/>
    <s v="Sistem Pertidaksamaan Dua Variabel"/>
    <s v="https://drive.google.com/open?id=1NT60xg9wXpX7nOoh6oXXjMgdntEwY4tm"/>
    <s v="M1172291P012"/>
    <d v="2021-02-16T00:00:00"/>
    <x v="21"/>
    <n v="-853"/>
    <x v="29"/>
    <n v="0"/>
    <m/>
    <s v="Accepted"/>
    <x v="1"/>
    <s v="yes"/>
    <n v="25000"/>
    <s v="paid"/>
  </r>
  <r>
    <s v="A0021114P023"/>
    <s v="SMP"/>
    <s v="Aritmetika Sosial (Aplikasi Aljabar)"/>
    <s v="https://drive.google.com/open?id=1OyiP7GgZiqtWgYVBimXWbcSFVU3Krp-1"/>
    <s v="A0021114P023"/>
    <d v="2021-01-20T00:00:00"/>
    <x v="15"/>
    <n v="-880"/>
    <x v="30"/>
    <n v="0"/>
    <m/>
    <s v="Accepted"/>
    <x v="1"/>
    <s v="no"/>
    <n v="15000"/>
    <s v="paid"/>
  </r>
  <r>
    <s v="B0032022E002"/>
    <s v="SMA"/>
    <s v="Matriks"/>
    <s v="https://drive.google.com/open?id=18tjxzIV5vedSwUClfx9-Ynl2JiZ0h05H"/>
    <s v="B0032022E002"/>
    <d v="2021-02-16T00:00:00"/>
    <x v="21"/>
    <n v="-853"/>
    <x v="30"/>
    <n v="0"/>
    <m/>
    <s v="Accepted"/>
    <x v="1"/>
    <s v="no"/>
    <n v="20000"/>
    <s v="paid"/>
  </r>
  <r>
    <s v="B0032212E001"/>
    <s v="SMA"/>
    <s v="Matriks"/>
    <s v="https://drive.google.com/open?id=1DflnGbNLkCjm5q7DHqCzgZMFZ8ctdxLI"/>
    <s v="B0032212E001"/>
    <d v="2021-02-16T00:00:00"/>
    <x v="21"/>
    <n v="-853"/>
    <x v="30"/>
    <n v="0"/>
    <m/>
    <s v="Accepted"/>
    <x v="0"/>
    <s v="yes"/>
    <n v="25000"/>
    <s v="paid"/>
  </r>
  <r>
    <s v="M3200121E003"/>
    <s v="SMA"/>
    <s v="Persamaan Dan Pertidaksamaan Linear Satu Variabel Wajib"/>
    <s v="https://drive.google.com/open?id=18sqNGuOAfyjmjcSPrkMBgktY1_vqnM5i"/>
    <s v="M3200121E003"/>
    <d v="2021-02-23T00:00:00"/>
    <x v="22"/>
    <n v="-846"/>
    <x v="30"/>
    <n v="0"/>
    <m/>
    <s v="Accepted"/>
    <x v="1"/>
    <s v="no"/>
    <n v="20000"/>
    <s v="paid"/>
  </r>
  <r>
    <s v="M3200121E004"/>
    <s v="SMA"/>
    <s v="Persamaan Dan Pertidaksamaan Linear Satu Variabel Wajib"/>
    <s v="https://drive.google.com/open?id=1L6S3FEz8H8Lj7MO6rge-Bl8qMirsL6X2"/>
    <s v="M3200121E004"/>
    <d v="2021-02-23T00:00:00"/>
    <x v="22"/>
    <n v="-846"/>
    <x v="30"/>
    <n v="0"/>
    <m/>
    <s v="Accepted"/>
    <x v="0"/>
    <s v="no"/>
    <n v="20000"/>
    <s v="paid"/>
  </r>
  <r>
    <s v="A0030469E005"/>
    <s v="SMA"/>
    <s v="Barisan"/>
    <s v="https://drive.google.com/open?id=1LjlNjKsqgPLXCRK9VCLKBH6et5o97IJ5"/>
    <s v="A0030469E005"/>
    <d v="2021-03-09T00:00:00"/>
    <x v="23"/>
    <n v="-832"/>
    <x v="31"/>
    <n v="0"/>
    <m/>
    <s v="Accepted"/>
    <x v="1"/>
    <s v="no"/>
    <n v="20000"/>
    <s v="paid"/>
  </r>
  <r>
    <s v="B0031712E001"/>
    <s v="SMA"/>
    <s v="Matriks"/>
    <s v="https://drive.google.com/open?id=1dhTjsnnznoRTulZKmIQ6cqLOQT6YjiyV"/>
    <s v="B0031712E001"/>
    <d v="2021-03-09T00:00:00"/>
    <x v="23"/>
    <n v="-832"/>
    <x v="31"/>
    <n v="0"/>
    <m/>
    <s v="Accepted"/>
    <x v="1"/>
    <s v="no"/>
    <n v="20000"/>
    <s v="paid"/>
  </r>
  <r>
    <s v="M2904071P171"/>
    <s v="SMA"/>
    <s v="Statistika Wajib"/>
    <s v="https://drive.google.com/open?id=1vgXpLJcWlb21CEHn_C1HW8UCrjoU6UmP"/>
    <s v="M2904071P171"/>
    <d v="2021-03-09T00:00:00"/>
    <x v="23"/>
    <n v="-832"/>
    <x v="31"/>
    <n v="0"/>
    <m/>
    <s v="Accepted"/>
    <x v="1"/>
    <s v="yes"/>
    <n v="25000"/>
    <s v="paid"/>
  </r>
  <r>
    <s v="M2970451P006"/>
    <s v="SMA"/>
    <s v="Sistem Persamaan Dua Variabel"/>
    <s v="https://drive.google.com/open?id=135iCVVquStfJbUFXswmHsajc6hh2GVUH"/>
    <s v="M2970451P006"/>
    <d v="2021-03-09T00:00:00"/>
    <x v="23"/>
    <n v="-832"/>
    <x v="31"/>
    <n v="0"/>
    <m/>
    <s v="Accepted"/>
    <x v="0"/>
    <s v="yes"/>
    <n v="25000"/>
    <s v="paid"/>
  </r>
  <r>
    <s v="B0032252E001"/>
    <s v="SMA"/>
    <s v="Persamaan Trigonometri"/>
    <s v="https://drive.google.com/open?id=1ZrcrB5fIcaptbPkWyIPlJMSPBNzACI0C"/>
    <s v="B0032252E001"/>
    <d v="2021-02-16T00:00:00"/>
    <x v="21"/>
    <n v="-853"/>
    <x v="32"/>
    <n v="0"/>
    <m/>
    <s v="Accepted"/>
    <x v="1"/>
    <s v="no"/>
    <n v="20000"/>
    <s v="paid"/>
  </r>
  <r>
    <s v="M2901871P094"/>
    <s v="SMA"/>
    <s v="Program Linear"/>
    <s v="https://drive.google.com/open?id=1oBIRNE4SlB79Hd3Rq-cXQzILl2ZZrE7R"/>
    <s v="M2901871P094"/>
    <d v="2021-03-09T00:00:00"/>
    <x v="23"/>
    <n v="-832"/>
    <x v="32"/>
    <n v="0"/>
    <m/>
    <s v="Accepted"/>
    <x v="1"/>
    <s v="no"/>
    <n v="20000"/>
    <s v="paid"/>
  </r>
  <r>
    <s v="M3010193E014"/>
    <s v="SMA"/>
    <s v="Sistem Pertidaksamaan Dua Variabel"/>
    <s v="https://drive.google.com/open?id=1uXYAsIS0gWVhrVvxpF2YviEQmw1b53R7"/>
    <s v="M3010193E014"/>
    <d v="2021-03-09T00:00:00"/>
    <x v="23"/>
    <n v="-832"/>
    <x v="32"/>
    <n v="0"/>
    <m/>
    <s v="Accepted"/>
    <x v="1"/>
    <s v="yes"/>
    <n v="25000"/>
    <s v="paid"/>
  </r>
  <r>
    <s v="M1013933P003"/>
    <s v="SMA"/>
    <s v="Turunan"/>
    <s v="https://drive.google.com/open?id=14hSV_ZzBuUOmbjAlWvs6PUxl-n0CdKuf"/>
    <s v="M1013933P003"/>
    <d v="2021-03-09T00:00:00"/>
    <x v="23"/>
    <n v="-832"/>
    <x v="32"/>
    <n v="0"/>
    <m/>
    <s v="Accepted"/>
    <x v="1"/>
    <s v="yes"/>
    <n v="25000"/>
    <s v="paid"/>
  </r>
  <r>
    <s v="M2942461P003"/>
    <s v="SMA"/>
    <s v="Program Linear"/>
    <s v="https://drive.google.com/open?id=17Dj4htzs4P3CcPKPqPp3nmoJhODwNVRf"/>
    <s v="M2942461P003"/>
    <d v="2021-02-16T00:00:00"/>
    <x v="21"/>
    <n v="-853"/>
    <x v="33"/>
    <n v="0"/>
    <m/>
    <s v="Accepted"/>
    <x v="1"/>
    <s v="yes"/>
    <n v="25000"/>
    <s v="paid"/>
  </r>
  <r>
    <s v="M2631351c001"/>
    <s v="SMA"/>
    <s v="Fungsi"/>
    <s v="https://drive.google.com/open?id=1RIJRdmPDMz1sOrJwFgpjeodO4X0enCl8"/>
    <s v="M2631351c001"/>
    <d v="2021-03-16T00:00:00"/>
    <x v="24"/>
    <n v="-825"/>
    <x v="33"/>
    <n v="0"/>
    <m/>
    <s v="Accepted"/>
    <x v="1"/>
    <s v="yes"/>
    <n v="25000"/>
    <s v="paid"/>
  </r>
  <r>
    <s v="B0113201E001"/>
    <s v="SMA"/>
    <s v="Peluang Wajib"/>
    <s v="https://drive.google.com/open?id=1ujv5QAEQ0ebN1DXmXbdSp7bTwKr5CQFj"/>
    <s v="B0113201E001"/>
    <d v="2021-03-17T00:00:00"/>
    <x v="25"/>
    <n v="-824"/>
    <x v="33"/>
    <n v="0"/>
    <m/>
    <s v="Accepted"/>
    <x v="1"/>
    <s v="yes"/>
    <n v="25000"/>
    <s v="paid"/>
  </r>
  <r>
    <s v="B0113211E001"/>
    <s v="SMA"/>
    <s v="Peluang Wajib"/>
    <s v="https://drive.google.com/open?id=1LibamCDpekL4OYIlJf5fYR9iXF4RTA2y"/>
    <s v="B0113211E001"/>
    <d v="2021-03-17T00:00:00"/>
    <x v="25"/>
    <n v="-824"/>
    <x v="33"/>
    <n v="0"/>
    <m/>
    <s v="Accepted"/>
    <x v="1"/>
    <s v="no"/>
    <n v="20000"/>
    <s v="paid"/>
  </r>
  <r>
    <s v="B0113221E001"/>
    <s v="SMA"/>
    <s v="Peluang Wajib"/>
    <s v="https://drive.google.com/open?id=1A0SsbBkEPk5ofIRv8XHr_YPxdDiFJ8Hj"/>
    <s v="B0113221E001"/>
    <d v="2021-03-17T00:00:00"/>
    <x v="25"/>
    <n v="-824"/>
    <x v="33"/>
    <n v="0"/>
    <m/>
    <s v="Accepted"/>
    <x v="1"/>
    <s v="yes"/>
    <n v="25000"/>
    <s v="paid"/>
  </r>
  <r>
    <s v="B0113241E034"/>
    <s v="SMA"/>
    <s v="Peluang Wajib"/>
    <s v="https://drive.google.com/open?id=1urog-tWfzETPVZ_sgeGI55NPWnMNhCTf"/>
    <s v="B0113241E034"/>
    <d v="2021-03-17T00:00:00"/>
    <x v="25"/>
    <n v="-824"/>
    <x v="33"/>
    <n v="0"/>
    <m/>
    <s v="Accepted"/>
    <x v="1"/>
    <s v="no"/>
    <n v="20000"/>
    <s v="paid"/>
  </r>
  <r>
    <s v="B0113261E010"/>
    <s v="SMA"/>
    <s v="Peluang Wajib"/>
    <s v="https://drive.google.com/open?id=1tw2C2Z2bPRVt-Dm-TPaMAxAs-Qr-DAVm"/>
    <s v="B0113261E010"/>
    <d v="2021-03-17T00:00:00"/>
    <x v="25"/>
    <n v="-824"/>
    <x v="33"/>
    <n v="0"/>
    <m/>
    <s v="Accepted"/>
    <x v="1"/>
    <s v="no"/>
    <n v="20000"/>
    <s v="paid"/>
  </r>
  <r>
    <s v="B0050771E001"/>
    <s v="SMA"/>
    <s v="Limit Fungsi Trigonometri"/>
    <s v="https://drive.google.com/open?id=1JdCTzeYne3Zdj9sI3bw5GQUnGgfb8rb7"/>
    <s v="B0050771E001"/>
    <d v="2021-03-18T00:00:00"/>
    <x v="26"/>
    <n v="-823"/>
    <x v="34"/>
    <n v="0"/>
    <m/>
    <s v="Accepted"/>
    <x v="1"/>
    <s v="yes"/>
    <n v="25000"/>
    <s v="paid"/>
  </r>
  <r>
    <s v="B0050771E002"/>
    <s v="SMA"/>
    <s v="Limit Fungsi Trigonometri"/>
    <s v="https://drive.google.com/open?id=1vL6UHQRAmZi-7kTtSK1fv2RYORHAZH9l"/>
    <s v="B0050771E002"/>
    <d v="2021-03-18T00:00:00"/>
    <x v="26"/>
    <n v="-823"/>
    <x v="34"/>
    <n v="0"/>
    <m/>
    <s v="Accepted"/>
    <x v="1"/>
    <s v="yes"/>
    <n v="25000"/>
    <s v="paid"/>
  </r>
  <r>
    <s v="B0050771E003"/>
    <s v="SMA"/>
    <s v="Limit Fungsi Trigonometri"/>
    <s v="https://drive.google.com/open?id=1mNSVdpAAAnnPVxe0V_XT2CDdfnxrQOmM"/>
    <s v="B0050771E003"/>
    <d v="2021-03-18T00:00:00"/>
    <x v="26"/>
    <n v="-823"/>
    <x v="34"/>
    <n v="0"/>
    <m/>
    <s v="Accepted"/>
    <x v="1"/>
    <s v="yes"/>
    <n v="25000"/>
    <s v="paid"/>
  </r>
  <r>
    <s v="B0050771E004"/>
    <s v="SMA"/>
    <s v="Limit Fungsi Trigonometri"/>
    <s v="https://drive.google.com/open?id=1y9p9dFmZ-CiyBMV4KibLL0xf2RWNJfQ2"/>
    <s v="B0050771E004"/>
    <d v="2021-03-18T00:00:00"/>
    <x v="26"/>
    <n v="-823"/>
    <x v="34"/>
    <n v="0"/>
    <m/>
    <s v="Accepted"/>
    <x v="2"/>
    <s v="yes"/>
    <n v="25000"/>
    <s v="paid"/>
  </r>
  <r>
    <s v="B0050771E005"/>
    <s v="SMA"/>
    <s v="Limit Fungsi Trigonometri"/>
    <s v="https://drive.google.com/open?id=1Xw8qELoVT7HvWPeLeazYQAQlSLU0t8Bs"/>
    <s v="B0050771E005"/>
    <d v="2021-03-18T00:00:00"/>
    <x v="26"/>
    <n v="-823"/>
    <x v="34"/>
    <n v="0"/>
    <m/>
    <s v="Accepted"/>
    <x v="1"/>
    <s v="no"/>
    <n v="20000"/>
    <s v="paid"/>
  </r>
  <r>
    <s v="B0050771E006"/>
    <s v="SMA"/>
    <s v="Limit Fungsi Trigonometri"/>
    <s v="https://drive.google.com/open?id=1mUMOhL7iFYxHyg_dzEcccPRWSglMd9en"/>
    <s v="B0050771E006"/>
    <d v="2021-03-18T00:00:00"/>
    <x v="26"/>
    <n v="-823"/>
    <x v="34"/>
    <n v="0"/>
    <m/>
    <s v="Accepted"/>
    <x v="1"/>
    <s v="yes"/>
    <n v="25000"/>
    <s v="paid"/>
  </r>
  <r>
    <s v="M3260171E003"/>
    <s v="SMA"/>
    <s v="Dimensi Tiga"/>
    <s v="https://drive.google.com/open?id=1DWyoNVY6gue_lY3iWBR2lr7hW7YCILfS"/>
    <s v="M3260171E003"/>
    <d v="2021-03-23T00:00:00"/>
    <x v="27"/>
    <n v="-818"/>
    <x v="35"/>
    <n v="0"/>
    <m/>
    <s v="Accepted"/>
    <x v="1"/>
    <s v="yes"/>
    <n v="25000"/>
    <s v="paid"/>
  </r>
  <r>
    <s v="B0112781P001"/>
    <s v="SMA"/>
    <s v="Peluang Wajib"/>
    <s v="https://drive.google.com/open?id=1_5idWnKJNLZD3ANkLPy66MpDP31z_7Kv"/>
    <s v="B0112781P001"/>
    <d v="2021-03-23T00:00:00"/>
    <x v="27"/>
    <n v="-818"/>
    <x v="35"/>
    <n v="0"/>
    <m/>
    <s v="Accepted"/>
    <x v="1"/>
    <s v="yes"/>
    <n v="25000"/>
    <s v="paid"/>
  </r>
  <r>
    <s v="M3272721b002"/>
    <s v="SMA"/>
    <s v="Trigonometri"/>
    <s v="https://drive.google.com/open?id=1tB75TRls73zVACrditj7kSJg4pETRIhD"/>
    <s v="M3272721b002"/>
    <d v="2021-03-23T00:00:00"/>
    <x v="27"/>
    <n v="-818"/>
    <x v="35"/>
    <n v="0"/>
    <m/>
    <s v="Accepted"/>
    <x v="1"/>
    <s v="no"/>
    <n v="20000"/>
    <s v="paid"/>
  </r>
  <r>
    <s v="M3240701P030"/>
    <s v="SMA"/>
    <s v="Grafik, Persamaan, Dan Pertidaksamaan Eksponen Dan Logaritma"/>
    <s v="https://drive.google.com/open?id=1U9cREgpcNFi2px0KjNAeiVlfQZC9HYr2"/>
    <s v="M3240701P030"/>
    <d v="2021-03-24T00:00:00"/>
    <x v="28"/>
    <n v="-817"/>
    <x v="36"/>
    <n v="0"/>
    <m/>
    <s v="Accepted"/>
    <x v="1"/>
    <s v="no"/>
    <n v="20000"/>
    <s v="paid"/>
  </r>
  <r>
    <s v="M3240711P032"/>
    <s v="SMA"/>
    <s v="Grafik, Persamaan, Dan Pertidaksamaan Eksponen Dan Logaritma"/>
    <s v="https://drive.google.com/open?id=10AKY1PsYY-vO7VpWUWN2gi0suG9qnYzV"/>
    <s v="M3240711P032"/>
    <d v="2021-03-24T00:00:00"/>
    <x v="28"/>
    <n v="-817"/>
    <x v="36"/>
    <n v="0"/>
    <m/>
    <s v="Accepted"/>
    <x v="1"/>
    <s v="yes"/>
    <n v="25000"/>
    <s v="paid"/>
  </r>
  <r>
    <s v="M3240711P034"/>
    <s v="SMA"/>
    <s v="Grafik, Persamaan, Dan Pertidaksamaan Eksponen Dan Logaritma"/>
    <s v="https://drive.google.com/open?id=1RAnNeLr-ZfC2E4UzvUcEPFted66S1OQj"/>
    <s v="M3240711P034"/>
    <d v="2021-03-24T00:00:00"/>
    <x v="28"/>
    <n v="-817"/>
    <x v="36"/>
    <n v="0"/>
    <m/>
    <s v="Accepted"/>
    <x v="1"/>
    <s v="no"/>
    <n v="20000"/>
    <s v="paid"/>
  </r>
  <r>
    <s v="M3240711P035"/>
    <s v="SMA"/>
    <s v="Grafik, Persamaan, Dan Pertidaksamaan Eksponen Dan Logaritma"/>
    <s v="https://drive.google.com/open?id=1ApgNNa5wT1KV0FdBtCEQTnH-vLpEOWt_"/>
    <s v="M3240711P035"/>
    <d v="2021-03-24T00:00:00"/>
    <x v="28"/>
    <n v="-817"/>
    <x v="36"/>
    <n v="0"/>
    <m/>
    <s v="Accepted"/>
    <x v="1"/>
    <s v="yes"/>
    <n v="25000"/>
    <s v="paid"/>
  </r>
  <r>
    <s v="M3240711P036"/>
    <s v="SMA"/>
    <s v="Grafik, Persamaan, Dan Pertidaksamaan Eksponen Dan Logaritma"/>
    <s v="https://drive.google.com/open?id=1ois1v59GKJKNbUFYqfLHQ0sKoSPF_1a3"/>
    <s v="M3240711P036"/>
    <d v="2021-03-24T00:00:00"/>
    <x v="28"/>
    <n v="-817"/>
    <x v="36"/>
    <n v="0"/>
    <m/>
    <s v="Accepted"/>
    <x v="0"/>
    <s v="no"/>
    <n v="20000"/>
    <s v="paid"/>
  </r>
  <r>
    <s v="M3322701P022"/>
    <s v="SMA"/>
    <s v="Irisan Kerucut"/>
    <s v="https://drive.google.com/open?id=148HkmqL0tKREJiyyapUKY3rlzEwFCw0D"/>
    <s v="M3322701P022"/>
    <d v="2021-03-24T00:00:00"/>
    <x v="28"/>
    <n v="-817"/>
    <x v="37"/>
    <n v="0"/>
    <m/>
    <s v="Accepted"/>
    <x v="1"/>
    <s v="no"/>
    <n v="20000"/>
    <s v="paid"/>
  </r>
  <r>
    <s v="M3322701P023"/>
    <s v="SMA"/>
    <s v="Irisan Kerucut"/>
    <s v="https://drive.google.com/open?id=1kpMiIb7kaSrM-GgXqN4sUmoEEhbdV5dX"/>
    <s v="M3322701P023"/>
    <d v="2021-03-24T00:00:00"/>
    <x v="28"/>
    <n v="-817"/>
    <x v="37"/>
    <n v="0"/>
    <m/>
    <s v="Accepted"/>
    <x v="1"/>
    <s v="yes"/>
    <n v="25000"/>
    <s v="paid"/>
  </r>
  <r>
    <s v="M3322712E031"/>
    <s v="SMA"/>
    <s v="Sistem Persamaan Dua Variabel"/>
    <s v="https://drive.google.com/open?id=1MIG32bT3RIOeSizSXejQ2xOeApaj1T-G"/>
    <s v="M3322712E031"/>
    <d v="2021-03-24T00:00:00"/>
    <x v="28"/>
    <n v="-817"/>
    <x v="37"/>
    <n v="0"/>
    <m/>
    <s v="Accepted"/>
    <x v="1"/>
    <s v="no"/>
    <n v="20000"/>
    <s v="paid"/>
  </r>
  <r>
    <s v="M3322711P028"/>
    <s v="SMA"/>
    <s v="Transformasi"/>
    <s v="https://drive.google.com/open?id=1n3xf8X4sbIewZYyyId6KVUbgg2Cdbwpb"/>
    <s v="M3322711P028"/>
    <d v="2021-03-24T00:00:00"/>
    <x v="28"/>
    <n v="-817"/>
    <x v="38"/>
    <n v="0"/>
    <m/>
    <s v="Accepted"/>
    <x v="1"/>
    <s v="no"/>
    <n v="20000"/>
    <s v="paid"/>
  </r>
  <r>
    <s v="M0233251E001"/>
    <s v="SMA"/>
    <s v="Turunan"/>
    <s v="https://drive.google.com/open?id=1JOuZkHpUAEkGtzuoyvzrnzGlyZ2VS67q"/>
    <s v="M0233251E001"/>
    <d v="2021-03-27T00:00:00"/>
    <x v="29"/>
    <n v="-814"/>
    <x v="39"/>
    <n v="0"/>
    <m/>
    <s v="Accepted"/>
    <x v="0"/>
    <s v="no"/>
    <n v="20000"/>
    <s v="paid"/>
  </r>
  <r>
    <s v="M0233251E003"/>
    <s v="SMA"/>
    <s v="Turunan"/>
    <s v="https://drive.google.com/open?id=18rYukd0_R1e8thVnem2HJYUEvx9xFHXk"/>
    <s v="M0233251E003"/>
    <d v="2021-03-27T00:00:00"/>
    <x v="29"/>
    <n v="-814"/>
    <x v="39"/>
    <n v="0"/>
    <m/>
    <s v="Accepted"/>
    <x v="1"/>
    <s v="no"/>
    <n v="20000"/>
    <s v="paid"/>
  </r>
  <r>
    <s v="C0231722E001"/>
    <s v="SMA"/>
    <s v="Barisan"/>
    <s v="https://drive.google.com/open?id=1IyJtUSn-zyImbMfrs_oCLAUQnSqPEMY6"/>
    <s v="C0231722E001"/>
    <d v="2021-04-05T00:00:00"/>
    <x v="30"/>
    <n v="-805"/>
    <x v="39"/>
    <n v="0"/>
    <m/>
    <s v="Accepted"/>
    <x v="1"/>
    <s v="no"/>
    <n v="20000"/>
    <s v="paid"/>
  </r>
  <r>
    <s v="C0630211b001"/>
    <s v="SMA"/>
    <s v="Program Linear"/>
    <s v="https://drive.google.com/open?id=1gYOuTgc9z04CvKeZLdO88j1fZsloncVJ"/>
    <s v="C0630211b001"/>
    <d v="2021-04-05T00:00:00"/>
    <x v="30"/>
    <n v="-805"/>
    <x v="39"/>
    <n v="0"/>
    <m/>
    <s v="Accepted"/>
    <x v="1"/>
    <s v="no"/>
    <n v="20000"/>
    <s v="paid"/>
  </r>
  <r>
    <s v="M3060462E001"/>
    <s v="SMA"/>
    <s v="Turunan Fungsi Trigonometri"/>
    <s v="https://drive.google.com/open?id=1jk3K9ekGcN2q_UpMHmeiwwYuHfn7eCxT"/>
    <s v="M3060462E001"/>
    <d v="2021-04-07T00:00:00"/>
    <x v="31"/>
    <n v="-803"/>
    <x v="40"/>
    <n v="0"/>
    <m/>
    <s v="Accepted"/>
    <x v="0"/>
    <s v="yes"/>
    <n v="25000"/>
    <s v="paid"/>
  </r>
  <r>
    <s v="M3060462E002"/>
    <s v="SMA"/>
    <s v="Turunan Fungsi Trigonometri"/>
    <s v="https://drive.google.com/open?id=1F5_Y1SvXrnNA3ThIVaW2OYRBxj-fUg-X"/>
    <s v="M3060462E002"/>
    <d v="2021-04-07T00:00:00"/>
    <x v="31"/>
    <n v="-803"/>
    <x v="40"/>
    <n v="0"/>
    <m/>
    <s v="Accepted"/>
    <x v="1"/>
    <s v="yes"/>
    <n v="25000"/>
    <s v="paid"/>
  </r>
  <r>
    <s v="M3060471E002"/>
    <s v="SMA"/>
    <s v="Turunan Fungsi Trigonometri"/>
    <s v="https://drive.google.com/open?id=1mcXF3P_AzD8sFOqkWMLJ_t6QJJCP6oUR"/>
    <s v="M3060471E002"/>
    <d v="2021-04-07T00:00:00"/>
    <x v="31"/>
    <n v="-803"/>
    <x v="40"/>
    <n v="0"/>
    <m/>
    <s v="Accepted"/>
    <x v="1"/>
    <s v="no"/>
    <n v="20000"/>
    <s v="paid"/>
  </r>
  <r>
    <s v="M3060471E003"/>
    <s v="SMA"/>
    <s v="Turunan Fungsi Trigonometri"/>
    <s v="https://drive.google.com/open?id=1_VgbAhK1Ep8X63-Esucs-fUJt0FGxbMI"/>
    <s v="M3060471E003"/>
    <d v="2021-04-07T00:00:00"/>
    <x v="31"/>
    <n v="-803"/>
    <x v="40"/>
    <n v="0"/>
    <m/>
    <s v="Accepted"/>
    <x v="1"/>
    <s v="yes"/>
    <n v="25000"/>
    <s v="paid"/>
  </r>
  <r>
    <s v="M3060471E004"/>
    <s v="SMA"/>
    <s v="Turunan Fungsi Trigonometri"/>
    <s v="https://drive.google.com/open?id=1a9-2IHyEb2K6CfJpkT3UQAPi_0gOfcTI"/>
    <s v="M3060471E004"/>
    <d v="2021-04-07T00:00:00"/>
    <x v="31"/>
    <n v="-803"/>
    <x v="40"/>
    <n v="0"/>
    <m/>
    <s v="Accepted"/>
    <x v="1"/>
    <s v="yes"/>
    <n v="25000"/>
    <s v="paid"/>
  </r>
  <r>
    <s v="M3070642a003"/>
    <s v="SMA"/>
    <s v="Grafik, Persamaan, Dan Pertidaksamaan Eksponen Dan Logaritma"/>
    <s v="https://drive.google.com/open?id=1ta1WwrC0_uL0Hl5-9geR9x9-YlK1ceKY"/>
    <s v="M3070642a003"/>
    <d v="2021-04-08T00:00:00"/>
    <x v="32"/>
    <n v="-802"/>
    <x v="41"/>
    <n v="0"/>
    <m/>
    <s v="Accepted"/>
    <x v="1"/>
    <s v="no"/>
    <n v="20000"/>
    <s v="paid"/>
  </r>
  <r>
    <s v="M3070642b003"/>
    <s v="SMA"/>
    <s v="Grafik, Persamaan, Dan Pertidaksamaan Eksponen Dan Logaritma"/>
    <s v="https://drive.google.com/open?id=1o6SXhDdMnLamksb-FJKJDpOmEltjyee1"/>
    <s v="M3070642b003"/>
    <d v="2021-04-08T00:00:00"/>
    <x v="32"/>
    <n v="-802"/>
    <x v="41"/>
    <n v="0"/>
    <m/>
    <s v="Accepted"/>
    <x v="1"/>
    <s v="yes"/>
    <n v="25000"/>
    <s v="paid"/>
  </r>
  <r>
    <s v="M3070642E002"/>
    <s v="SMA"/>
    <s v="Grafik, Persamaan, Dan Pertidaksamaan Eksponen Dan Logaritma"/>
    <s v="https://drive.google.com/open?id=1qreCVw-MSUdhYwB0yTLn1XGY_tthb_eK"/>
    <s v="M3070642E002"/>
    <d v="2021-04-08T00:00:00"/>
    <x v="32"/>
    <n v="-802"/>
    <x v="41"/>
    <n v="0"/>
    <m/>
    <s v="Accepted"/>
    <x v="1"/>
    <s v="no"/>
    <n v="20000"/>
    <s v="paid"/>
  </r>
  <r>
    <s v="M3070651a001"/>
    <s v="SMA"/>
    <s v="Grafik, Persamaan, Dan Pertidaksamaan Eksponen Dan Logaritma"/>
    <s v="https://drive.google.com/open?id=1KCHU9Ycq2hVZ5uUuHOJ4RTeoutnJ1F9j"/>
    <s v="M3070651a001"/>
    <d v="2021-04-08T00:00:00"/>
    <x v="32"/>
    <n v="-802"/>
    <x v="41"/>
    <n v="0"/>
    <m/>
    <s v="Accepted"/>
    <x v="1"/>
    <s v="no"/>
    <n v="20000"/>
    <s v="paid"/>
  </r>
  <r>
    <s v="M3070651b001"/>
    <s v="SMA"/>
    <s v="Grafik, Persamaan, Dan Pertidaksamaan Eksponen Dan Logaritma"/>
    <s v="https://drive.google.com/open?id=1oDHiSEiJtIclDk9cZ_noA7ab2Trba47L"/>
    <s v="M3070651b001"/>
    <d v="2021-04-08T00:00:00"/>
    <x v="32"/>
    <n v="-802"/>
    <x v="41"/>
    <n v="0"/>
    <m/>
    <s v="Accepted"/>
    <x v="1"/>
    <s v="yes"/>
    <n v="25000"/>
    <s v="paid"/>
  </r>
  <r>
    <s v="M3070652E004"/>
    <s v="SMA"/>
    <s v="Grafik, Persamaan, Dan Pertidaksamaan Eksponen Dan Logaritma"/>
    <s v="https://drive.google.com/open?id=1WMO3L9-RcIy3oA_awhVT3oZPqpbKdMw7"/>
    <s v="M3070652E004"/>
    <d v="2021-04-08T00:00:00"/>
    <x v="32"/>
    <n v="-802"/>
    <x v="41"/>
    <n v="0"/>
    <m/>
    <s v="Accepted"/>
    <x v="1"/>
    <s v="no"/>
    <n v="20000"/>
    <s v="paid"/>
  </r>
  <r>
    <s v="M3070661a002"/>
    <s v="SMA"/>
    <s v="Grafik, Persamaan, Dan Pertidaksamaan Eksponen Dan Logaritma"/>
    <s v="https://drive.google.com/open?id=1yEFYwLqplAnUtPQdYfhdGSFRXr_acLDc"/>
    <s v="M3070661a002"/>
    <d v="2021-04-08T00:00:00"/>
    <x v="32"/>
    <n v="-802"/>
    <x v="41"/>
    <n v="0"/>
    <m/>
    <s v="Accepted"/>
    <x v="1"/>
    <s v="no"/>
    <n v="20000"/>
    <s v="paid"/>
  </r>
  <r>
    <s v="B0102091E004"/>
    <s v="SMA"/>
    <s v="Persamaan Lingkaran Dan Irisan Dua Lingkaran"/>
    <s v="https://drive.google.com/open?id=1-7Um2jHsksHF_B2NCCNnjCZwVCsphkeX"/>
    <s v="B0102091E004"/>
    <d v="2021-04-05T00:00:00"/>
    <x v="30"/>
    <n v="-805"/>
    <x v="42"/>
    <n v="0"/>
    <m/>
    <s v="Accepted"/>
    <x v="1"/>
    <s v="yes"/>
    <n v="25000"/>
    <s v="paid"/>
  </r>
  <r>
    <s v="C0371981P025"/>
    <s v="SMA"/>
    <s v="Barisan"/>
    <s v="https://drive.google.com/open?id=1RBpTY0fHXnWLknoXqZPBwZYdG0KeoYgk"/>
    <s v="C0371981P025"/>
    <d v="2021-04-12T00:00:00"/>
    <x v="33"/>
    <n v="-798"/>
    <x v="43"/>
    <n v="0"/>
    <m/>
    <s v="Accepted"/>
    <x v="1"/>
    <s v="no"/>
    <n v="20000"/>
    <s v="paid"/>
  </r>
  <r>
    <s v="C0630562E009"/>
    <s v="SMA"/>
    <s v="Matriks"/>
    <s v="https://drive.google.com/open?id=18GOd3GduPX6Dmevd3nNjhyWbB-fjnhlq"/>
    <s v="C0630562E009"/>
    <d v="2021-04-12T00:00:00"/>
    <x v="33"/>
    <n v="-798"/>
    <x v="43"/>
    <n v="0"/>
    <m/>
    <s v="Accepted"/>
    <x v="1"/>
    <s v="no"/>
    <n v="20000"/>
    <s v="paid"/>
  </r>
  <r>
    <s v="M3060411P008"/>
    <s v="SMA"/>
    <s v="Limit Fungsi Trigonometri"/>
    <s v="https://drive.google.com/open?id=18HWUxSd7Cg9NuQE7sEzba-tnvHuaZtcf"/>
    <s v="M3060411P008"/>
    <d v="2021-04-12T00:00:00"/>
    <x v="33"/>
    <n v="-798"/>
    <x v="43"/>
    <n v="0"/>
    <m/>
    <s v="Accepted"/>
    <x v="1"/>
    <s v="no"/>
    <n v="20000"/>
    <s v="paid"/>
  </r>
  <r>
    <s v="M3443282e002"/>
    <s v="SMA"/>
    <s v="Limit Fungsi"/>
    <s v="https://drive.google.com/open?id=1uVxTaxWHqAHajAsGq7hr_pNMUFs9F0wh"/>
    <s v="M3443282e002"/>
    <d v="2021-04-12T00:00:00"/>
    <x v="33"/>
    <n v="-798"/>
    <x v="43"/>
    <n v="0"/>
    <m/>
    <s v="Accepted"/>
    <x v="0"/>
    <s v="no"/>
    <n v="20000"/>
    <s v="paid"/>
  </r>
  <r>
    <s v="M0960791E004"/>
    <s v="SMA"/>
    <s v="Irisan Kerucut"/>
    <s v="https://drive.google.com/open?id=168ea1nNXZCCHbXh-qsvl7VXYN4zpB_wn"/>
    <s v="M0960791E004"/>
    <d v="2021-04-12T00:00:00"/>
    <x v="33"/>
    <n v="-798"/>
    <x v="43"/>
    <n v="0"/>
    <m/>
    <s v="Accepted"/>
    <x v="1"/>
    <s v="no"/>
    <n v="20000"/>
    <s v="paid"/>
  </r>
  <r>
    <s v="M3160382E005"/>
    <s v="SMA"/>
    <s v="Pertidaksamaan Rasional Dan Irasional Satu Variabel"/>
    <s v="https://drive.google.com/open?id=13qgQFk7OfFIQLdEJIkIzrXTNlb1Jym8A"/>
    <s v="M3160382E005"/>
    <d v="2021-04-12T00:00:00"/>
    <x v="33"/>
    <n v="-798"/>
    <x v="43"/>
    <n v="0"/>
    <m/>
    <s v="Accepted"/>
    <x v="1"/>
    <s v="no"/>
    <n v="20000"/>
    <s v="paid"/>
  </r>
  <r>
    <s v="M3240722E002"/>
    <s v="SMA"/>
    <s v="Grafik, Persamaan, Dan Pertidaksamaan Eksponen Dan Logaritma"/>
    <s v="https://drive.google.com/open?id=1bZlHYwBWMFwJ5JjvRoQCbFsc_sOLb7BB"/>
    <s v="M3240722E002"/>
    <d v="2021-04-12T00:00:00"/>
    <x v="33"/>
    <n v="-798"/>
    <x v="43"/>
    <n v="0"/>
    <m/>
    <s v="Accepted"/>
    <x v="1"/>
    <s v="no"/>
    <n v="20000"/>
    <s v="paid"/>
  </r>
  <r>
    <s v="A014V701E001"/>
    <s v="SMA"/>
    <s v="Program Linear"/>
    <s v="https://drive.google.com/open?id=1mo9Tj7xjWddYqUfzgBwhS80JyJ12NE5A"/>
    <s v="A014V701E001"/>
    <d v="2021-04-15T00:00:00"/>
    <x v="34"/>
    <n v="-795"/>
    <x v="44"/>
    <n v="0"/>
    <m/>
    <s v="Accepted"/>
    <x v="1"/>
    <s v="yes"/>
    <n v="25000"/>
    <s v="paid"/>
  </r>
  <r>
    <s v="A014V901E001"/>
    <s v="SMA"/>
    <s v="Program Linear"/>
    <s v="https://drive.google.com/open?id=1OftdQWa8Y6Ybc00vPgqmR5wBPQgQvpVB"/>
    <s v="A014V901E001"/>
    <d v="2021-04-15T00:00:00"/>
    <x v="34"/>
    <n v="-795"/>
    <x v="44"/>
    <n v="0"/>
    <m/>
    <s v="Accepted"/>
    <x v="1"/>
    <s v="no"/>
    <n v="20000"/>
    <s v="paid"/>
  </r>
  <r>
    <s v="C0200621P132"/>
    <s v="SMA"/>
    <s v="Program Linear"/>
    <s v="https://drive.google.com/open?id=1CpomigRb0AHefX3TJ0FPNmV6XcDdkeTE"/>
    <s v="C0200621P132"/>
    <d v="2021-04-15T00:00:00"/>
    <x v="34"/>
    <n v="-795"/>
    <x v="44"/>
    <n v="0"/>
    <m/>
    <s v="Accepted"/>
    <x v="1"/>
    <s v="no"/>
    <n v="20000"/>
    <s v="paid"/>
  </r>
  <r>
    <s v="C0401241P009"/>
    <s v="SMA"/>
    <s v="Program Linear"/>
    <s v="https://drive.google.com/open?id=1JKfbJ35nLtrSIPQnYvl43m8Cd9D3inDo"/>
    <s v="C0401241P009"/>
    <d v="2021-04-15T00:00:00"/>
    <x v="34"/>
    <n v="-795"/>
    <x v="44"/>
    <n v="0"/>
    <m/>
    <s v="Accepted"/>
    <x v="1"/>
    <s v="yes"/>
    <n v="25000"/>
    <s v="paid"/>
  </r>
  <r>
    <s v="C0401241P010"/>
    <s v="SMA"/>
    <s v="Program Linear"/>
    <s v="https://drive.google.com/open?id=1MvFSkm7nd8hTzn7gYoaQ0WPEBI52eYWY"/>
    <s v="C0401241P010"/>
    <d v="2021-04-15T00:00:00"/>
    <x v="34"/>
    <n v="-795"/>
    <x v="44"/>
    <n v="0"/>
    <m/>
    <s v="Accepted"/>
    <x v="1"/>
    <s v="yes"/>
    <n v="25000"/>
    <s v="paid"/>
  </r>
  <r>
    <s v="C0550761P001"/>
    <s v="SMA"/>
    <s v="Program Linear"/>
    <s v="https://drive.google.com/open?id=1YqREcIxjoV6wv7tygxe0Bg0oEKAOLmDI"/>
    <s v="C0550761P001"/>
    <d v="2021-04-15T00:00:00"/>
    <x v="34"/>
    <n v="-795"/>
    <x v="44"/>
    <n v="0"/>
    <m/>
    <s v="Accepted"/>
    <x v="1"/>
    <s v="no"/>
    <n v="20000"/>
    <s v="paid"/>
  </r>
  <r>
    <s v="M3392681a013"/>
    <s v="SMA"/>
    <s v="Grafik, Persamaan, Dan Pertidaksamaan Eksponen Dan Logaritma"/>
    <s v="https://drive.google.com/open?id=1PYDzBFeemEOLDJ-zIC6gA0oh60lDC-o-"/>
    <s v="M3392681a013"/>
    <d v="2021-04-15T00:00:00"/>
    <x v="34"/>
    <n v="-795"/>
    <x v="45"/>
    <n v="0"/>
    <m/>
    <s v="Accepted"/>
    <x v="0"/>
    <s v="yes"/>
    <n v="25000"/>
    <s v="paid"/>
  </r>
  <r>
    <s v="M3392681b012"/>
    <s v="SMA"/>
    <s v="Grafik, Persamaan, Dan Pertidaksamaan Eksponen Dan Logaritma"/>
    <s v="https://drive.google.com/open?id=1HVhcNZDGJQHOYwJd6dGVJ2xLz8e5cWtD"/>
    <s v="M3392681b012"/>
    <d v="2021-04-15T00:00:00"/>
    <x v="34"/>
    <n v="-795"/>
    <x v="45"/>
    <n v="0"/>
    <m/>
    <s v="Accepted"/>
    <x v="1"/>
    <s v="no"/>
    <n v="20000"/>
    <s v="paid"/>
  </r>
  <r>
    <s v="M3392681b013"/>
    <s v="SMA"/>
    <s v="Grafik, Persamaan, Dan Pertidaksamaan Eksponen Dan Logaritma"/>
    <s v="https://drive.google.com/open?id=1WIGuyS2VmIL9ZAIx1CcMmZU2M48IHZRh"/>
    <s v="M3392681b013"/>
    <d v="2021-04-15T00:00:00"/>
    <x v="34"/>
    <n v="-795"/>
    <x v="45"/>
    <n v="0"/>
    <m/>
    <s v="Accepted"/>
    <x v="1"/>
    <s v="no"/>
    <n v="20000"/>
    <s v="paid"/>
  </r>
  <r>
    <s v="M3392691a014"/>
    <s v="SMA"/>
    <s v="Grafik, Persamaan, Dan Pertidaksamaan Eksponen Dan Logaritma"/>
    <s v="https://drive.google.com/open?id=1D_50Rb0VYRzVEg1-wmSu0KbjhVsVXT9q"/>
    <s v="M3392691a014"/>
    <d v="2021-04-15T00:00:00"/>
    <x v="34"/>
    <n v="-795"/>
    <x v="45"/>
    <n v="0"/>
    <m/>
    <s v="Accepted"/>
    <x v="0"/>
    <s v="yes"/>
    <n v="25000"/>
    <s v="paid"/>
  </r>
  <r>
    <s v="M3392711a019"/>
    <s v="SMA"/>
    <s v="Grafik, Persamaan, Dan Pertidaksamaan Eksponen Dan Logaritma"/>
    <s v="https://drive.google.com/open?id=17UBQpKVULprTkfifaMK3Lpg1bkMlX8Eu"/>
    <s v="M3392711a019"/>
    <d v="2021-04-15T00:00:00"/>
    <x v="34"/>
    <n v="-795"/>
    <x v="45"/>
    <n v="0"/>
    <m/>
    <s v="Accepted"/>
    <x v="1"/>
    <s v="yes"/>
    <n v="25000"/>
    <s v="paid"/>
  </r>
  <r>
    <s v="M3392711b019"/>
    <s v="SMA"/>
    <s v="Grafik, Persamaan, Dan Pertidaksamaan Eksponen Dan Logaritma"/>
    <s v="https://drive.google.com/open?id=1eCcll40VTM2bAgMF4WOYMkUwUXBgY8SW"/>
    <s v="M3392711b019"/>
    <d v="2021-04-15T00:00:00"/>
    <x v="34"/>
    <n v="-795"/>
    <x v="45"/>
    <n v="0"/>
    <m/>
    <s v="Accepted"/>
    <x v="1"/>
    <s v="no"/>
    <n v="20000"/>
    <s v="paid"/>
  </r>
  <r>
    <s v="M3392711E018"/>
    <s v="SMA"/>
    <s v="Grafik, Persamaan, Dan Pertidaksamaan Eksponen Dan Logaritma"/>
    <s v="https://drive.google.com/open?id=1xjRZ2RCqgB8wwUAFFDkYI6_00yCq_pRK"/>
    <s v="M3392711E018"/>
    <d v="2021-04-15T00:00:00"/>
    <x v="34"/>
    <n v="-795"/>
    <x v="45"/>
    <n v="0"/>
    <m/>
    <s v="Accepted"/>
    <x v="1"/>
    <s v="no"/>
    <n v="20000"/>
    <s v="paid"/>
  </r>
  <r>
    <s v="C0550761P002"/>
    <s v="SMA"/>
    <s v="Program Linear"/>
    <s v="https://drive.google.com/open?id=1RzGlBTWGywGz_VxCVgd2lBJPHTTYw_sY"/>
    <s v="C0550761P002"/>
    <d v="2021-04-15T00:00:00"/>
    <x v="34"/>
    <n v="-795"/>
    <x v="45"/>
    <n v="0"/>
    <m/>
    <s v="Accepted"/>
    <x v="1"/>
    <s v="yes"/>
    <n v="25000"/>
    <s v="paid"/>
  </r>
  <r>
    <s v="C0550761P003"/>
    <s v="SMA"/>
    <s v="Program Linear"/>
    <s v="https://drive.google.com/open?id=1XX5U_xzmSVQ6e44bQzireyuxncYzhZLC"/>
    <s v="C0550761P003"/>
    <d v="2021-04-15T00:00:00"/>
    <x v="34"/>
    <n v="-795"/>
    <x v="45"/>
    <n v="0"/>
    <m/>
    <s v="Accepted"/>
    <x v="1"/>
    <s v="yes"/>
    <n v="25000"/>
    <s v="paid"/>
  </r>
  <r>
    <s v="C0400741b001"/>
    <s v="SMA"/>
    <s v="Dimensi Tiga"/>
    <s v="https://drive.google.com/open?id=171RsTtyzd3i95-B3J4ynjW9sm8C54lg7"/>
    <s v="C0400741b001"/>
    <d v="2021-04-19T00:00:00"/>
    <x v="35"/>
    <n v="-791"/>
    <x v="46"/>
    <n v="0"/>
    <m/>
    <s v="Accepted"/>
    <x v="1"/>
    <s v="no"/>
    <n v="20000"/>
    <s v="paid"/>
  </r>
  <r>
    <s v="C0400741c001"/>
    <s v="SMA"/>
    <s v="Dimensi Tiga"/>
    <s v="https://drive.google.com/open?id=1AUlFG2YkhdqOBKNn2d9MJiHa_vEwDzEh"/>
    <s v="C0400741c001"/>
    <d v="2021-04-19T00:00:00"/>
    <x v="35"/>
    <n v="-791"/>
    <x v="46"/>
    <n v="0"/>
    <m/>
    <s v="Accepted"/>
    <x v="1"/>
    <s v="no"/>
    <n v="20000"/>
    <s v="paid"/>
  </r>
  <r>
    <s v="C0400751P001"/>
    <s v="SMA"/>
    <s v="Dimensi Tiga"/>
    <s v="https://drive.google.com/open?id=1zAyALwVra40JmfPfilILhhooMN3xBidr"/>
    <s v="C0400751P001"/>
    <d v="2021-04-19T00:00:00"/>
    <x v="35"/>
    <n v="-791"/>
    <x v="46"/>
    <n v="0"/>
    <m/>
    <s v="Accepted"/>
    <x v="1"/>
    <s v="yes"/>
    <n v="25000"/>
    <s v="paid"/>
  </r>
  <r>
    <s v="C0401161P029"/>
    <s v="SMA"/>
    <s v="Dimensi Tiga"/>
    <s v="https://drive.google.com/open?id=1bK1v0z823SK0m9jglSAHZlnxvDI1oP2v"/>
    <s v="C0401161P029"/>
    <d v="2021-04-19T00:00:00"/>
    <x v="35"/>
    <n v="-791"/>
    <x v="46"/>
    <n v="0"/>
    <m/>
    <s v="Accepted"/>
    <x v="1"/>
    <s v="no"/>
    <n v="20000"/>
    <s v="paid"/>
  </r>
  <r>
    <s v="C0401271P029"/>
    <s v="SMA"/>
    <s v="Dimensi Tiga"/>
    <s v="https://drive.google.com/open?id=19MVOZvjZomyzsoC5BFhptlkq9ORuX-FC"/>
    <s v="C0401271P029"/>
    <d v="2021-04-19T00:00:00"/>
    <x v="35"/>
    <n v="-791"/>
    <x v="46"/>
    <n v="0"/>
    <m/>
    <s v="Accepted"/>
    <x v="1"/>
    <s v="no"/>
    <n v="20000"/>
    <s v="paid"/>
  </r>
  <r>
    <s v="C0401271P030"/>
    <s v="SMA"/>
    <s v="Dimensi Tiga"/>
    <s v="https://drive.google.com/open?id=19sA2w6MQjlalMV9oWRs0IF3cHVSwDJ5i"/>
    <s v="C0401271P030"/>
    <d v="2021-04-19T00:00:00"/>
    <x v="35"/>
    <n v="-791"/>
    <x v="46"/>
    <n v="0"/>
    <m/>
    <s v="Accepted"/>
    <x v="1"/>
    <s v="no"/>
    <n v="20000"/>
    <s v="paid"/>
  </r>
  <r>
    <s v="C0401321P030"/>
    <s v="SMA"/>
    <s v="Dimensi Tiga"/>
    <s v="https://drive.google.com/open?id=1Euihsn9Ky1aes6LpyxyQwbXRkXQ_4Iq7"/>
    <s v="C0401321P030"/>
    <d v="2021-04-19T00:00:00"/>
    <x v="35"/>
    <n v="-791"/>
    <x v="46"/>
    <n v="0"/>
    <m/>
    <s v="Accepted"/>
    <x v="1"/>
    <s v="yes"/>
    <n v="25000"/>
    <s v="paid"/>
  </r>
  <r>
    <s v="C0590531E001"/>
    <s v="SMA"/>
    <s v="Dimensi Tiga"/>
    <s v="https://drive.google.com/open?id=18OvABBwG4hW1sEmtHu1JmVqem4vp85yP"/>
    <s v="C0590531E001"/>
    <d v="2021-04-19T00:00:00"/>
    <x v="35"/>
    <n v="-791"/>
    <x v="46"/>
    <n v="0"/>
    <m/>
    <s v="Accepted"/>
    <x v="1"/>
    <s v="yes"/>
    <n v="25000"/>
    <s v="paid"/>
  </r>
  <r>
    <s v="C0590541E001"/>
    <s v="SMA"/>
    <s v="Dimensi Tiga"/>
    <s v="https://drive.google.com/open?id=1fT6gKSjDaNNdFNrS_XwqQ1f246c3PGWc"/>
    <s v="C0590541E001"/>
    <d v="2021-04-19T00:00:00"/>
    <x v="35"/>
    <n v="-791"/>
    <x v="46"/>
    <n v="0"/>
    <m/>
    <s v="Accepted"/>
    <x v="1"/>
    <s v="no"/>
    <n v="20000"/>
    <s v="paid"/>
  </r>
  <r>
    <s v="M0233251E004"/>
    <s v="SMA"/>
    <s v="Turunan"/>
    <s v="https://drive.google.com/open?id=1P1hpmAvDlDTa-KelzEXfDPQ3K-x04Vdz"/>
    <s v="M0233251E004"/>
    <d v="2021-03-27T00:00:00"/>
    <x v="29"/>
    <n v="-814"/>
    <x v="47"/>
    <n v="0"/>
    <m/>
    <s v="Accepted"/>
    <x v="1"/>
    <s v="no"/>
    <n v="20000"/>
    <s v="paid"/>
  </r>
  <r>
    <s v="C0201541P089"/>
    <s v="SMA"/>
    <s v="Skalar Dan Vektor Serta Operasi Aljabar Vektor"/>
    <s v="https://drive.google.com/open?id=1DU0gQmtUgqfAWLBggfiewapJ85mzRpbj"/>
    <s v="C0201541P089"/>
    <d v="2021-04-05T00:00:00"/>
    <x v="30"/>
    <n v="-805"/>
    <x v="47"/>
    <n v="0"/>
    <m/>
    <s v="Accepted"/>
    <x v="1"/>
    <s v="yes"/>
    <n v="25000"/>
    <s v="paid"/>
  </r>
  <r>
    <s v="M3070632b001"/>
    <s v="SMA"/>
    <s v="Grafik, Persamaan, Dan Pertidaksamaan Eksponen Dan Logaritma"/>
    <s v="https://drive.google.com/open?id=1ImiZOT0nBTMxJFUvG-EF7EPKMpLfgxLD"/>
    <s v="M3070632b001"/>
    <d v="2021-04-08T00:00:00"/>
    <x v="32"/>
    <n v="-802"/>
    <x v="47"/>
    <n v="0"/>
    <m/>
    <s v="Accepted"/>
    <x v="0"/>
    <s v="yes"/>
    <n v="25000"/>
    <s v="paid"/>
  </r>
  <r>
    <s v="C0401211P029"/>
    <s v="SMA"/>
    <s v="Dimensi Tiga"/>
    <s v="https://drive.google.com/open?id=18NEfkfNnO0tiJh7X_24RFaf2-qlkbexY"/>
    <s v="C0401211P029"/>
    <d v="2021-04-19T00:00:00"/>
    <x v="35"/>
    <n v="-791"/>
    <x v="47"/>
    <n v="0"/>
    <m/>
    <s v="Accepted"/>
    <x v="1"/>
    <s v="no"/>
    <n v="20000"/>
    <s v="paid"/>
  </r>
  <r>
    <s v="M3440652P009"/>
    <s v="SMA"/>
    <s v="Statistika Wajib"/>
    <s v="https://drive.google.com/open?id=1vqkufR4Chnm1SsrUaH10YwrIwWol1qdJ"/>
    <s v="M3440652P009"/>
    <d v="2021-04-26T00:00:00"/>
    <x v="36"/>
    <n v="-784"/>
    <x v="48"/>
    <n v="0"/>
    <m/>
    <s v="Accepted"/>
    <x v="2"/>
    <s v="no"/>
    <n v="20000"/>
    <s v="paid"/>
  </r>
  <r>
    <s v="M3440662P012"/>
    <s v="SMA"/>
    <s v="Statistika Wajib"/>
    <s v="https://drive.google.com/open?id=1lIs6ujzr_wy4iD-KB5a_iEQUb1GTc8gZ"/>
    <s v="M3440662P012"/>
    <d v="2021-04-26T00:00:00"/>
    <x v="36"/>
    <n v="-784"/>
    <x v="48"/>
    <n v="791"/>
    <s v="AV"/>
    <s v="Rejected"/>
    <x v="0"/>
    <s v="yes"/>
    <n v="0"/>
    <s v="not yet"/>
  </r>
  <r>
    <s v="M3440662P013"/>
    <s v="SMA"/>
    <s v="Statistika Wajib"/>
    <s v="https://drive.google.com/open?id=1HTb5Ok2HNR1qBz74N_bYvanPBxD48nnb"/>
    <s v="M3440662P013"/>
    <d v="2021-04-26T00:00:00"/>
    <x v="36"/>
    <n v="-784"/>
    <x v="48"/>
    <n v="0"/>
    <m/>
    <s v="Accepted"/>
    <x v="1"/>
    <s v="yes"/>
    <n v="25000"/>
    <s v="paid"/>
  </r>
  <r>
    <s v="M3440662P019"/>
    <s v="SMA"/>
    <s v="Statistika Wajib"/>
    <s v="https://drive.google.com/open?id=1hYV7e5Qe6RrZdCQ4XUxp316dsq0JK9V6"/>
    <s v="M3440662P019"/>
    <d v="2021-04-26T00:00:00"/>
    <x v="36"/>
    <n v="-784"/>
    <x v="48"/>
    <n v="791"/>
    <s v="AV"/>
    <s v="Rejected"/>
    <x v="0"/>
    <s v="yes"/>
    <n v="0"/>
    <s v="not yet"/>
  </r>
  <r>
    <s v="M3440672P020"/>
    <s v="SMA"/>
    <s v="Statistika Wajib"/>
    <s v="https://drive.google.com/open?id=1V6jbyQxvhcWuNmVBUKJLJjCCGEsxJO8B"/>
    <s v="M3440672P020"/>
    <d v="2021-04-26T00:00:00"/>
    <x v="36"/>
    <n v="-784"/>
    <x v="48"/>
    <n v="791"/>
    <s v="AV"/>
    <s v="Rejected"/>
    <x v="0"/>
    <s v="no"/>
    <n v="0"/>
    <s v="not yet"/>
  </r>
  <r>
    <s v="M3440672P021"/>
    <s v="SMA"/>
    <s v="Statistika Wajib"/>
    <s v="https://drive.google.com/open?id=1pbC_wTHgaqg3eUjt6HhEI2ZUbNdxhRE-"/>
    <s v="M3440672P021"/>
    <d v="2021-04-26T00:00:00"/>
    <x v="36"/>
    <n v="-784"/>
    <x v="48"/>
    <n v="791"/>
    <s v="AV"/>
    <s v="Rejected"/>
    <x v="0"/>
    <s v="yes"/>
    <n v="0"/>
    <s v="not yet"/>
  </r>
  <r>
    <s v="M3440672P023"/>
    <s v="SMA"/>
    <s v="Statistika Wajib"/>
    <s v="https://drive.google.com/open?id=10wKWtg36y8lqaX88M8I4Nm9l-X0K8ki1"/>
    <s v="M3440672P023"/>
    <d v="2021-04-26T00:00:00"/>
    <x v="36"/>
    <n v="-784"/>
    <x v="48"/>
    <n v="0"/>
    <m/>
    <s v="Accepted"/>
    <x v="1"/>
    <s v="no"/>
    <n v="20000"/>
    <s v="paid"/>
  </r>
  <r>
    <s v="M3440672P024"/>
    <s v="SMA"/>
    <s v="Statistika Wajib"/>
    <s v="https://drive.google.com/open?id=1C2-kdZwSlIeXTJcRJOgnsLZ5OxTqgEcd"/>
    <s v="M3440672P024"/>
    <d v="2021-04-26T00:00:00"/>
    <x v="36"/>
    <n v="-784"/>
    <x v="48"/>
    <n v="0"/>
    <m/>
    <s v="Accepted"/>
    <x v="0"/>
    <s v="no"/>
    <n v="20000"/>
    <s v="paid"/>
  </r>
  <r>
    <s v="M3440682P025"/>
    <s v="SMA"/>
    <s v="Statistika Wajib"/>
    <s v="https://drive.google.com/open?id=1QFU_TxCF_iEVh5L0YwVWzct_G3eQN2RV"/>
    <s v="M3440682P025"/>
    <d v="2021-04-26T00:00:00"/>
    <x v="36"/>
    <n v="-784"/>
    <x v="48"/>
    <n v="791"/>
    <s v="AV"/>
    <s v="Rejected"/>
    <x v="0"/>
    <s v="no"/>
    <n v="0"/>
    <s v="not yet"/>
  </r>
  <r>
    <s v="M3440682P026"/>
    <s v="SMA"/>
    <s v="Statistika Wajib"/>
    <s v="https://drive.google.com/open?id=1zMrtrpwvOcXzK-5RCQqmYL0_WlB4fbo8"/>
    <s v="M3440682P026"/>
    <d v="2021-04-26T00:00:00"/>
    <x v="36"/>
    <n v="-784"/>
    <x v="48"/>
    <n v="791"/>
    <s v="AV"/>
    <s v="Rejected"/>
    <x v="0"/>
    <s v="yes"/>
    <n v="0"/>
    <s v="not yet"/>
  </r>
  <r>
    <s v="C0630733E004"/>
    <s v="SMA"/>
    <s v="Transformasi"/>
    <s v="https://drive.google.com/open?id=1sJUHIHUG3Ip6QKP-8WHm0Zc9ThV5dCq-"/>
    <s v="C0630733E004"/>
    <d v="2021-04-26T00:00:00"/>
    <x v="36"/>
    <n v="-784"/>
    <x v="48"/>
    <n v="0"/>
    <m/>
    <s v="Accepted"/>
    <x v="1"/>
    <s v="yes"/>
    <n v="25000"/>
    <s v="paid"/>
  </r>
  <r>
    <s v="B0097681E001"/>
    <s v="SMA"/>
    <s v="Trigonometri"/>
    <s v="https://drive.google.com/open?id=1j4Edukzrsed1SuiJElJ7TNwYPagQpLE8"/>
    <s v="B0097681E001"/>
    <d v="2021-05-04T00:00:00"/>
    <x v="37"/>
    <n v="-776"/>
    <x v="49"/>
    <n v="0"/>
    <m/>
    <s v="Accepted"/>
    <x v="1"/>
    <s v="no"/>
    <n v="20000"/>
    <s v="paid"/>
  </r>
  <r>
    <s v="B0097701E001"/>
    <s v="SMA"/>
    <s v="Trigonometri"/>
    <s v="https://drive.google.com/open?id=1HQPqgtqYey0JTGxtGKtZA1y2VJsI24g0"/>
    <s v="B0097701E001"/>
    <d v="2021-05-04T00:00:00"/>
    <x v="37"/>
    <n v="-776"/>
    <x v="49"/>
    <n v="0"/>
    <m/>
    <s v="Accepted"/>
    <x v="1"/>
    <s v="yes"/>
    <n v="25000"/>
    <s v="paid"/>
  </r>
  <r>
    <s v="B0097711P001"/>
    <s v="SMA"/>
    <s v="Trigonometri"/>
    <s v="https://drive.google.com/open?id=1hYAoJgCd4bbe7u7yT6jhl8Bu8V0ECVh1"/>
    <s v="B0097711P001"/>
    <d v="2021-05-04T00:00:00"/>
    <x v="37"/>
    <n v="-776"/>
    <x v="49"/>
    <n v="0"/>
    <m/>
    <s v="Accepted"/>
    <x v="1"/>
    <s v="no"/>
    <n v="20000"/>
    <s v="paid"/>
  </r>
  <r>
    <s v="B0097751E003"/>
    <s v="SMA"/>
    <s v="Trigonometri"/>
    <s v="https://drive.google.com/open?id=1a5NqbVrTtXcWeEPnA8D78JImePyklTRa"/>
    <s v="B0097751E003"/>
    <d v="2021-05-04T00:00:00"/>
    <x v="37"/>
    <n v="-776"/>
    <x v="49"/>
    <n v="0"/>
    <m/>
    <s v="Accepted"/>
    <x v="1"/>
    <s v="no"/>
    <n v="20000"/>
    <s v="paid"/>
  </r>
  <r>
    <s v="B0097951E009"/>
    <s v="SMA"/>
    <s v="Trigonometri"/>
    <s v="https://drive.google.com/open?id=1ibLZSwUxUFBG8hf1b7vE1mVcB8OLYxVh"/>
    <s v="B0097951E009"/>
    <d v="2021-05-04T00:00:00"/>
    <x v="37"/>
    <n v="-776"/>
    <x v="49"/>
    <n v="0"/>
    <m/>
    <s v="Accepted"/>
    <x v="1"/>
    <s v="no"/>
    <n v="20000"/>
    <s v="paid"/>
  </r>
  <r>
    <s v="B0097971P001"/>
    <s v="SMA"/>
    <s v="Trigonometri"/>
    <s v="https://drive.google.com/open?id=1y1UX0YUNaQ0LkaLh8iKuhTGsIuEoC4mJ"/>
    <s v="B0097971P001"/>
    <d v="2021-05-04T00:00:00"/>
    <x v="37"/>
    <n v="-776"/>
    <x v="49"/>
    <n v="0"/>
    <m/>
    <s v="Accepted"/>
    <x v="1"/>
    <s v="no"/>
    <n v="20000"/>
    <s v="paid"/>
  </r>
  <r>
    <s v="B0098051P018"/>
    <s v="SMA"/>
    <s v="Trigonometri"/>
    <s v="https://drive.google.com/open?id=1MnMtKn2oG6EnFeQ_EDVclzkpAFXCKjpd"/>
    <s v="B0098051P018"/>
    <d v="2021-05-04T00:00:00"/>
    <x v="37"/>
    <n v="-776"/>
    <x v="49"/>
    <n v="0"/>
    <m/>
    <s v="Accepted"/>
    <x v="1"/>
    <s v="no"/>
    <n v="20000"/>
    <s v="paid"/>
  </r>
  <r>
    <s v="B0098071E001"/>
    <s v="SMA"/>
    <s v="Trigonometri"/>
    <s v="https://drive.google.com/open?id=1sFD4XTgYmSseKUwAwspg3zmTvMIbwJFQ"/>
    <s v="B0098071E001"/>
    <d v="2021-05-04T00:00:00"/>
    <x v="37"/>
    <n v="-776"/>
    <x v="49"/>
    <n v="0"/>
    <m/>
    <s v="Accepted"/>
    <x v="1"/>
    <s v="no"/>
    <n v="20000"/>
    <s v="paid"/>
  </r>
  <r>
    <s v="B0098181E001"/>
    <s v="SMA"/>
    <s v="Trigonometri"/>
    <s v="https://drive.google.com/open?id=1q1DvRMeQTvk7fhbtq55dUSlj-wQgazoP"/>
    <s v="B0098181E001"/>
    <d v="2021-05-04T00:00:00"/>
    <x v="37"/>
    <n v="-776"/>
    <x v="49"/>
    <n v="0"/>
    <m/>
    <s v="Accepted"/>
    <x v="1"/>
    <s v="no"/>
    <n v="20000"/>
    <s v="paid"/>
  </r>
  <r>
    <s v="B0098291P021"/>
    <s v="SMA"/>
    <s v="Trigonometri"/>
    <s v="https://drive.google.com/open?id=1LQ-tR_ud3jUGkOb107ctyt-C_fkjmRsq"/>
    <s v="B0098291P021"/>
    <d v="2021-05-04T00:00:00"/>
    <x v="37"/>
    <n v="-776"/>
    <x v="49"/>
    <n v="0"/>
    <m/>
    <s v="Accepted"/>
    <x v="1"/>
    <s v="no"/>
    <n v="20000"/>
    <s v="paid"/>
  </r>
  <r>
    <s v="B0098311P027"/>
    <s v="SMA"/>
    <s v="Trigonometri"/>
    <s v="https://drive.google.com/open?id=185O_oULEDd_LEE_H3OzBIZL9TdsXFobO"/>
    <s v="B0098311P027"/>
    <d v="2021-05-04T00:00:00"/>
    <x v="37"/>
    <n v="-776"/>
    <x v="49"/>
    <n v="0"/>
    <m/>
    <s v="Accepted"/>
    <x v="1"/>
    <s v="no"/>
    <n v="20000"/>
    <s v="paid"/>
  </r>
  <r>
    <s v="M3392691b014"/>
    <s v="SMA"/>
    <s v="Grafik, Persamaan, Dan Pertidaksamaan Eksponen Dan Logaritma"/>
    <s v="https://drive.google.com/open?id=1UuCuATSs5JyqQjRMPtMUoodBro6mO7IU"/>
    <s v="M3392691b014"/>
    <d v="2021-05-10T00:00:00"/>
    <x v="38"/>
    <n v="-770"/>
    <x v="50"/>
    <n v="777"/>
    <s v="AV"/>
    <s v="Rejected"/>
    <x v="0"/>
    <s v="no"/>
    <n v="0"/>
    <s v="not yet"/>
  </r>
  <r>
    <s v="B0098021E001"/>
    <s v="SMA"/>
    <s v="Trigonometri"/>
    <s v="https://drive.google.com/open?id=1NBHgYfP3597CTZyrC3C0nRyWTa2xvL1x"/>
    <s v="B0098021E001"/>
    <d v="2021-05-10T00:00:00"/>
    <x v="38"/>
    <n v="-770"/>
    <x v="51"/>
    <n v="0"/>
    <m/>
    <s v="Accepted"/>
    <x v="1"/>
    <s v="yes"/>
    <n v="25000"/>
    <s v="paid"/>
  </r>
  <r>
    <s v="B0098111E001"/>
    <s v="SMA"/>
    <s v="Trigonometri"/>
    <s v="https://drive.google.com/open?id=1K6N1OeaU270xgRZFqyhYnFQTYnegVjv6"/>
    <s v="B0098111E001"/>
    <d v="2021-05-04T00:00:00"/>
    <x v="37"/>
    <n v="-776"/>
    <x v="52"/>
    <n v="0"/>
    <m/>
    <s v="Accepted"/>
    <x v="1"/>
    <s v="no"/>
    <n v="20000"/>
    <s v="paid"/>
  </r>
  <r>
    <s v="S0220202a002"/>
    <s v="SD"/>
    <s v="Kecepatan Dan Debit"/>
    <s v="https://drive.google.com/open?id=1Ca5bVc8nSgfwQY0qWxIDrAMrMiE8R7Ph"/>
    <s v="S0220202a002"/>
    <d v="2021-06-07T00:00:00"/>
    <x v="39"/>
    <n v="-743"/>
    <x v="53"/>
    <n v="0"/>
    <m/>
    <s v="Accepted"/>
    <x v="1"/>
    <s v="no"/>
    <n v="15000"/>
    <s v="paid"/>
  </r>
  <r>
    <s v="S0220202b002"/>
    <s v="SD"/>
    <s v="Kecepatan Dan Debit"/>
    <s v="https://drive.google.com/open?id=180HucIcP0ygk1sEUNwH0Q6FuNylpz3bO"/>
    <s v="S0220202b002"/>
    <d v="2021-06-07T00:00:00"/>
    <x v="39"/>
    <n v="-743"/>
    <x v="53"/>
    <n v="0"/>
    <m/>
    <s v="Accepted"/>
    <x v="1"/>
    <s v="no"/>
    <n v="15000"/>
    <s v="paid"/>
  </r>
  <r>
    <s v="S0220202c002"/>
    <s v="SD"/>
    <s v="Kecepatan Dan Debit"/>
    <s v="https://drive.google.com/open?id=11280xWcluPtph45v3LFYqMFuk4y57q49"/>
    <s v="S0220202c002"/>
    <d v="2021-06-07T00:00:00"/>
    <x v="39"/>
    <n v="-743"/>
    <x v="53"/>
    <n v="0"/>
    <m/>
    <s v="Accepted"/>
    <x v="1"/>
    <s v="no"/>
    <n v="15000"/>
    <s v="paid"/>
  </r>
  <r>
    <s v="S0220212E004"/>
    <s v="SD"/>
    <s v="Kecepatan Dan Debit"/>
    <s v="https://drive.google.com/open?id=1ushpSP0-ktm0xbS41NlLnqfKq4WQ_X7t"/>
    <s v="S0220212E004"/>
    <d v="2021-06-07T00:00:00"/>
    <x v="39"/>
    <n v="-743"/>
    <x v="54"/>
    <n v="0"/>
    <m/>
    <s v="Accepted"/>
    <x v="1"/>
    <s v="no"/>
    <n v="15000"/>
    <s v="paid"/>
  </r>
  <r>
    <s v="S0220212E005"/>
    <s v="SD"/>
    <s v="Kecepatan Dan Debit"/>
    <s v="https://drive.google.com/open?id=1aBDiw4vCqj3YbQB92MDdSZFenzCoL8HA"/>
    <s v="S0220212E005"/>
    <d v="2021-06-07T00:00:00"/>
    <x v="39"/>
    <n v="-743"/>
    <x v="54"/>
    <n v="0"/>
    <m/>
    <s v="Accepted"/>
    <x v="1"/>
    <s v="no"/>
    <n v="15000"/>
    <s v="paid"/>
  </r>
  <r>
    <s v="S0220212E006"/>
    <s v="SD"/>
    <s v="Kecepatan Dan Debit"/>
    <s v="https://drive.google.com/open?id=1kwuK7TOfnKM2H5R4VsRr0Ax3GfkiqzTM"/>
    <s v="S0220212E006"/>
    <d v="2021-06-07T00:00:00"/>
    <x v="39"/>
    <n v="-743"/>
    <x v="54"/>
    <n v="0"/>
    <m/>
    <s v="Accepted"/>
    <x v="1"/>
    <s v="no"/>
    <n v="15000"/>
    <s v="paid"/>
  </r>
  <r>
    <s v="S0220212E007"/>
    <s v="SD"/>
    <s v="Kecepatan Dan Debit"/>
    <s v="https://drive.google.com/open?id=1JKha0OAoi3JZjnTvT9n9Rp6egpqfnmx1"/>
    <s v="S0220212E007"/>
    <d v="2021-06-07T00:00:00"/>
    <x v="39"/>
    <n v="-743"/>
    <x v="54"/>
    <n v="0"/>
    <m/>
    <s v="Accepted"/>
    <x v="1"/>
    <s v="no"/>
    <n v="15000"/>
    <s v="paid"/>
  </r>
  <r>
    <s v="S0220212E008"/>
    <s v="SD"/>
    <s v="Kecepatan Dan Debit"/>
    <s v="https://drive.google.com/open?id=1jghmaKIwnuEu5_FsWP8Foq7bm-IVnHiS"/>
    <s v="S0220212E008"/>
    <d v="2021-06-07T00:00:00"/>
    <x v="39"/>
    <n v="-743"/>
    <x v="54"/>
    <n v="0"/>
    <m/>
    <s v="Accepted"/>
    <x v="1"/>
    <s v="yes"/>
    <n v="18000"/>
    <s v="paid"/>
  </r>
  <r>
    <s v="S0371472E005"/>
    <s v="SD"/>
    <s v="Skala"/>
    <s v="https://drive.google.com/open?id=1VJKzZewciCVztyaq2WBk-kZQx9-DY8-K"/>
    <s v="S0371472E005"/>
    <d v="2021-06-10T00:00:00"/>
    <x v="40"/>
    <n v="-740"/>
    <x v="54"/>
    <n v="0"/>
    <m/>
    <s v="Accepted"/>
    <x v="1"/>
    <s v="no"/>
    <n v="15000"/>
    <s v="paid"/>
  </r>
  <r>
    <s v="S0371581E001"/>
    <s v="SD"/>
    <s v="Skala"/>
    <s v="https://drive.google.com/open?id=1K5pPj-43yGXu42BoT-OLWIezq-IIRwCQ"/>
    <s v="S0371581E001"/>
    <d v="2021-06-10T00:00:00"/>
    <x v="40"/>
    <n v="-740"/>
    <x v="55"/>
    <n v="0"/>
    <m/>
    <s v="Accepted"/>
    <x v="1"/>
    <s v="no"/>
    <n v="15000"/>
    <s v="paid"/>
  </r>
  <r>
    <s v="S0371652E003"/>
    <s v="SD"/>
    <s v="Skala"/>
    <s v="https://drive.google.com/open?id=1nzkUE8uY7nbCD5F2ylF8Ai4EJhTt91L_"/>
    <s v="S0371652E003"/>
    <d v="2021-06-10T00:00:00"/>
    <x v="40"/>
    <n v="-740"/>
    <x v="55"/>
    <n v="0"/>
    <m/>
    <s v="Accepted"/>
    <x v="1"/>
    <s v="no"/>
    <n v="15000"/>
    <s v="paid"/>
  </r>
  <r>
    <s v="S0371791P004"/>
    <s v="SD"/>
    <s v="KPK dan FPB"/>
    <s v="https://drive.google.com/open?id=1Ya9ySzHeMtFrd13YWnj_rKOZiz9rt6im"/>
    <s v="S0371791P004"/>
    <d v="2021-06-10T00:00:00"/>
    <x v="40"/>
    <n v="-740"/>
    <x v="55"/>
    <n v="0"/>
    <m/>
    <s v="Accepted"/>
    <x v="1"/>
    <s v="no"/>
    <n v="15000"/>
    <s v="paid"/>
  </r>
  <r>
    <s v="S0401451E001"/>
    <s v="SD"/>
    <s v="Kesebangunan Dan Simetri"/>
    <s v="https://drive.google.com/open?id=1WRsJEdttpz2HOYkeclfbmDJk7lPD6-G-"/>
    <s v="S0401451E001"/>
    <d v="2021-06-10T00:00:00"/>
    <x v="40"/>
    <n v="-740"/>
    <x v="55"/>
    <n v="0"/>
    <m/>
    <s v="Accepted"/>
    <x v="1"/>
    <s v="no"/>
    <n v="15000"/>
    <s v="paid"/>
  </r>
  <r>
    <s v="S0041364E001"/>
    <s v="SD"/>
    <s v="Statistika 6"/>
    <s v="https://drive.google.com/open?id=1_c1ZNqYKjAmYHQIfK8j2I-Uz5NtpdQJA"/>
    <s v="S0041364E001"/>
    <d v="2021-06-18T00:00:00"/>
    <x v="41"/>
    <n v="-732"/>
    <x v="56"/>
    <n v="0"/>
    <m/>
    <s v="Accepted"/>
    <x v="1"/>
    <s v="no"/>
    <n v="15000"/>
    <s v="paid"/>
  </r>
  <r>
    <s v="S0041365E001"/>
    <s v="SD"/>
    <s v="Statistika 6"/>
    <s v="https://drive.google.com/open?id=1lbs3pBkJKrZCr3sytr97_MIToxBudfgW"/>
    <s v="S0041365E001"/>
    <d v="2021-06-18T00:00:00"/>
    <x v="41"/>
    <n v="-732"/>
    <x v="56"/>
    <n v="0"/>
    <m/>
    <s v="Accepted"/>
    <x v="1"/>
    <s v="no"/>
    <n v="15000"/>
    <s v="paid"/>
  </r>
  <r>
    <s v="S0041365E002"/>
    <s v="SD"/>
    <s v="Statistika 6"/>
    <s v="https://drive.google.com/open?id=1k78_WXTcLitW7IBPTRiKC7nFau5lVSIY"/>
    <s v="S0041365E002"/>
    <d v="2021-06-18T00:00:00"/>
    <x v="41"/>
    <n v="-732"/>
    <x v="56"/>
    <n v="0"/>
    <m/>
    <s v="Accepted"/>
    <x v="1"/>
    <s v="no"/>
    <n v="15000"/>
    <s v="paid"/>
  </r>
  <r>
    <s v="S0041372E001"/>
    <s v="SD"/>
    <s v="Statistika 6"/>
    <s v="https://drive.google.com/open?id=1emiNN8OWCuZ9uBj2ObtWVbBFr2xurYq6"/>
    <s v="S0041372E001"/>
    <d v="2021-06-18T00:00:00"/>
    <x v="41"/>
    <n v="-732"/>
    <x v="56"/>
    <n v="0"/>
    <m/>
    <s v="Accepted"/>
    <x v="1"/>
    <s v="no"/>
    <n v="15000"/>
    <s v="paid"/>
  </r>
  <r>
    <s v="S0041372E002"/>
    <s v="SD"/>
    <s v="Statistika 6"/>
    <s v="https://drive.google.com/open?id=1j_WQdXaGYGqfj2tVI3br8EuP1maztGOT"/>
    <s v="S0041372E002"/>
    <d v="2021-06-18T00:00:00"/>
    <x v="41"/>
    <n v="-732"/>
    <x v="56"/>
    <n v="0"/>
    <m/>
    <s v="Accepted"/>
    <x v="1"/>
    <s v="no"/>
    <n v="15000"/>
    <s v="paid"/>
  </r>
  <r>
    <s v="S0041382E004"/>
    <s v="SD"/>
    <s v="Statistika 6"/>
    <s v="https://drive.google.com/open?id=1ZYqh_6OucFH9Zd-2InRc0A4hallsCwOU"/>
    <s v="S0041382E004"/>
    <d v="2021-06-18T00:00:00"/>
    <x v="41"/>
    <n v="-732"/>
    <x v="56"/>
    <n v="0"/>
    <m/>
    <s v="Accepted"/>
    <x v="1"/>
    <s v="no"/>
    <n v="15000"/>
    <s v="paid"/>
  </r>
  <r>
    <s v="S0041382E005"/>
    <s v="SD"/>
    <s v="Statistika 6"/>
    <s v="https://drive.google.com/open?id=1BEGmkUKzy11pIRDnK4iVLcmZVlaRgK3i"/>
    <s v="S0041382E005"/>
    <d v="2021-06-18T00:00:00"/>
    <x v="41"/>
    <n v="-732"/>
    <x v="56"/>
    <n v="0"/>
    <m/>
    <s v="Accepted"/>
    <x v="1"/>
    <s v="no"/>
    <n v="15000"/>
    <s v="paid"/>
  </r>
  <r>
    <s v="S0061951P014"/>
    <s v="SD"/>
    <s v="Pengumpulan Dan Penyajian Data"/>
    <s v="https://drive.google.com/open?id=1AIzxhRKmyL6N4YeON3I-XFxX37PLPTEn"/>
    <s v="S0061951P014"/>
    <d v="2021-06-20T00:00:00"/>
    <x v="42"/>
    <n v="-730"/>
    <x v="57"/>
    <n v="0"/>
    <m/>
    <s v="Accepted"/>
    <x v="1"/>
    <s v="no"/>
    <n v="15000"/>
    <s v="paid"/>
  </r>
  <r>
    <s v="S0061951P015"/>
    <s v="SD"/>
    <s v="Pengumpulan Dan Penyajian Data"/>
    <s v="https://drive.google.com/open?id=1a7UoLtIJL9cYJCpqMOvW6TB7iPoCrFF2"/>
    <s v="S0061951P015"/>
    <d v="2021-06-20T00:00:00"/>
    <x v="42"/>
    <n v="-730"/>
    <x v="57"/>
    <n v="0"/>
    <m/>
    <s v="Accepted"/>
    <x v="1"/>
    <s v="no"/>
    <n v="15000"/>
    <s v="paid"/>
  </r>
  <r>
    <s v="S0061961P018"/>
    <s v="SD"/>
    <s v="Pengumpulan Dan Penyajian Data"/>
    <s v="https://drive.google.com/open?id=11ChbygW4uXGhtILBsi6DA4FgkoDFrmIT"/>
    <s v="S0061961P018"/>
    <d v="2021-06-20T00:00:00"/>
    <x v="42"/>
    <n v="-730"/>
    <x v="57"/>
    <n v="0"/>
    <m/>
    <s v="Accepted"/>
    <x v="1"/>
    <s v="no"/>
    <n v="15000"/>
    <s v="paid"/>
  </r>
  <r>
    <s v="S0410203E001"/>
    <s v="SD"/>
    <s v="KPK dan FPB"/>
    <s v="https://drive.google.com/open?id=1mm_Y49dZ_UFqN2ZR0k7tcvqbNYoUAkYQ"/>
    <s v="S0410203E001"/>
    <d v="2021-06-20T00:00:00"/>
    <x v="42"/>
    <n v="-730"/>
    <x v="57"/>
    <n v="736"/>
    <s v="Corr"/>
    <s v="Rejected"/>
    <x v="0"/>
    <s v="no"/>
    <n v="0"/>
    <s v="not yet"/>
  </r>
  <r>
    <s v="S0442342E005"/>
    <s v="SD"/>
    <s v="Operasi Bilangan Pecahan"/>
    <s v="https://drive.google.com/open?id=1g_9OFNycUUvMDHSw55aU8d-TSWMK2nMI"/>
    <s v="S0442342E005"/>
    <d v="2021-06-20T00:00:00"/>
    <x v="42"/>
    <n v="-730"/>
    <x v="58"/>
    <n v="0"/>
    <m/>
    <s v="Accepted"/>
    <x v="0"/>
    <s v="no"/>
    <n v="15000"/>
    <s v="paid"/>
  </r>
  <r>
    <s v="S0441723E002"/>
    <s v="SD"/>
    <s v="Operasi Bilangan Pecahan"/>
    <s v="https://drive.google.com/open?id=1Csx50Aibrc_LdD8xZMRM83LUPZhcIoNh"/>
    <s v="S0441723E002"/>
    <d v="2021-06-20T00:00:00"/>
    <x v="42"/>
    <n v="-730"/>
    <x v="58"/>
    <n v="0"/>
    <m/>
    <s v="Accepted"/>
    <x v="0"/>
    <s v="no"/>
    <n v="15000"/>
    <s v="paid"/>
  </r>
  <r>
    <s v="S0441451E002"/>
    <s v="SD"/>
    <s v="Operasi Bilangan Pecahan"/>
    <s v="https://drive.google.com/open?id=1QX6vhl90YeNeIHi2xqrb3TFnZ-d3qRgY"/>
    <s v="S0441451E002"/>
    <d v="2021-06-20T00:00:00"/>
    <x v="42"/>
    <n v="-730"/>
    <x v="58"/>
    <n v="0"/>
    <m/>
    <s v="Accepted"/>
    <x v="1"/>
    <s v="no"/>
    <n v="15000"/>
    <s v="paid"/>
  </r>
  <r>
    <s v="S0441451E003"/>
    <s v="SD"/>
    <s v="Operasi Bilangan Pecahan"/>
    <s v="https://drive.google.com/open?id=19Cqv7IRoE-9B41LlD3ZnGws0jgW824vr"/>
    <s v="S0441451E003"/>
    <d v="2021-06-20T00:00:00"/>
    <x v="42"/>
    <n v="-730"/>
    <x v="58"/>
    <n v="0"/>
    <m/>
    <s v="Accepted"/>
    <x v="1"/>
    <s v="no"/>
    <n v="15000"/>
    <s v="paid"/>
  </r>
  <r>
    <s v="S0441451E004"/>
    <s v="SD"/>
    <s v="Operasi Bilangan Pecahan"/>
    <s v="https://drive.google.com/open?id=14c2YeNealdNQrs3T1dJZJ3njI9HT7MKT"/>
    <s v="S0441451E004"/>
    <d v="2021-06-20T00:00:00"/>
    <x v="42"/>
    <n v="-730"/>
    <x v="58"/>
    <n v="0"/>
    <m/>
    <s v="Accepted"/>
    <x v="1"/>
    <s v="no"/>
    <n v="15000"/>
    <s v="paid"/>
  </r>
  <r>
    <s v="S0441451E005"/>
    <s v="SD"/>
    <s v="Operasi Bilangan Pecahan"/>
    <s v="https://drive.google.com/open?id=1v6vTgehHVncmdM5aVA2NcP1mI7un5AXR"/>
    <s v="S0441451E005"/>
    <d v="2021-06-20T00:00:00"/>
    <x v="42"/>
    <n v="-730"/>
    <x v="58"/>
    <n v="0"/>
    <m/>
    <s v="Accepted"/>
    <x v="1"/>
    <s v="no"/>
    <n v="15000"/>
    <s v="paid"/>
  </r>
  <r>
    <s v="S0441452E001"/>
    <s v="SD"/>
    <s v="Operasi Bilangan Pecahan"/>
    <s v="https://drive.google.com/open?id=1VsWVVGvkCqB34eHIV_glnxMn2uSA-HTA"/>
    <s v="S0441452E001"/>
    <d v="2021-06-20T00:00:00"/>
    <x v="42"/>
    <n v="-730"/>
    <x v="58"/>
    <n v="0"/>
    <m/>
    <s v="Accepted"/>
    <x v="1"/>
    <s v="no"/>
    <n v="15000"/>
    <s v="paid"/>
  </r>
  <r>
    <s v="S0441452E002"/>
    <s v="SD"/>
    <s v="Operasi Bilangan Pecahan"/>
    <s v="https://drive.google.com/open?id=1cUgJdnKUnhCk_lodJYHeLMRlNMflTOE7"/>
    <s v="S0441452E002"/>
    <d v="2021-06-20T00:00:00"/>
    <x v="42"/>
    <n v="-730"/>
    <x v="58"/>
    <n v="0"/>
    <m/>
    <s v="Accepted"/>
    <x v="1"/>
    <s v="no"/>
    <n v="15000"/>
    <s v="paid"/>
  </r>
  <r>
    <s v="S0441452E003"/>
    <s v="SD"/>
    <s v="Operasi Bilangan Pecahan"/>
    <s v="https://drive.google.com/open?id=1vSQVlQbGikAZmaCwekjBUBGRfHUUZRFI"/>
    <s v="S0441452E003"/>
    <d v="2021-06-20T00:00:00"/>
    <x v="42"/>
    <n v="-730"/>
    <x v="58"/>
    <n v="0"/>
    <m/>
    <s v="Accepted"/>
    <x v="1"/>
    <s v="no"/>
    <n v="15000"/>
    <s v="paid"/>
  </r>
  <r>
    <s v="S0441552E002"/>
    <s v="SD"/>
    <s v="KPK dan FPB"/>
    <s v="https://drive.google.com/open?id=1DkWyouFGqQeB9llME29Qwa5mHzoOPL51"/>
    <s v="S0441552E002"/>
    <d v="2021-06-20T00:00:00"/>
    <x v="42"/>
    <n v="-730"/>
    <x v="58"/>
    <n v="0"/>
    <m/>
    <s v="Accepted"/>
    <x v="0"/>
    <s v="no"/>
    <n v="15000"/>
    <s v="paid"/>
  </r>
  <r>
    <s v="S0490091E002"/>
    <s v="SD"/>
    <s v="KPK dan FPB"/>
    <s v="https://drive.google.com/open?id=1FsBL71V4YbZnl7CADA8C7kFvd_OWQ3Ib"/>
    <s v="S0490091E002"/>
    <d v="2021-06-20T00:00:00"/>
    <x v="42"/>
    <n v="-730"/>
    <x v="58"/>
    <n v="0"/>
    <m/>
    <s v="Accepted"/>
    <x v="1"/>
    <s v="no"/>
    <n v="15000"/>
    <s v="paid"/>
  </r>
  <r>
    <s v="S0490101E001"/>
    <s v="SD"/>
    <s v="KPK dan FPB"/>
    <s v="https://drive.google.com/open?id=1YYhmRjfjoPb_kOorPM0pq_nDY9v65jWa"/>
    <s v="S0490101E001"/>
    <d v="2021-06-20T00:00:00"/>
    <x v="42"/>
    <n v="-730"/>
    <x v="58"/>
    <n v="0"/>
    <m/>
    <s v="Accepted"/>
    <x v="1"/>
    <s v="no"/>
    <n v="15000"/>
    <s v="paid"/>
  </r>
  <r>
    <s v="S0490101E002"/>
    <s v="SD"/>
    <s v="KPK dan FPB"/>
    <s v="https://drive.google.com/open?id=1znfDV2rCqCbBG5EheHQCGfisijxOg-Xg"/>
    <s v="S0490101E002"/>
    <d v="2021-06-20T00:00:00"/>
    <x v="42"/>
    <n v="-730"/>
    <x v="58"/>
    <n v="0"/>
    <m/>
    <s v="Accepted"/>
    <x v="1"/>
    <s v="no"/>
    <n v="15000"/>
    <s v="paid"/>
  </r>
  <r>
    <s v="S0490101E003"/>
    <s v="SD"/>
    <s v="KPK dan FPB"/>
    <s v="https://drive.google.com/open?id=1NcdiEvI1RKQFcqrv9VvS2Q21G_JEqt3j"/>
    <s v="S0490101E003"/>
    <d v="2021-06-20T00:00:00"/>
    <x v="42"/>
    <n v="-730"/>
    <x v="58"/>
    <n v="0"/>
    <m/>
    <s v="Accepted"/>
    <x v="1"/>
    <s v="no"/>
    <n v="15000"/>
    <s v="paid"/>
  </r>
  <r>
    <s v="S0220212E003"/>
    <s v="SD"/>
    <s v="Kecepatan Dan Debit"/>
    <s v="https://drive.google.com/open?id=1SYSlbFnkV01pJ--MB68A7pPW2DcthOuU"/>
    <s v="S0220212E003"/>
    <d v="2021-06-07T00:00:00"/>
    <x v="39"/>
    <n v="-743"/>
    <x v="59"/>
    <n v="0"/>
    <m/>
    <s v="Accepted"/>
    <x v="0"/>
    <s v="no"/>
    <n v="15000"/>
    <s v="paid"/>
  </r>
  <r>
    <s v="S0371822E003"/>
    <s v="SD"/>
    <s v="Skala"/>
    <s v="https://drive.google.com/open?id=1W0bGKMFGRd7Ib9cpmrNQApXDYSdG6Y08"/>
    <s v="S0371822E003"/>
    <d v="2021-06-10T00:00:00"/>
    <x v="40"/>
    <n v="-740"/>
    <x v="59"/>
    <n v="0"/>
    <m/>
    <s v="Accepted"/>
    <x v="0"/>
    <s v="no"/>
    <n v="15000"/>
    <s v="paid"/>
  </r>
  <r>
    <s v="S0371823E003"/>
    <s v="SD"/>
    <s v="Skala"/>
    <s v="https://drive.google.com/open?id=1XAuJLaHOkdjiEKwDiIXNW3H5Iq7fzH7n"/>
    <s v="S0371823E003"/>
    <d v="2021-06-10T00:00:00"/>
    <x v="40"/>
    <n v="-740"/>
    <x v="59"/>
    <n v="0"/>
    <m/>
    <s v="Accepted"/>
    <x v="0"/>
    <s v="no"/>
    <n v="15000"/>
    <s v="paid"/>
  </r>
  <r>
    <s v="S0500531E004"/>
    <s v="SD"/>
    <s v="Bilangan Bulat"/>
    <s v="https://drive.google.com/open?id=14uKMjtBJwRPL5lYQZWVXDnb0EGT33U_0"/>
    <s v="S0500531E004"/>
    <d v="2021-06-25T00:00:00"/>
    <x v="43"/>
    <n v="-725"/>
    <x v="59"/>
    <n v="0"/>
    <m/>
    <s v="Accepted"/>
    <x v="1"/>
    <s v="no"/>
    <n v="15000"/>
    <s v="paid"/>
  </r>
  <r>
    <s v="S0500531E005"/>
    <s v="SD"/>
    <s v="Bilangan Bulat"/>
    <s v="https://drive.google.com/open?id=1uvxgThguVq1Ug5I8oAL3yZT3kmEvZ6NV"/>
    <s v="S0500531E005"/>
    <d v="2021-06-25T00:00:00"/>
    <x v="43"/>
    <n v="-725"/>
    <x v="59"/>
    <n v="0"/>
    <m/>
    <s v="Accepted"/>
    <x v="1"/>
    <s v="no"/>
    <n v="15000"/>
    <s v="paid"/>
  </r>
  <r>
    <s v="S0500531E006"/>
    <s v="SD"/>
    <s v="Bilangan Bulat"/>
    <s v="https://drive.google.com/open?id=1Cf79MPeuAn70V-nJPsSRRcQgaGSvDsDq"/>
    <s v="S0500531E006"/>
    <d v="2021-06-25T00:00:00"/>
    <x v="43"/>
    <n v="-725"/>
    <x v="59"/>
    <n v="0"/>
    <m/>
    <s v="Accepted"/>
    <x v="1"/>
    <s v="no"/>
    <n v="15000"/>
    <s v="paid"/>
  </r>
  <r>
    <s v="S0500531E007"/>
    <s v="SD"/>
    <s v="Bilangan Bulat"/>
    <s v="https://drive.google.com/open?id=1l6dMb3pJi6LSS07DvwJTxxQlvS4bbYTc"/>
    <s v="S0500531E007"/>
    <d v="2021-06-25T00:00:00"/>
    <x v="43"/>
    <n v="-725"/>
    <x v="59"/>
    <n v="0"/>
    <m/>
    <s v="Accepted"/>
    <x v="1"/>
    <s v="no"/>
    <n v="15000"/>
    <s v="paid"/>
  </r>
  <r>
    <s v="S0500531E008"/>
    <s v="SD"/>
    <s v="Bilangan Bulat"/>
    <s v="https://drive.google.com/open?id=1liSfb7I9YiU77wY9kcBVNQQbfIQjUDpA"/>
    <s v="S0500531E008"/>
    <d v="2021-06-25T00:00:00"/>
    <x v="43"/>
    <n v="-725"/>
    <x v="59"/>
    <n v="0"/>
    <m/>
    <s v="Accepted"/>
    <x v="1"/>
    <s v="no"/>
    <n v="15000"/>
    <s v="paid"/>
  </r>
  <r>
    <s v="S0500541E001"/>
    <s v="SD"/>
    <s v="Bilangan Bulat"/>
    <s v="https://drive.google.com/open?id=1F2B36B1QkC4-Jqh10u2ISbG9BIFUOBrv"/>
    <s v="S0500541E001"/>
    <d v="2021-06-25T00:00:00"/>
    <x v="43"/>
    <n v="-725"/>
    <x v="59"/>
    <n v="0"/>
    <m/>
    <s v="Accepted"/>
    <x v="1"/>
    <s v="no"/>
    <n v="15000"/>
    <s v="paid"/>
  </r>
  <r>
    <s v="S0500541E002"/>
    <s v="SD"/>
    <s v="Bilangan Bulat"/>
    <s v="https://drive.google.com/open?id=1hdU-A6-Mc-oNPncpy3MXpxHWsWCbzsOb"/>
    <s v="S0500541E002"/>
    <d v="2021-06-25T00:00:00"/>
    <x v="43"/>
    <n v="-725"/>
    <x v="59"/>
    <n v="0"/>
    <m/>
    <s v="Accepted"/>
    <x v="1"/>
    <s v="no"/>
    <n v="15000"/>
    <s v="paid"/>
  </r>
  <r>
    <s v="S0500541E003"/>
    <s v="SD"/>
    <s v="Bilangan Bulat"/>
    <s v="https://drive.google.com/open?id=1lXOsrzBdqFJ7v-xjwLZDN-s-R03T41qP"/>
    <s v="S0500541E003"/>
    <d v="2021-06-25T00:00:00"/>
    <x v="43"/>
    <n v="-725"/>
    <x v="59"/>
    <n v="0"/>
    <m/>
    <s v="Accepted"/>
    <x v="1"/>
    <s v="no"/>
    <n v="15000"/>
    <s v="paid"/>
  </r>
  <r>
    <s v="S0500541E004"/>
    <s v="SD"/>
    <s v="Bilangan Bulat"/>
    <s v="https://drive.google.com/open?id=141Ax2bpdmZtQa2xJbA4pmXqBT6jZy4Gt"/>
    <s v="S0500541E004"/>
    <d v="2021-06-25T00:00:00"/>
    <x v="43"/>
    <n v="-725"/>
    <x v="59"/>
    <n v="0"/>
    <m/>
    <s v="Accepted"/>
    <x v="1"/>
    <s v="no"/>
    <n v="15000"/>
    <s v="paid"/>
  </r>
  <r>
    <s v="S0500541E005"/>
    <s v="SD"/>
    <s v="Bilangan Bulat"/>
    <s v="https://drive.google.com/open?id=1wGHgXcmnuzc2IhECvwV0F_vGO3t9ehPk"/>
    <s v="S0500541E005"/>
    <d v="2021-06-25T00:00:00"/>
    <x v="43"/>
    <n v="-725"/>
    <x v="60"/>
    <n v="0"/>
    <m/>
    <s v="Accepted"/>
    <x v="1"/>
    <s v="no"/>
    <n v="15000"/>
    <s v="paid"/>
  </r>
  <r>
    <s v="S0500551E006"/>
    <s v="SD"/>
    <s v="Bilangan Bulat"/>
    <s v="https://drive.google.com/open?id=1U0du47Pdvmuw6BlcVhYAggfARNz8B4M9"/>
    <s v="S0500551E006"/>
    <d v="2021-06-25T00:00:00"/>
    <x v="43"/>
    <n v="-725"/>
    <x v="60"/>
    <n v="0"/>
    <m/>
    <s v="Accepted"/>
    <x v="1"/>
    <s v="no"/>
    <n v="15000"/>
    <s v="paid"/>
  </r>
  <r>
    <s v="S0500551E007"/>
    <s v="SD"/>
    <s v="Bilangan Bulat"/>
    <s v="https://drive.google.com/open?id=1lBFQMWhVPua6ImDICTWCH_2Ix6iM73po"/>
    <s v="S0500551E007"/>
    <d v="2021-06-25T00:00:00"/>
    <x v="43"/>
    <n v="-725"/>
    <x v="60"/>
    <n v="0"/>
    <m/>
    <s v="Accepted"/>
    <x v="1"/>
    <s v="no"/>
    <n v="15000"/>
    <s v="paid"/>
  </r>
  <r>
    <s v="S0500551E008"/>
    <s v="SD"/>
    <s v="Bilangan Bulat"/>
    <s v="https://drive.google.com/open?id=1mlhayIAjxeilxdiLzt8g47uAMhUnHAsV"/>
    <s v="S0500551E008"/>
    <d v="2021-06-25T00:00:00"/>
    <x v="43"/>
    <n v="-725"/>
    <x v="60"/>
    <n v="0"/>
    <m/>
    <s v="Accepted"/>
    <x v="1"/>
    <s v="no"/>
    <n v="15000"/>
    <s v="paid"/>
  </r>
  <r>
    <s v="S0500551E009"/>
    <s v="SD"/>
    <s v="Bilangan Bulat"/>
    <s v="https://drive.google.com/open?id=1_dcHuLaYyfAR2CwkvPfjlm9IEIv7dzUf"/>
    <s v="S0500551E009"/>
    <d v="2021-06-25T00:00:00"/>
    <x v="43"/>
    <n v="-725"/>
    <x v="60"/>
    <n v="0"/>
    <m/>
    <s v="Accepted"/>
    <x v="1"/>
    <s v="no"/>
    <n v="15000"/>
    <s v="paid"/>
  </r>
  <r>
    <s v="S0500552E001"/>
    <s v="SD"/>
    <s v="Bilangan Bulat"/>
    <s v="https://drive.google.com/open?id=1jfQiZLsUHsg45Um4eKZJW2UvdSYm-C7E"/>
    <s v="S0500552E001"/>
    <d v="2021-06-25T00:00:00"/>
    <x v="43"/>
    <n v="-725"/>
    <x v="60"/>
    <n v="0"/>
    <m/>
    <s v="Accepted"/>
    <x v="1"/>
    <s v="no"/>
    <n v="15000"/>
    <s v="paid"/>
  </r>
  <r>
    <s v="S0500552E002"/>
    <s v="SD"/>
    <s v="Bilangan Bulat"/>
    <s v="https://drive.google.com/open?id=1YGHjgM7hVrxIkrdQu_G0yPoB8ENQljwY"/>
    <s v="S0500552E002"/>
    <d v="2021-06-25T00:00:00"/>
    <x v="43"/>
    <n v="-725"/>
    <x v="60"/>
    <n v="0"/>
    <m/>
    <s v="Accepted"/>
    <x v="1"/>
    <s v="no"/>
    <n v="15000"/>
    <s v="paid"/>
  </r>
  <r>
    <s v="S0500552E003"/>
    <s v="SD"/>
    <s v="Bilangan Bulat"/>
    <s v="https://drive.google.com/open?id=1mu4dFprg2T5giVdL7hfzKi3ZuQyngFOb"/>
    <s v="S0500552E003"/>
    <d v="2021-06-25T00:00:00"/>
    <x v="43"/>
    <n v="-725"/>
    <x v="60"/>
    <n v="0"/>
    <m/>
    <s v="Accepted"/>
    <x v="1"/>
    <s v="no"/>
    <n v="15000"/>
    <s v="paid"/>
  </r>
  <r>
    <s v="S0500552E004"/>
    <s v="SD"/>
    <s v="Bilangan Bulat"/>
    <s v="https://drive.google.com/open?id=1ZER8pH4L_Us7V8iCGmQClyUGheLGorVM"/>
    <s v="S0500552E004"/>
    <d v="2021-06-25T00:00:00"/>
    <x v="43"/>
    <n v="-725"/>
    <x v="60"/>
    <n v="0"/>
    <m/>
    <s v="Accepted"/>
    <x v="1"/>
    <s v="no"/>
    <n v="15000"/>
    <s v="paid"/>
  </r>
  <r>
    <s v="S0500552E005"/>
    <s v="SD"/>
    <s v="Bilangan Bulat"/>
    <s v="https://drive.google.com/open?id=1bpdhWU5Ass8XBpIHdNj-XJxkIQBckUfp"/>
    <s v="S0500552E005"/>
    <d v="2021-06-25T00:00:00"/>
    <x v="43"/>
    <n v="-725"/>
    <x v="60"/>
    <n v="0"/>
    <m/>
    <s v="Accepted"/>
    <x v="1"/>
    <s v="no"/>
    <n v="15000"/>
    <s v="paid"/>
  </r>
  <r>
    <s v="S0500553E001"/>
    <s v="SD"/>
    <s v="Bilangan Bulat"/>
    <s v="https://drive.google.com/open?id=13D3ehDG-3EQTFNMAo0X0wGQl2_a33wqJ"/>
    <s v="S0500553E001"/>
    <d v="2021-06-25T00:00:00"/>
    <x v="43"/>
    <n v="-725"/>
    <x v="60"/>
    <n v="0"/>
    <m/>
    <s v="Accepted"/>
    <x v="1"/>
    <s v="no"/>
    <n v="15000"/>
    <s v="paid"/>
  </r>
  <r>
    <s v="S0500553E002"/>
    <s v="SD"/>
    <s v="Bilangan Bulat"/>
    <s v="https://drive.google.com/open?id=1xS7amEO1a1fG_sAZ3W6iD6fxGX9elLEm"/>
    <s v="S0500553E002"/>
    <d v="2021-06-25T00:00:00"/>
    <x v="43"/>
    <n v="-725"/>
    <x v="60"/>
    <n v="0"/>
    <m/>
    <s v="Accepted"/>
    <x v="1"/>
    <s v="no"/>
    <n v="15000"/>
    <s v="paid"/>
  </r>
  <r>
    <s v="S0500553E003"/>
    <s v="SD"/>
    <s v="Bilangan Bulat"/>
    <s v="https://drive.google.com/open?id=1wEXMdey5ti9qah2uPJTYGKGOdL8JPOhF"/>
    <s v="S0500553E003"/>
    <d v="2021-06-25T00:00:00"/>
    <x v="43"/>
    <n v="-725"/>
    <x v="60"/>
    <n v="0"/>
    <m/>
    <s v="Accepted"/>
    <x v="1"/>
    <s v="no"/>
    <n v="15000"/>
    <s v="paid"/>
  </r>
  <r>
    <s v="S0500553E004"/>
    <s v="SD"/>
    <s v="Bilangan Bulat"/>
    <s v="https://drive.google.com/open?id=15W-eQKb6C1dpp9aonu1P6MGZLcOcW7iU"/>
    <s v="S0500553E004"/>
    <d v="2021-06-25T00:00:00"/>
    <x v="43"/>
    <n v="-725"/>
    <x v="60"/>
    <n v="0"/>
    <m/>
    <s v="Accepted"/>
    <x v="1"/>
    <s v="no"/>
    <n v="15000"/>
    <s v="paid"/>
  </r>
  <r>
    <s v="S0500553E005"/>
    <s v="SD"/>
    <s v="Bilangan Bulat"/>
    <s v="https://drive.google.com/open?id=1omKNjLY5vBiLiQMxQHnwZhv3FEdu4yNA"/>
    <s v="S0500553E005"/>
    <d v="2021-06-25T00:00:00"/>
    <x v="43"/>
    <n v="-725"/>
    <x v="60"/>
    <n v="0"/>
    <m/>
    <s v="Accepted"/>
    <x v="1"/>
    <s v="no"/>
    <n v="15000"/>
    <s v="paid"/>
  </r>
  <r>
    <s v="S0500563E006"/>
    <s v="SD"/>
    <s v="Bilangan Bulat"/>
    <s v="https://drive.google.com/open?id=1loaeYLCJwGxqGanhVyT2Z1CkhDNi-Ju-"/>
    <s v="S0500563E006"/>
    <d v="2021-06-25T00:00:00"/>
    <x v="43"/>
    <n v="-725"/>
    <x v="60"/>
    <n v="0"/>
    <m/>
    <s v="Accepted"/>
    <x v="1"/>
    <s v="no"/>
    <n v="15000"/>
    <s v="paid"/>
  </r>
  <r>
    <s v="S0500563E007"/>
    <s v="SD"/>
    <s v="Bilangan Bulat"/>
    <s v="https://drive.google.com/open?id=15PMwlRcphXO1NSsDFWcJmFkvmDcIZu_S"/>
    <s v="S0500563E007"/>
    <d v="2021-06-25T00:00:00"/>
    <x v="43"/>
    <n v="-725"/>
    <x v="60"/>
    <n v="0"/>
    <m/>
    <s v="Accepted"/>
    <x v="1"/>
    <s v="no"/>
    <n v="15000"/>
    <s v="paid"/>
  </r>
  <r>
    <s v="S0500563E008"/>
    <s v="SD"/>
    <s v="Bilangan Bulat"/>
    <s v="https://drive.google.com/open?id=19fcearIh2Il7MUB4AciwEVwRVj1_cIVc"/>
    <s v="S0500563E008"/>
    <d v="2021-06-25T00:00:00"/>
    <x v="43"/>
    <n v="-725"/>
    <x v="60"/>
    <n v="0"/>
    <m/>
    <s v="Accepted"/>
    <x v="1"/>
    <s v="no"/>
    <n v="15000"/>
    <s v="paid"/>
  </r>
  <r>
    <s v="S0500563E009"/>
    <s v="SD"/>
    <s v="Bilangan Bulat"/>
    <s v="https://drive.google.com/open?id=1WK50T5l43ffLuNDu3mRQZhdglNfWM9QU"/>
    <s v="S0500563E009"/>
    <d v="2021-06-25T00:00:00"/>
    <x v="43"/>
    <n v="-725"/>
    <x v="60"/>
    <n v="0"/>
    <m/>
    <s v="Accepted"/>
    <x v="1"/>
    <s v="no"/>
    <n v="15000"/>
    <s v="paid"/>
  </r>
  <r>
    <s v="S0500563E010"/>
    <s v="SD"/>
    <s v="Bilangan Bulat"/>
    <s v="https://drive.google.com/open?id=1lMN7r0aywMgw1vK_cs8FtYJ15dPYWkzr"/>
    <s v="S0500563E010"/>
    <d v="2021-06-25T00:00:00"/>
    <x v="43"/>
    <n v="-725"/>
    <x v="60"/>
    <n v="0"/>
    <m/>
    <s v="Accepted"/>
    <x v="1"/>
    <s v="no"/>
    <n v="15000"/>
    <s v="paid"/>
  </r>
  <r>
    <s v="S0500561E001"/>
    <s v="SD"/>
    <s v="Bilangan Bulat"/>
    <s v="https://drive.google.com/open?id=1jNkhjWT_xtZ3BIil4tY8H3tF1kh5eBB-"/>
    <s v="S0500561E001"/>
    <d v="2021-06-25T00:00:00"/>
    <x v="43"/>
    <n v="-725"/>
    <x v="60"/>
    <n v="0"/>
    <m/>
    <s v="Accepted"/>
    <x v="1"/>
    <s v="no"/>
    <n v="15000"/>
    <s v="paid"/>
  </r>
  <r>
    <s v="S0371591a001"/>
    <s v="SD"/>
    <s v="Skala"/>
    <s v="https://drive.google.com/open?id=1GBE6bUs1xqfyql03XrAJIH_SLQWSU6NT"/>
    <s v="S0371591a001"/>
    <d v="2021-06-10T00:00:00"/>
    <x v="40"/>
    <n v="-740"/>
    <x v="61"/>
    <n v="0"/>
    <m/>
    <s v="Accepted"/>
    <x v="0"/>
    <s v="yes"/>
    <n v="18000"/>
    <s v="paid"/>
  </r>
  <r>
    <s v="S0441551E010"/>
    <s v="SD"/>
    <s v="Operasi Bilangan Pecahan"/>
    <s v="https://drive.google.com/open?id=1Io7-dzAHlsNPon6hR_ONw5dcXojZ1hFU"/>
    <s v="S0441551E010"/>
    <d v="2021-06-20T00:00:00"/>
    <x v="42"/>
    <n v="-730"/>
    <x v="61"/>
    <n v="736"/>
    <s v="Corr"/>
    <s v="Rejected"/>
    <x v="0"/>
    <s v="yes"/>
    <n v="0"/>
    <s v="not yet"/>
  </r>
  <r>
    <s v="S0300991E001"/>
    <s v="SD"/>
    <s v="Operasi Bilangan Pecahan"/>
    <s v="https://drive.google.com/open?id=1HOoe0jrZnOHbF1szrce_ZmcPydhf5Qam"/>
    <s v="S0300991E001"/>
    <d v="2021-06-28T00:00:00"/>
    <x v="44"/>
    <n v="-722"/>
    <x v="62"/>
    <n v="0"/>
    <m/>
    <s v="Accepted"/>
    <x v="1"/>
    <s v="no"/>
    <n v="15000"/>
    <s v="paid"/>
  </r>
  <r>
    <s v="S0301003E001"/>
    <s v="SD"/>
    <s v="Operasi Bilangan Pecahan"/>
    <s v="https://drive.google.com/open?id=1Ho2q2fKBUaBkHfak-7P_2px7gjAaVW4F"/>
    <s v="S0301003E001"/>
    <d v="2021-06-28T00:00:00"/>
    <x v="44"/>
    <n v="-722"/>
    <x v="62"/>
    <n v="0"/>
    <m/>
    <s v="Accepted"/>
    <x v="1"/>
    <s v="no"/>
    <n v="15000"/>
    <s v="paid"/>
  </r>
  <r>
    <s v="S0301022E001"/>
    <s v="SD"/>
    <s v="Operasi Bilangan Pecahan"/>
    <s v="https://drive.google.com/open?id=1lX7pjhSg9K7HjkBQCw0lpY9Uit-QS1zc"/>
    <s v="S0301022E001"/>
    <d v="2021-06-28T00:00:00"/>
    <x v="44"/>
    <n v="-722"/>
    <x v="62"/>
    <n v="0"/>
    <m/>
    <s v="Accepted"/>
    <x v="1"/>
    <s v="no"/>
    <n v="15000"/>
    <s v="paid"/>
  </r>
  <r>
    <s v="S0301042E006"/>
    <s v="SD"/>
    <s v="Operasi Bilangan Pecahan"/>
    <s v="https://drive.google.com/open?id=1W9V-oZhYY4ZOhdn2swcKBf8uxTD6IxOQ"/>
    <s v="S0301042E006"/>
    <d v="2021-06-28T00:00:00"/>
    <x v="44"/>
    <n v="-722"/>
    <x v="62"/>
    <n v="0"/>
    <m/>
    <s v="Accepted"/>
    <x v="1"/>
    <s v="no"/>
    <n v="15000"/>
    <s v="paid"/>
  </r>
  <r>
    <s v="S0301051E001"/>
    <s v="SD"/>
    <s v="Operasi Bilangan Pecahan"/>
    <s v="https://drive.google.com/open?id=1-qHZAxdmmLNxGHOLp0SRJ3PSx5de9xYh"/>
    <s v="S0301051E001"/>
    <d v="2021-06-28T00:00:00"/>
    <x v="44"/>
    <n v="-722"/>
    <x v="62"/>
    <n v="0"/>
    <m/>
    <s v="Accepted"/>
    <x v="1"/>
    <s v="no"/>
    <n v="15000"/>
    <s v="paid"/>
  </r>
  <r>
    <s v="S0301051E002"/>
    <s v="SD"/>
    <s v="Operasi Bilangan Pecahan"/>
    <s v="https://drive.google.com/open?id=1MFMpEYj5LfqqniBcOVF9kab7ONTxS3Q6"/>
    <s v="S0301051E002"/>
    <d v="2021-06-28T00:00:00"/>
    <x v="44"/>
    <n v="-722"/>
    <x v="62"/>
    <n v="0"/>
    <m/>
    <s v="Accepted"/>
    <x v="1"/>
    <s v="no"/>
    <n v="15000"/>
    <s v="paid"/>
  </r>
  <r>
    <s v="S0301051E003"/>
    <s v="SD"/>
    <s v="Operasi Bilangan Pecahan"/>
    <s v="https://drive.google.com/open?id=17UuPaSUn1DjSKX0bjMzYSPV0cqWDwrWQ"/>
    <s v="S0301051E003"/>
    <d v="2021-06-28T00:00:00"/>
    <x v="44"/>
    <n v="-722"/>
    <x v="62"/>
    <n v="0"/>
    <m/>
    <s v="Accepted"/>
    <x v="1"/>
    <s v="no"/>
    <n v="15000"/>
    <s v="paid"/>
  </r>
  <r>
    <s v="S0301051E005"/>
    <s v="SD"/>
    <s v="Operasi Bilangan Pecahan"/>
    <s v="https://drive.google.com/open?id=1w11CqDENUIZyvRwjcCF9NZUIoZNyeM5K"/>
    <s v="S0301051E005"/>
    <d v="2021-06-28T00:00:00"/>
    <x v="44"/>
    <n v="-722"/>
    <x v="62"/>
    <n v="0"/>
    <m/>
    <s v="Accepted"/>
    <x v="1"/>
    <s v="no"/>
    <n v="15000"/>
    <s v="paid"/>
  </r>
  <r>
    <s v="S0041401P001"/>
    <s v="SD"/>
    <s v="Statistika 6"/>
    <s v="https://drive.google.com/open?id=13pntwI3CcNyUZF0Tq7C3LwO6P4Dc9Xb2"/>
    <s v="S0041401P001"/>
    <d v="2021-06-18T00:00:00"/>
    <x v="41"/>
    <n v="-732"/>
    <x v="63"/>
    <n v="0"/>
    <m/>
    <s v="Accepted"/>
    <x v="1"/>
    <s v="no"/>
    <n v="15000"/>
    <s v="paid"/>
  </r>
  <r>
    <s v="S0041401P002"/>
    <s v="SD"/>
    <s v="Statistika 6"/>
    <s v="https://drive.google.com/open?id=1p82zDz6cW54oVCsDlJGagwBuclIRMU7Y"/>
    <s v="S0041401P002"/>
    <d v="2021-06-18T00:00:00"/>
    <x v="41"/>
    <n v="-732"/>
    <x v="63"/>
    <n v="0"/>
    <m/>
    <s v="Accepted"/>
    <x v="1"/>
    <s v="no"/>
    <n v="15000"/>
    <s v="paid"/>
  </r>
  <r>
    <s v="S0061971P019"/>
    <s v="SD"/>
    <s v="Pengumpulan Dan Penyajian Data"/>
    <s v="https://drive.google.com/open?id=1CCVjREcsmNP96vYD0HnTf2Dj3aUuPRPE"/>
    <s v="S0061971P019"/>
    <d v="2021-06-20T00:00:00"/>
    <x v="42"/>
    <n v="-730"/>
    <x v="63"/>
    <n v="0"/>
    <m/>
    <s v="Accepted"/>
    <x v="1"/>
    <s v="no"/>
    <n v="15000"/>
    <s v="paid"/>
  </r>
  <r>
    <s v="S0061971P020"/>
    <s v="SD"/>
    <s v="Pengumpulan Dan Penyajian Data"/>
    <s v="https://drive.google.com/open?id=1g9IN3cSskwp0CwtQJzS4JqWISaAhU8hM"/>
    <s v="S0061971P020"/>
    <d v="2021-06-20T00:00:00"/>
    <x v="42"/>
    <n v="-730"/>
    <x v="63"/>
    <n v="0"/>
    <m/>
    <s v="Accepted"/>
    <x v="1"/>
    <s v="no"/>
    <n v="15000"/>
    <s v="paid"/>
  </r>
  <r>
    <s v="S0300962E001"/>
    <s v="SD"/>
    <s v="Operasi Bilangan Pecahan"/>
    <s v="https://drive.google.com/open?id=18NpkxQ_IsllZrF9sdPZteGKRQNJruuy_"/>
    <s v="S0300962E001"/>
    <d v="2021-06-28T00:00:00"/>
    <x v="44"/>
    <n v="-722"/>
    <x v="63"/>
    <n v="0"/>
    <m/>
    <s v="Accepted"/>
    <x v="1"/>
    <s v="no"/>
    <n v="15000"/>
    <s v="paid"/>
  </r>
  <r>
    <s v="S0300962E002"/>
    <s v="SD"/>
    <s v="Operasi Bilangan Pecahan"/>
    <s v="https://drive.google.com/open?id=1-ugTkG6dTNQvSXvjcm4-rSAIBDafUvd9"/>
    <s v="S0300962E002"/>
    <d v="2021-06-28T00:00:00"/>
    <x v="44"/>
    <n v="-722"/>
    <x v="63"/>
    <n v="0"/>
    <m/>
    <s v="Accepted"/>
    <x v="1"/>
    <s v="no"/>
    <n v="15000"/>
    <s v="paid"/>
  </r>
  <r>
    <s v="S0300962E003"/>
    <s v="SD"/>
    <s v="Operasi Bilangan Pecahan"/>
    <s v="https://drive.google.com/open?id=1R_ww2oSzwTu5hwgIY1uy5-3qtCoTGh6N"/>
    <s v="S0300962E003"/>
    <d v="2021-06-28T00:00:00"/>
    <x v="44"/>
    <n v="-722"/>
    <x v="63"/>
    <n v="0"/>
    <m/>
    <s v="Accepted"/>
    <x v="1"/>
    <s v="no"/>
    <n v="15000"/>
    <s v="paid"/>
  </r>
  <r>
    <s v="S0301001E001"/>
    <s v="SD"/>
    <s v="Operasi Bilangan Pecahan"/>
    <s v="https://drive.google.com/open?id=17N9Dcrj3i-vRCaljxIQ3XtLEJFs4Me0g"/>
    <s v="S0301001E001"/>
    <d v="2021-06-28T00:00:00"/>
    <x v="44"/>
    <n v="-722"/>
    <x v="64"/>
    <n v="0"/>
    <m/>
    <s v="Accepted"/>
    <x v="1"/>
    <s v="no"/>
    <n v="15000"/>
    <s v="paid"/>
  </r>
  <r>
    <s v="S0301001E002"/>
    <s v="SD"/>
    <s v="Operasi Bilangan Pecahan"/>
    <s v="https://drive.google.com/open?id=1BOUt4jV3exxdmR7aySRslourd5kBhbY0"/>
    <s v="S0301001E002"/>
    <d v="2021-06-28T00:00:00"/>
    <x v="44"/>
    <n v="-722"/>
    <x v="64"/>
    <n v="0"/>
    <m/>
    <s v="Accepted"/>
    <x v="1"/>
    <s v="no"/>
    <n v="15000"/>
    <s v="paid"/>
  </r>
  <r>
    <s v="S0301001E003"/>
    <s v="SD"/>
    <s v="Operasi Bilangan Pecahan"/>
    <s v="https://drive.google.com/open?id=11-XVSOYyZpFaCh-yFCShIYjsYEc9hVPq"/>
    <s v="S0301001E003"/>
    <d v="2021-06-28T00:00:00"/>
    <x v="44"/>
    <n v="-722"/>
    <x v="64"/>
    <n v="0"/>
    <m/>
    <s v="Accepted"/>
    <x v="1"/>
    <s v="no"/>
    <n v="15000"/>
    <s v="paid"/>
  </r>
  <r>
    <s v="S0301001E004"/>
    <s v="SD"/>
    <s v="Operasi Bilangan Pecahan"/>
    <s v="https://drive.google.com/open?id=11Mi9W5lRVjbogVaAp73NE-qmJzWo1X2f"/>
    <s v="S0301001E004"/>
    <d v="2021-06-28T00:00:00"/>
    <x v="44"/>
    <n v="-722"/>
    <x v="64"/>
    <n v="0"/>
    <m/>
    <s v="Accepted"/>
    <x v="1"/>
    <s v="no"/>
    <n v="15000"/>
    <s v="paid"/>
  </r>
  <r>
    <s v="S0301002E001"/>
    <s v="SD"/>
    <s v="Operasi Bilangan Pecahan"/>
    <s v="https://drive.google.com/open?id=1uyECuVt-VmRRPvWhuECC5mhT5s3Lrv-u"/>
    <s v="S0301002E001"/>
    <d v="2021-06-28T00:00:00"/>
    <x v="44"/>
    <n v="-722"/>
    <x v="64"/>
    <n v="0"/>
    <m/>
    <s v="Accepted"/>
    <x v="1"/>
    <s v="no"/>
    <n v="15000"/>
    <s v="paid"/>
  </r>
  <r>
    <s v="S0301002E002"/>
    <s v="SD"/>
    <s v="Operasi Bilangan Pecahan"/>
    <s v="https://drive.google.com/open?id=1QON2Cxof4enI3bepM3gGY1vdlJlv2cc4"/>
    <s v="S0301002E002"/>
    <d v="2021-06-28T00:00:00"/>
    <x v="44"/>
    <n v="-722"/>
    <x v="64"/>
    <n v="0"/>
    <m/>
    <s v="Accepted"/>
    <x v="1"/>
    <s v="no"/>
    <n v="15000"/>
    <s v="paid"/>
  </r>
  <r>
    <s v="S0301002E003"/>
    <s v="SD"/>
    <s v="Operasi Bilangan Pecahan"/>
    <s v="https://drive.google.com/open?id=198q6WUuJREFVNmxslubWY49d_1NPgreO"/>
    <s v="S0301002E003"/>
    <d v="2021-06-28T00:00:00"/>
    <x v="44"/>
    <n v="-722"/>
    <x v="65"/>
    <n v="0"/>
    <m/>
    <s v="Accepted"/>
    <x v="1"/>
    <s v="no"/>
    <n v="15000"/>
    <s v="paid"/>
  </r>
  <r>
    <s v="S0301002E004"/>
    <s v="SD"/>
    <s v="Operasi Bilangan Pecahan"/>
    <s v="https://drive.google.com/open?id=1L-HFi_-4K47wzWpyyOPvpWwGJVFu2mEc"/>
    <s v="S0301002E004"/>
    <d v="2021-06-28T00:00:00"/>
    <x v="44"/>
    <n v="-722"/>
    <x v="65"/>
    <n v="0"/>
    <m/>
    <s v="Accepted"/>
    <x v="1"/>
    <s v="no"/>
    <n v="15000"/>
    <s v="paid"/>
  </r>
  <r>
    <s v="S0301021E001"/>
    <s v="SD"/>
    <s v="Operasi Bilangan Pecahan"/>
    <s v="https://drive.google.com/open?id=1AuTdP59oCbAVTVId-DBaPN7umuSU6ARN"/>
    <s v="S0301021E001"/>
    <d v="2021-06-28T00:00:00"/>
    <x v="44"/>
    <n v="-722"/>
    <x v="65"/>
    <n v="0"/>
    <m/>
    <s v="Accepted"/>
    <x v="1"/>
    <s v="no"/>
    <n v="15000"/>
    <s v="paid"/>
  </r>
  <r>
    <s v="S0301021E004"/>
    <s v="SD"/>
    <s v="Operasi Bilangan Pecahan"/>
    <s v="https://drive.google.com/open?id=1F2vJE5awnUBjwhPFKKSpO_ylr6NUvliQ"/>
    <s v="S0301021E004"/>
    <d v="2021-06-28T00:00:00"/>
    <x v="44"/>
    <n v="-722"/>
    <x v="65"/>
    <n v="0"/>
    <m/>
    <s v="Accepted"/>
    <x v="1"/>
    <s v="no"/>
    <n v="15000"/>
    <s v="paid"/>
  </r>
  <r>
    <s v="S0301032E002"/>
    <s v="SD"/>
    <s v="Operasi Bilangan Pecahan"/>
    <s v="https://drive.google.com/open?id=1m_nLDb3tMo0PtQcWec4kuRwFFHM-LEEt"/>
    <s v="S0301032E002"/>
    <d v="2021-06-28T00:00:00"/>
    <x v="44"/>
    <n v="-722"/>
    <x v="65"/>
    <n v="0"/>
    <m/>
    <s v="Accepted"/>
    <x v="1"/>
    <s v="no"/>
    <n v="15000"/>
    <s v="paid"/>
  </r>
  <r>
    <s v="S0301032E004"/>
    <s v="SD"/>
    <s v="Operasi Bilangan Pecahan"/>
    <s v="https://drive.google.com/open?id=1Mv1WCjpaXvWF-CNohvwC5cmEj_qHCNlI"/>
    <s v="S0301032E004"/>
    <d v="2021-06-28T00:00:00"/>
    <x v="44"/>
    <n v="-722"/>
    <x v="65"/>
    <n v="0"/>
    <m/>
    <s v="Accepted"/>
    <x v="1"/>
    <s v="no"/>
    <n v="15000"/>
    <s v="paid"/>
  </r>
  <r>
    <s v="S0301051E004"/>
    <s v="SD"/>
    <s v="Operasi Bilangan Pecahan"/>
    <s v="https://drive.google.com/open?id=1Te2O1yMqxHSbEFxX7vQ4E3Fw2PK3Z-Xa"/>
    <s v="S0301051E004"/>
    <d v="2021-06-28T00:00:00"/>
    <x v="44"/>
    <n v="-722"/>
    <x v="65"/>
    <n v="0"/>
    <m/>
    <s v="Accepted"/>
    <x v="1"/>
    <s v="no"/>
    <n v="15000"/>
    <s v="paid"/>
  </r>
  <r>
    <s v="S0301051E007"/>
    <s v="SD"/>
    <s v="Operasi Bilangan Pecahan"/>
    <s v="https://drive.google.com/open?id=1CnLy1K7H6KQqD29HqatTa5KBhWS9xj4d"/>
    <s v="S0301051E007"/>
    <d v="2021-06-28T00:00:00"/>
    <x v="44"/>
    <n v="-722"/>
    <x v="65"/>
    <n v="0"/>
    <m/>
    <s v="Accepted"/>
    <x v="1"/>
    <s v="no"/>
    <n v="15000"/>
    <s v="paid"/>
  </r>
  <r>
    <s v="S0301051E008"/>
    <s v="SD"/>
    <s v="Operasi Bilangan Pecahan"/>
    <s v="https://drive.google.com/open?id=1omz-6iL_1DRmYf1nV5hkols5fcVfiOaF"/>
    <s v="S0301051E008"/>
    <d v="2021-06-28T00:00:00"/>
    <x v="44"/>
    <n v="-722"/>
    <x v="65"/>
    <n v="0"/>
    <m/>
    <s v="Accepted"/>
    <x v="1"/>
    <s v="no"/>
    <n v="15000"/>
    <s v="paid"/>
  </r>
  <r>
    <s v="S0380912E011"/>
    <s v="SD"/>
    <s v="Pecahan"/>
    <s v="https://drive.google.com/open?id=1Z_1rv36Q_oe9V3hybBFPp9SFTesHXXuw"/>
    <s v="S0380912E011"/>
    <d v="2021-06-28T00:00:00"/>
    <x v="44"/>
    <n v="-722"/>
    <x v="65"/>
    <n v="0"/>
    <m/>
    <s v="Accepted"/>
    <x v="1"/>
    <s v="no"/>
    <n v="15000"/>
    <s v="paid"/>
  </r>
  <r>
    <s v="S0380912E012"/>
    <s v="SD"/>
    <s v="Pecahan"/>
    <s v="https://drive.google.com/open?id=1d9ttjJJkE2u_FVlBqb3Gs_C1iQ3XCcEG"/>
    <s v="S0380912E012"/>
    <d v="2021-06-28T00:00:00"/>
    <x v="44"/>
    <n v="-722"/>
    <x v="65"/>
    <n v="0"/>
    <m/>
    <s v="Accepted"/>
    <x v="1"/>
    <s v="no"/>
    <n v="15000"/>
    <s v="paid"/>
  </r>
  <r>
    <s v="S0380912E013"/>
    <s v="SD"/>
    <s v="Pecahan"/>
    <s v="https://drive.google.com/open?id=1HjZpZSYE_wQqegT9t8IaabN4B9DiFb7B"/>
    <s v="S0380912E013"/>
    <d v="2021-06-28T00:00:00"/>
    <x v="44"/>
    <n v="-722"/>
    <x v="65"/>
    <n v="0"/>
    <m/>
    <s v="Accepted"/>
    <x v="1"/>
    <s v="no"/>
    <n v="15000"/>
    <s v="paid"/>
  </r>
  <r>
    <s v="S0380912E015"/>
    <s v="SD"/>
    <s v="Pecahan"/>
    <s v="https://drive.google.com/open?id=1jiW3_yIQFqU3OtX8gRMFiadeTErgG5U5"/>
    <s v="S0380912E015"/>
    <d v="2021-06-28T00:00:00"/>
    <x v="44"/>
    <n v="-722"/>
    <x v="65"/>
    <n v="0"/>
    <m/>
    <s v="Accepted"/>
    <x v="1"/>
    <s v="no"/>
    <n v="15000"/>
    <s v="paid"/>
  </r>
  <r>
    <s v="S0301032E003"/>
    <s v="SD"/>
    <s v="Operasi Bilangan Pecahan"/>
    <s v="https://drive.google.com/open?id=1uqCtBTFIiCVpv-EycHeLu47D7X9ZG0Mt"/>
    <s v="S0301032E003"/>
    <d v="2021-06-28T00:00:00"/>
    <x v="44"/>
    <n v="-722"/>
    <x v="66"/>
    <n v="0"/>
    <m/>
    <s v="Accepted"/>
    <x v="1"/>
    <s v="no"/>
    <n v="15000"/>
    <s v="paid"/>
  </r>
  <r>
    <s v="S0380912E014"/>
    <s v="SD"/>
    <s v="Pecahan"/>
    <s v="https://drive.google.com/open?id=1oBI4Thzl3dY57O7cljILpx8A3iK_9i1i"/>
    <s v="S0380912E014"/>
    <d v="2021-06-28T00:00:00"/>
    <x v="44"/>
    <n v="-722"/>
    <x v="66"/>
    <n v="0"/>
    <m/>
    <s v="Accepted"/>
    <x v="1"/>
    <s v="no"/>
    <n v="15000"/>
    <s v="paid"/>
  </r>
  <r>
    <s v="S0380922E001"/>
    <s v="SD"/>
    <s v="Operasi Bilangan Pecahan"/>
    <s v="https://drive.google.com/open?id=1-VqAAg-qjAIV2y_6xU7OOgjPhpSH0TcQ"/>
    <s v="S0380922E001"/>
    <d v="2021-06-28T00:00:00"/>
    <x v="44"/>
    <n v="-722"/>
    <x v="66"/>
    <n v="0"/>
    <m/>
    <s v="Accepted"/>
    <x v="1"/>
    <s v="no"/>
    <n v="15000"/>
    <s v="paid"/>
  </r>
  <r>
    <s v="S0061961P016"/>
    <s v="SD"/>
    <s v="Pengumpulan Dan Penyajian Data"/>
    <s v="https://drive.google.com/open?id=1KtMu1g8ymnWGQtR1lUPSt9O8qEzBCh0S"/>
    <s v="S0061961P016"/>
    <d v="2021-07-05T00:00:00"/>
    <x v="45"/>
    <n v="-715"/>
    <x v="67"/>
    <n v="0"/>
    <m/>
    <s v="Accepted"/>
    <x v="0"/>
    <s v="no"/>
    <n v="15000"/>
    <s v="paid"/>
  </r>
  <r>
    <s v="S0442363E004"/>
    <s v="SD"/>
    <s v="Operasi Bilangan Pecahan"/>
    <s v="https://drive.google.com/open?id=1Bp1zCbAbuOUrsGBttsjHTv8YkGfqzSFx"/>
    <s v="S0442363E004"/>
    <d v="2021-07-05T00:00:00"/>
    <x v="45"/>
    <n v="-715"/>
    <x v="68"/>
    <n v="0"/>
    <m/>
    <s v="Accepted"/>
    <x v="0"/>
    <s v="yes"/>
    <n v="18000"/>
    <s v="paid"/>
  </r>
  <r>
    <s v="S0300952E004"/>
    <s v="SD"/>
    <s v="Operasi Bilangan Pecahan"/>
    <s v="https://drive.google.com/open?id=1XTvlrRkRS3PELbdVHYVrhsw6jUJykSqw"/>
    <s v="S0300952E004"/>
    <d v="2021-07-05T00:00:00"/>
    <x v="45"/>
    <n v="-715"/>
    <x v="69"/>
    <n v="0"/>
    <m/>
    <s v="Accepted"/>
    <x v="1"/>
    <s v="yes"/>
    <n v="18000"/>
    <s v="paid"/>
  </r>
  <r>
    <s v="S0061961P017"/>
    <s v="SD"/>
    <s v="Pengumpulan Dan Penyajian Data"/>
    <s v="https://drive.google.com/open?id=1CRmOObGMqRWhmgUmtpkKG0vD7CipiCM5"/>
    <s v="S0061961P017"/>
    <d v="2021-07-05T00:00:00"/>
    <x v="45"/>
    <n v="-715"/>
    <x v="70"/>
    <n v="0"/>
    <m/>
    <s v="Accepted"/>
    <x v="0"/>
    <s v="no"/>
    <n v="15000"/>
    <s v="paid"/>
  </r>
  <r>
    <s v="S0380922E002"/>
    <s v="SD"/>
    <s v="Operasi Bilangan Pecahan"/>
    <s v="https://drive.google.com/open?id=1nEEZsyYAzOI1uZwhCW69IWvDQotSOyCO"/>
    <s v="S0380922E002"/>
    <d v="2021-07-05T00:00:00"/>
    <x v="45"/>
    <n v="-715"/>
    <x v="70"/>
    <n v="0"/>
    <m/>
    <s v="Accepted"/>
    <x v="1"/>
    <s v="yes"/>
    <n v="18000"/>
    <s v="paid"/>
  </r>
  <r>
    <s v="S0041513E004"/>
    <s v="SD"/>
    <s v="Bangun Ruang Sisi Lengkung"/>
    <s v="https://drive.google.com/open?id=17O3_04mVHETpd1_Nygdnfn1Q14qA3nRF"/>
    <s v="S0041513E004"/>
    <d v="2021-07-05T00:00:00"/>
    <x v="45"/>
    <n v="-715"/>
    <x v="70"/>
    <n v="0"/>
    <m/>
    <s v="Accepted"/>
    <x v="1"/>
    <s v="no"/>
    <n v="15000"/>
    <s v="paid"/>
  </r>
  <r>
    <s v="S0050931E001"/>
    <s v="SD"/>
    <s v="Bangun Ruang Sisi Lengkung"/>
    <s v="https://drive.google.com/open?id=170sMxZdORIgcOgOEFlcbl-qxNH4SXEhc"/>
    <s v="S0050931E001"/>
    <d v="2021-07-05T00:00:00"/>
    <x v="45"/>
    <n v="-715"/>
    <x v="70"/>
    <n v="0"/>
    <m/>
    <s v="Accepted"/>
    <x v="1"/>
    <s v="no"/>
    <n v="15000"/>
    <s v="paid"/>
  </r>
  <r>
    <s v="S0041541P022"/>
    <s v="SD"/>
    <s v="Bangun Ruang Sisi Lengkung"/>
    <s v="https://drive.google.com/open?id=1VBFVHdxrjK_ivVdNBQRzYXjq92K6M8Uk"/>
    <s v="S0041541P022"/>
    <d v="2021-07-05T00:00:00"/>
    <x v="45"/>
    <n v="-715"/>
    <x v="70"/>
    <n v="0"/>
    <m/>
    <s v="Accepted"/>
    <x v="1"/>
    <s v="no"/>
    <n v="15000"/>
    <s v="paid"/>
  </r>
  <r>
    <s v="S0041562E004"/>
    <s v="SD"/>
    <s v="Bangun Ruang Sisi Lengkung"/>
    <s v="https://drive.google.com/open?id=1Q5NgrdlMNuvponVt8ys-blLD7CxvceGq"/>
    <s v="S0041562E004"/>
    <d v="2021-07-05T00:00:00"/>
    <x v="45"/>
    <n v="-715"/>
    <x v="70"/>
    <n v="0"/>
    <m/>
    <s v="Accepted"/>
    <x v="1"/>
    <s v="no"/>
    <n v="15000"/>
    <s v="paid"/>
  </r>
  <r>
    <s v="S0050892E001"/>
    <s v="SD"/>
    <s v="Bangun Ruang Sisi Lengkung"/>
    <s v="https://drive.google.com/open?id=11RHgSOIRSrmRqfQ5SQAuZFQv7tMrajXk"/>
    <s v="S0050892E001"/>
    <d v="2021-07-05T00:00:00"/>
    <x v="45"/>
    <n v="-715"/>
    <x v="70"/>
    <n v="0"/>
    <m/>
    <s v="Accepted"/>
    <x v="1"/>
    <s v="no"/>
    <n v="15000"/>
    <s v="paid"/>
  </r>
  <r>
    <s v="S0050901E003"/>
    <s v="SD"/>
    <s v="Bangun Ruang Sisi Lengkung"/>
    <s v="https://drive.google.com/open?id=1Sqd1IfRGGcpo7g_ncidL8ZqKvKqC8D1a"/>
    <s v="S0050901E003"/>
    <d v="2021-07-05T00:00:00"/>
    <x v="45"/>
    <n v="-715"/>
    <x v="70"/>
    <n v="0"/>
    <m/>
    <s v="Accepted"/>
    <x v="1"/>
    <s v="no"/>
    <n v="15000"/>
    <s v="paid"/>
  </r>
  <r>
    <s v="S0050901E004"/>
    <s v="SD"/>
    <s v="Bangun Ruang Sisi Lengkung"/>
    <s v="https://drive.google.com/open?id=1OkFe-BoyM6LSFOx9qYjlo6otG1xsgYJ7"/>
    <s v="S0050901E004"/>
    <d v="2021-07-05T00:00:00"/>
    <x v="45"/>
    <n v="-715"/>
    <x v="70"/>
    <n v="0"/>
    <m/>
    <s v="Accepted"/>
    <x v="1"/>
    <s v="no"/>
    <n v="15000"/>
    <s v="paid"/>
  </r>
  <r>
    <s v="S0050921E001"/>
    <s v="SD"/>
    <s v="Bangun Ruang Sisi Lengkung"/>
    <s v="https://drive.google.com/open?id=1AISnUvHmBixo7i19oC16M_eeOcrWZyYX"/>
    <s v="S0050921E001"/>
    <d v="2021-07-05T00:00:00"/>
    <x v="45"/>
    <n v="-715"/>
    <x v="70"/>
    <n v="0"/>
    <m/>
    <s v="Accepted"/>
    <x v="1"/>
    <s v="no"/>
    <n v="15000"/>
    <s v="paid"/>
  </r>
  <r>
    <s v="S0442352E010"/>
    <s v="SD"/>
    <s v="Operasi Bilangan Pecahan"/>
    <s v="https://drive.google.com/open?id=1kJUsNn-iZJwn_-T7iDp2QIb8knozsjTR"/>
    <s v="S0442352E010"/>
    <d v="2021-07-05T00:00:00"/>
    <x v="45"/>
    <n v="-715"/>
    <x v="71"/>
    <n v="0"/>
    <m/>
    <s v="Accepted"/>
    <x v="0"/>
    <s v="no"/>
    <n v="15000"/>
    <s v="paid"/>
  </r>
  <r>
    <s v="S0300952E005"/>
    <s v="SD"/>
    <s v="Operasi Bilangan Pecahan"/>
    <s v="https://drive.google.com/open?id=1eHgYU0LPdGxlOWqrCDodbp5HBLDn1ChA"/>
    <s v="S0300952E005"/>
    <d v="2021-07-05T00:00:00"/>
    <x v="45"/>
    <n v="-715"/>
    <x v="71"/>
    <n v="0"/>
    <m/>
    <s v="Accepted"/>
    <x v="1"/>
    <s v="yes"/>
    <n v="18000"/>
    <s v="paid"/>
  </r>
  <r>
    <s v="S0300952E006"/>
    <s v="SD"/>
    <s v="Operasi Bilangan Pecahan"/>
    <s v="https://drive.google.com/open?id=1seuQ8J59EYeBq3hRGpxZ9lMSW-QgmP6D"/>
    <s v="S0300952E006"/>
    <d v="2021-07-05T00:00:00"/>
    <x v="45"/>
    <n v="-715"/>
    <x v="71"/>
    <n v="0"/>
    <m/>
    <s v="Accepted"/>
    <x v="1"/>
    <s v="yes"/>
    <n v="18000"/>
    <s v="paid"/>
  </r>
  <r>
    <s v="S0300952E007"/>
    <s v="SD"/>
    <s v="Operasi Bilangan Pecahan"/>
    <s v="https://drive.google.com/open?id=1PTC5RV0uPPymYrcuGdCejG-P2UjAQq0l"/>
    <s v="S0300952E007"/>
    <d v="2021-07-05T00:00:00"/>
    <x v="45"/>
    <n v="-715"/>
    <x v="71"/>
    <n v="0"/>
    <m/>
    <s v="Accepted"/>
    <x v="1"/>
    <s v="yes"/>
    <n v="18000"/>
    <s v="paid"/>
  </r>
  <r>
    <s v="S0300952E008"/>
    <s v="SD"/>
    <s v="Operasi Bilangan Pecahan"/>
    <s v="https://drive.google.com/open?id=1XJgu2GYbUVtNV8WZW-INl6_7n0ROk2Ck"/>
    <s v="S0300952E008"/>
    <d v="2021-07-05T00:00:00"/>
    <x v="45"/>
    <n v="-715"/>
    <x v="71"/>
    <n v="0"/>
    <m/>
    <s v="Accepted"/>
    <x v="1"/>
    <s v="yes"/>
    <n v="18000"/>
    <s v="paid"/>
  </r>
  <r>
    <s v="S0050952E001"/>
    <s v="SD"/>
    <s v="Bangun Ruang Sisi Lengkung"/>
    <s v="https://drive.google.com/open?id=1060uoJJHmGBWWvmcFYFAfAmUfUBScUVS"/>
    <s v="S0050952E001"/>
    <d v="2021-07-05T00:00:00"/>
    <x v="45"/>
    <n v="-715"/>
    <x v="71"/>
    <n v="0"/>
    <m/>
    <s v="Accepted"/>
    <x v="1"/>
    <s v="no"/>
    <n v="15000"/>
    <s v="paid"/>
  </r>
  <r>
    <s v="S0501001E001"/>
    <s v="SD"/>
    <s v="Bangun Datar"/>
    <s v="https://drive.google.com/open?id=12OYWKGZT71lZC3VvvVbVyCVEkGmT_zPy"/>
    <s v="S0501001E001"/>
    <d v="2021-07-05T00:00:00"/>
    <x v="45"/>
    <n v="-715"/>
    <x v="71"/>
    <n v="0"/>
    <m/>
    <s v="Accepted"/>
    <x v="1"/>
    <s v="no"/>
    <n v="15000"/>
    <s v="paid"/>
  </r>
  <r>
    <s v="S0501001E002"/>
    <s v="SD"/>
    <s v="Bangun Datar"/>
    <s v="https://drive.google.com/open?id=1jtSOlrJhbJiPZpSU8tQ19yCs1cC4XiQN"/>
    <s v="S0501001E002"/>
    <d v="2021-07-05T00:00:00"/>
    <x v="45"/>
    <n v="-715"/>
    <x v="71"/>
    <n v="0"/>
    <m/>
    <s v="Accepted"/>
    <x v="1"/>
    <s v="no"/>
    <n v="15000"/>
    <s v="paid"/>
  </r>
  <r>
    <s v="S0501011E004"/>
    <s v="SD"/>
    <s v="Bangun Datar"/>
    <s v="https://drive.google.com/open?id=1ZNrz4D_BAqK1pU23FgYw57EfhU-M-Ez5"/>
    <s v="S0501011E004"/>
    <d v="2021-07-05T00:00:00"/>
    <x v="45"/>
    <n v="-715"/>
    <x v="71"/>
    <n v="0"/>
    <m/>
    <s v="Accepted"/>
    <x v="1"/>
    <s v="no"/>
    <n v="15000"/>
    <s v="paid"/>
  </r>
  <r>
    <s v="S0501011E005"/>
    <s v="SD"/>
    <s v="Bangun Datar"/>
    <s v="https://drive.google.com/open?id=1mWmyE-uQ5w2spra2Z4-ufvQ5c9Jnr_1C"/>
    <s v="S0501011E005"/>
    <d v="2021-07-05T00:00:00"/>
    <x v="45"/>
    <n v="-715"/>
    <x v="71"/>
    <n v="0"/>
    <m/>
    <s v="Accepted"/>
    <x v="1"/>
    <s v="no"/>
    <n v="15000"/>
    <s v="paid"/>
  </r>
  <r>
    <s v="S0501011E008"/>
    <s v="SD"/>
    <s v="Bangun Datar"/>
    <s v="https://drive.google.com/open?id=15LnBRmXm_kWOMbU69urVdA7xaWjwmgKx"/>
    <s v="S0501011E008"/>
    <d v="2021-07-05T00:00:00"/>
    <x v="45"/>
    <n v="-715"/>
    <x v="71"/>
    <n v="0"/>
    <m/>
    <s v="Accepted"/>
    <x v="1"/>
    <s v="no"/>
    <n v="15000"/>
    <s v="paid"/>
  </r>
  <r>
    <s v="S0501011E009"/>
    <s v="SD"/>
    <s v="Bangun Datar"/>
    <s v="https://drive.google.com/open?id=1qSxOjZgS9Q2ttVaT-wMc8CRW45PS_R2X"/>
    <s v="S0501011E009"/>
    <d v="2021-07-05T00:00:00"/>
    <x v="45"/>
    <n v="-715"/>
    <x v="71"/>
    <n v="0"/>
    <m/>
    <s v="Accepted"/>
    <x v="1"/>
    <s v="no"/>
    <n v="15000"/>
    <s v="paid"/>
  </r>
  <r>
    <s v="S0501011E010"/>
    <s v="SD"/>
    <s v="Bangun Datar"/>
    <s v="https://drive.google.com/open?id=1FIT9OcqJRcKeOZ3VQw4GUlDXMW5qrKaP"/>
    <s v="S0501011E010"/>
    <d v="2021-07-05T00:00:00"/>
    <x v="45"/>
    <n v="-715"/>
    <x v="71"/>
    <n v="0"/>
    <m/>
    <s v="Accepted"/>
    <x v="1"/>
    <s v="no"/>
    <n v="15000"/>
    <s v="paid"/>
  </r>
  <r>
    <s v="S0501031E005"/>
    <s v="SD"/>
    <s v="Bangun Datar"/>
    <s v="https://drive.google.com/open?id=1neAGWoiEIGaAo1aigSd84vil3wRBUYLH"/>
    <s v="S0501031E005"/>
    <d v="2021-07-05T00:00:00"/>
    <x v="45"/>
    <n v="-715"/>
    <x v="71"/>
    <n v="0"/>
    <m/>
    <s v="Accepted"/>
    <x v="1"/>
    <s v="no"/>
    <n v="15000"/>
    <s v="paid"/>
  </r>
  <r>
    <s v="S0050901E001"/>
    <s v="SD"/>
    <s v="Bangun Ruang Sisi Lengkung"/>
    <s v="https://drive.google.com/open?id=1imvyTs3fXxNO0TPTxczuPcY0j37tTjIB"/>
    <s v="S0050901E001"/>
    <d v="2021-07-05T00:00:00"/>
    <x v="45"/>
    <n v="-715"/>
    <x v="71"/>
    <n v="0"/>
    <m/>
    <s v="Accepted"/>
    <x v="1"/>
    <s v="no"/>
    <n v="15000"/>
    <s v="paid"/>
  </r>
  <r>
    <s v="S0050931E004"/>
    <s v="SD"/>
    <s v="Bangun Ruang Sisi Lengkung"/>
    <s v="https://drive.google.com/open?id=1oy7y9mH_Ww66tE97SPYC3Nm2ySwbSXjO"/>
    <s v="S0050931E004"/>
    <d v="2021-07-05T00:00:00"/>
    <x v="45"/>
    <n v="-715"/>
    <x v="71"/>
    <n v="0"/>
    <m/>
    <s v="Accepted"/>
    <x v="1"/>
    <s v="no"/>
    <n v="15000"/>
    <s v="paid"/>
  </r>
  <r>
    <s v="S0490091E001"/>
    <s v="SD"/>
    <s v="KPK dan FPB"/>
    <s v="https://drive.google.com/open?id=1YeHn5PDZgTwuXUm58prER0hYTTKKPBi1"/>
    <s v="S0490091E001"/>
    <d v="2021-07-05T00:00:00"/>
    <x v="45"/>
    <n v="-715"/>
    <x v="72"/>
    <n v="0"/>
    <m/>
    <s v="Accepted"/>
    <x v="0"/>
    <s v="no"/>
    <n v="15000"/>
    <s v="paid"/>
  </r>
  <r>
    <s v="S0490101E005"/>
    <s v="SD"/>
    <s v="KPK dan FPB"/>
    <s v="https://drive.google.com/open?id=1l3U55XE3CuhkGxw00ikvAIbFPAvjhTwb"/>
    <s v="S0490101E005"/>
    <d v="2021-07-05T00:00:00"/>
    <x v="45"/>
    <n v="-715"/>
    <x v="72"/>
    <n v="0"/>
    <m/>
    <s v="Accepted"/>
    <x v="0"/>
    <s v="no"/>
    <n v="15000"/>
    <s v="paid"/>
  </r>
  <r>
    <s v="S0490101E007"/>
    <s v="SD"/>
    <s v="KPK dan FPB"/>
    <s v="https://drive.google.com/open?id=1WhXlx3EPRz6SE4Ke4Em4BaKHsPOr9N9P"/>
    <s v="S0490101E007"/>
    <d v="2021-07-05T00:00:00"/>
    <x v="45"/>
    <n v="-715"/>
    <x v="72"/>
    <n v="0"/>
    <m/>
    <s v="Accepted"/>
    <x v="0"/>
    <s v="no"/>
    <n v="15000"/>
    <s v="paid"/>
  </r>
  <r>
    <s v="S0490101E008"/>
    <s v="SD"/>
    <s v="KPK dan FPB"/>
    <s v="https://drive.google.com/open?id=1MwwBtriBafhm4ZwJIj9mB8zgPB-oHUC3"/>
    <s v="S0490101E008"/>
    <d v="2021-07-05T00:00:00"/>
    <x v="45"/>
    <n v="-715"/>
    <x v="72"/>
    <n v="0"/>
    <m/>
    <s v="Accepted"/>
    <x v="0"/>
    <s v="no"/>
    <n v="15000"/>
    <s v="paid"/>
  </r>
  <r>
    <s v="S0490101E010"/>
    <s v="SD"/>
    <s v="KPK dan FPB"/>
    <s v="https://drive.google.com/open?id=1KG0VP48ys1x7bQ6K30uA-QWyH-kOvV97"/>
    <s v="S0490101E010"/>
    <d v="2021-07-05T00:00:00"/>
    <x v="45"/>
    <n v="-715"/>
    <x v="72"/>
    <n v="0"/>
    <m/>
    <s v="Accepted"/>
    <x v="0"/>
    <s v="no"/>
    <n v="15000"/>
    <s v="paid"/>
  </r>
  <r>
    <s v="S0490102E001"/>
    <s v="SD"/>
    <s v="KPK dan FPB"/>
    <s v="https://drive.google.com/open?id=1NTUa-8QoGQq2Jm0TVc84YMGga2W_Tt66"/>
    <s v="S0490102E001"/>
    <d v="2021-07-05T00:00:00"/>
    <x v="45"/>
    <n v="-715"/>
    <x v="72"/>
    <n v="0"/>
    <m/>
    <s v="Accepted"/>
    <x v="0"/>
    <s v="no"/>
    <n v="15000"/>
    <s v="paid"/>
  </r>
  <r>
    <s v="S0490112E002"/>
    <s v="SD"/>
    <s v="KPK dan FPB"/>
    <s v="https://drive.google.com/open?id=1NpUszQYk51Ty9p_DNcBza9Z7vWaiCZHc"/>
    <s v="S0490112E002"/>
    <d v="2021-07-05T00:00:00"/>
    <x v="45"/>
    <n v="-715"/>
    <x v="72"/>
    <n v="0"/>
    <m/>
    <s v="Accepted"/>
    <x v="0"/>
    <s v="no"/>
    <n v="15000"/>
    <s v="paid"/>
  </r>
  <r>
    <s v="S0490112E004"/>
    <s v="SD"/>
    <s v="KPK dan FPB"/>
    <s v="https://drive.google.com/open?id=1PwSIiP60mptw8SCmJ-btXmC6RCEVQFUC"/>
    <s v="S0490112E004"/>
    <d v="2021-07-05T00:00:00"/>
    <x v="45"/>
    <n v="-715"/>
    <x v="72"/>
    <n v="0"/>
    <m/>
    <s v="Accepted"/>
    <x v="0"/>
    <s v="yes"/>
    <n v="18000"/>
    <s v="paid"/>
  </r>
  <r>
    <s v="S0300961E001"/>
    <s v="SD"/>
    <s v="Operasi Bilangan Pecahan"/>
    <s v="https://drive.google.com/open?id=1mU9o2WGnIj0dPrZJq0QQ34kpqzDJC1im"/>
    <s v="S0300961E001"/>
    <d v="2021-07-05T00:00:00"/>
    <x v="45"/>
    <n v="-715"/>
    <x v="72"/>
    <n v="0"/>
    <m/>
    <s v="Accepted"/>
    <x v="0"/>
    <s v="no"/>
    <n v="15000"/>
    <s v="paid"/>
  </r>
  <r>
    <s v="S0300962E004"/>
    <s v="SD"/>
    <s v="Operasi Bilangan Pecahan"/>
    <s v="https://drive.google.com/open?id=15QSRhZUQvK0UApNQ5v3joHaRN-7tozE2"/>
    <s v="S0300962E004"/>
    <d v="2021-07-05T00:00:00"/>
    <x v="45"/>
    <n v="-715"/>
    <x v="72"/>
    <n v="0"/>
    <m/>
    <s v="Accepted"/>
    <x v="0"/>
    <s v="no"/>
    <n v="15000"/>
    <s v="paid"/>
  </r>
  <r>
    <s v="S0501031E006"/>
    <s v="SD"/>
    <s v="Bangun Datar"/>
    <s v="https://drive.google.com/open?id=1XSR2NkkPnUn2hD4rA9oZTmfBD_GGvISC"/>
    <s v="S0501031E006"/>
    <d v="2021-07-05T00:00:00"/>
    <x v="45"/>
    <n v="-715"/>
    <x v="72"/>
    <n v="0"/>
    <m/>
    <s v="Accepted"/>
    <x v="1"/>
    <s v="no"/>
    <n v="15000"/>
    <s v="paid"/>
  </r>
  <r>
    <s v="S0501031E007"/>
    <s v="SD"/>
    <s v="Bangun Datar"/>
    <s v="https://drive.google.com/open?id=16LA7ezGSUwMyUFiQI-Y_qEVLHSPqj1Qw"/>
    <s v="S0501031E007"/>
    <d v="2021-07-05T00:00:00"/>
    <x v="45"/>
    <n v="-715"/>
    <x v="72"/>
    <n v="0"/>
    <m/>
    <s v="Accepted"/>
    <x v="1"/>
    <s v="no"/>
    <n v="15000"/>
    <s v="paid"/>
  </r>
  <r>
    <s v="S0501031E008"/>
    <s v="SD"/>
    <s v="Bangun Datar"/>
    <s v="https://drive.google.com/open?id=1bO3knMAyj8BJPeMZlr7EiTsT5ZClqYv7"/>
    <s v="S0501031E008"/>
    <d v="2021-07-05T00:00:00"/>
    <x v="45"/>
    <n v="-715"/>
    <x v="72"/>
    <n v="0"/>
    <m/>
    <s v="Accepted"/>
    <x v="1"/>
    <s v="no"/>
    <n v="15000"/>
    <s v="paid"/>
  </r>
  <r>
    <s v="S0501031E009"/>
    <s v="SD"/>
    <s v="Bangun Datar"/>
    <s v="https://drive.google.com/open?id=1Kx7q9EXxYLGLFbuK6F_JpuMq8bL5PClP"/>
    <s v="S0501031E009"/>
    <d v="2021-07-05T00:00:00"/>
    <x v="45"/>
    <n v="-715"/>
    <x v="72"/>
    <n v="0"/>
    <m/>
    <s v="Accepted"/>
    <x v="1"/>
    <s v="no"/>
    <n v="15000"/>
    <s v="paid"/>
  </r>
  <r>
    <s v="S0501031E010"/>
    <s v="SD"/>
    <s v="Bangun Datar"/>
    <s v="https://drive.google.com/open?id=1EkI4cpDLkaHnqbXl2HRJS1H_iKpP9n8D"/>
    <s v="S0501031E010"/>
    <d v="2021-07-05T00:00:00"/>
    <x v="45"/>
    <n v="-715"/>
    <x v="72"/>
    <n v="0"/>
    <m/>
    <s v="Accepted"/>
    <x v="1"/>
    <s v="no"/>
    <n v="15000"/>
    <s v="paid"/>
  </r>
  <r>
    <s v="S0501051E001"/>
    <s v="SD"/>
    <s v="Bangun Datar"/>
    <s v="https://drive.google.com/open?id=1UGtCfIVsjWh2O9jSXQ1Is3Jpw5yMdVIA"/>
    <s v="S0501051E001"/>
    <d v="2021-07-05T00:00:00"/>
    <x v="45"/>
    <n v="-715"/>
    <x v="72"/>
    <n v="0"/>
    <m/>
    <s v="Accepted"/>
    <x v="1"/>
    <s v="no"/>
    <n v="15000"/>
    <s v="paid"/>
  </r>
  <r>
    <s v="S0501052E001"/>
    <s v="SD"/>
    <s v="Bangun Datar"/>
    <s v="https://drive.google.com/open?id=12h4k590LjO-uwbNw56OWSbvqrZY4jJvk"/>
    <s v="S0501052E001"/>
    <d v="2021-07-05T00:00:00"/>
    <x v="45"/>
    <n v="-715"/>
    <x v="72"/>
    <n v="0"/>
    <m/>
    <s v="Accepted"/>
    <x v="1"/>
    <s v="no"/>
    <n v="15000"/>
    <s v="paid"/>
  </r>
  <r>
    <s v="S0501052E002"/>
    <s v="SD"/>
    <s v="Bangun Datar"/>
    <s v="https://drive.google.com/open?id=1iR6HSgaHfzhj-Wt816pha9Lid1VJALre"/>
    <s v="S0501052E002"/>
    <d v="2021-07-05T00:00:00"/>
    <x v="45"/>
    <n v="-715"/>
    <x v="72"/>
    <n v="0"/>
    <m/>
    <s v="Accepted"/>
    <x v="1"/>
    <s v="no"/>
    <n v="15000"/>
    <s v="paid"/>
  </r>
  <r>
    <s v="S0501101E002"/>
    <s v="SD"/>
    <s v="Bangun Ruang"/>
    <s v="https://drive.google.com/open?id=1hJ5Zfu0tDHzO5AALYu0KoNPrifZpbptP"/>
    <s v="S0501101E002"/>
    <d v="2021-07-05T00:00:00"/>
    <x v="45"/>
    <n v="-715"/>
    <x v="72"/>
    <n v="0"/>
    <m/>
    <s v="Accepted"/>
    <x v="1"/>
    <s v="no"/>
    <n v="15000"/>
    <s v="paid"/>
  </r>
  <r>
    <s v="S0501101E003"/>
    <s v="SD"/>
    <s v="Bangun Ruang"/>
    <s v="https://drive.google.com/open?id=17YlS7PXiSMrqwCP7E_WZMCPLLa8afC00"/>
    <s v="S0501101E003"/>
    <d v="2021-07-05T00:00:00"/>
    <x v="45"/>
    <n v="-715"/>
    <x v="72"/>
    <n v="0"/>
    <m/>
    <s v="Accepted"/>
    <x v="1"/>
    <s v="no"/>
    <n v="15000"/>
    <s v="paid"/>
  </r>
  <r>
    <s v="S0501101E004"/>
    <s v="SD"/>
    <s v="Bangun Ruang"/>
    <s v="https://drive.google.com/open?id=1kJX-k-8NWKmmUIdjQiMtKFBjyBlr32jZ"/>
    <s v="S0501101E004"/>
    <d v="2021-07-05T00:00:00"/>
    <x v="45"/>
    <n v="-715"/>
    <x v="72"/>
    <n v="0"/>
    <m/>
    <s v="Accepted"/>
    <x v="1"/>
    <s v="no"/>
    <n v="15000"/>
    <s v="paid"/>
  </r>
  <r>
    <s v="S0501101E005"/>
    <s v="SD"/>
    <s v="Bangun Ruang"/>
    <s v="https://drive.google.com/open?id=1algcfUIHDlr0Rn2XYEa_swfafas2SFx-"/>
    <s v="S0501101E005"/>
    <d v="2021-07-05T00:00:00"/>
    <x v="45"/>
    <n v="-715"/>
    <x v="72"/>
    <n v="0"/>
    <m/>
    <s v="Accepted"/>
    <x v="1"/>
    <s v="no"/>
    <n v="15000"/>
    <s v="paid"/>
  </r>
  <r>
    <s v="S0501112E001"/>
    <s v="SD"/>
    <s v="Bangun Ruang"/>
    <s v="https://drive.google.com/open?id=1KbCXoTsrecVxiT2Pll5MriloAdcB3BWs"/>
    <s v="S0501112E001"/>
    <d v="2021-07-05T00:00:00"/>
    <x v="45"/>
    <n v="-715"/>
    <x v="72"/>
    <n v="0"/>
    <m/>
    <s v="Accepted"/>
    <x v="1"/>
    <s v="no"/>
    <n v="15000"/>
    <s v="paid"/>
  </r>
  <r>
    <s v="S0490101E006"/>
    <s v="SD"/>
    <s v="KPK dan FPB"/>
    <s v="https://drive.google.com/open?id=1JeEJJYCrL-R3DtMeUv5eJ5sgwBt3AJpX"/>
    <s v="S0490101E006"/>
    <d v="2021-07-12T00:00:00"/>
    <x v="46"/>
    <n v="-708"/>
    <x v="73"/>
    <n v="714"/>
    <s v="Corr"/>
    <s v="Rejected"/>
    <x v="0"/>
    <s v="no"/>
    <n v="0"/>
    <s v="not yet"/>
  </r>
  <r>
    <s v="S0441723E001"/>
    <s v="SD"/>
    <s v="Operasi Bilangan Pecahan"/>
    <s v="https://drive.google.com/open?id=1JDkiznhSPJKQTyAEn5G6zeoVbThy5uNi"/>
    <s v="S0441723E001"/>
    <d v="2021-07-12T00:00:00"/>
    <x v="46"/>
    <n v="-708"/>
    <x v="74"/>
    <n v="714"/>
    <s v="Corr"/>
    <s v="Rejected"/>
    <x v="0"/>
    <s v="yes"/>
    <n v="0"/>
    <s v="not yet"/>
  </r>
  <r>
    <s v="S0501011E003"/>
    <s v="SD"/>
    <s v="Bangun Datar"/>
    <s v="https://drive.google.com/open?id=1zb62WYlqV7g3GfffjkSgWsQgVJr3zVRP"/>
    <s v="S0501011E003"/>
    <d v="2021-07-05T00:00:00"/>
    <x v="45"/>
    <n v="-715"/>
    <x v="75"/>
    <n v="0"/>
    <m/>
    <s v="Accepted"/>
    <x v="1"/>
    <s v="yes"/>
    <n v="18000"/>
    <s v="paid"/>
  </r>
  <r>
    <s v="S0501011E006"/>
    <s v="SD"/>
    <s v="Bangun Datar"/>
    <s v="https://drive.google.com/open?id=19gwLy2UlZav6pBkoWpjLE4L0BPB9XiDh"/>
    <s v="S0501011E006"/>
    <d v="2021-07-05T00:00:00"/>
    <x v="45"/>
    <n v="-715"/>
    <x v="75"/>
    <n v="0"/>
    <m/>
    <s v="Accepted"/>
    <x v="1"/>
    <s v="yes"/>
    <n v="18000"/>
    <s v="paid"/>
  </r>
  <r>
    <s v="S0501011E007"/>
    <s v="SD"/>
    <s v="Bangun Datar"/>
    <s v="https://drive.google.com/open?id=1OojLo7MshjN1cLXQRgHMB7Npx78zsYpy"/>
    <s v="S0501011E007"/>
    <d v="2021-07-05T00:00:00"/>
    <x v="45"/>
    <n v="-715"/>
    <x v="75"/>
    <n v="0"/>
    <m/>
    <s v="Accepted"/>
    <x v="1"/>
    <s v="yes"/>
    <n v="18000"/>
    <s v="paid"/>
  </r>
  <r>
    <s v="S0501041E001"/>
    <s v="SD"/>
    <s v="Bangun Datar"/>
    <s v="https://drive.google.com/open?id=1CccR1iqM2r8cvogCTb5WqPIGYifX9hdR"/>
    <s v="S0501041E001"/>
    <d v="2021-07-05T00:00:00"/>
    <x v="45"/>
    <n v="-715"/>
    <x v="75"/>
    <n v="0"/>
    <m/>
    <s v="Accepted"/>
    <x v="1"/>
    <s v="yes"/>
    <n v="18000"/>
    <s v="paid"/>
  </r>
  <r>
    <s v="S0501041E002"/>
    <s v="SD"/>
    <s v="Bangun Datar"/>
    <s v="https://drive.google.com/open?id=16sDRPljjo86QejjY4a3S52j4mqz1tv5-"/>
    <s v="S0501041E002"/>
    <d v="2021-07-05T00:00:00"/>
    <x v="45"/>
    <n v="-715"/>
    <x v="75"/>
    <n v="0"/>
    <m/>
    <s v="Accepted"/>
    <x v="1"/>
    <s v="yes"/>
    <n v="18000"/>
    <s v="paid"/>
  </r>
  <r>
    <s v="S0501042E001"/>
    <s v="SD"/>
    <s v="Bangun Datar"/>
    <s v="https://drive.google.com/open?id=1s7DNT9ap0CJy9O1M83nqcmHIW1bt5vKe"/>
    <s v="S0501042E001"/>
    <d v="2021-07-05T00:00:00"/>
    <x v="45"/>
    <n v="-715"/>
    <x v="75"/>
    <n v="0"/>
    <m/>
    <s v="Accepted"/>
    <x v="1"/>
    <s v="yes"/>
    <n v="18000"/>
    <s v="paid"/>
  </r>
  <r>
    <s v="S0501042E002"/>
    <s v="SD"/>
    <s v="Bangun Datar"/>
    <s v="https://drive.google.com/open?id=1Vw4z_WVSB4D4DO_mUjvV-9M9Grni8sdi"/>
    <s v="S0501042E002"/>
    <d v="2021-07-05T00:00:00"/>
    <x v="45"/>
    <n v="-715"/>
    <x v="75"/>
    <n v="0"/>
    <m/>
    <s v="Accepted"/>
    <x v="1"/>
    <s v="yes"/>
    <n v="18000"/>
    <s v="paid"/>
  </r>
  <r>
    <s v="S0501042E003"/>
    <s v="SD"/>
    <s v="Bangun Datar"/>
    <s v="https://drive.google.com/open?id=1RVSHI9Zses5LaibNBj-JVvOtq5OJEkiU"/>
    <s v="S0501042E003"/>
    <d v="2021-07-05T00:00:00"/>
    <x v="45"/>
    <n v="-715"/>
    <x v="75"/>
    <n v="721"/>
    <s v="Corr"/>
    <s v="Rejected"/>
    <x v="0"/>
    <s v="yes"/>
    <n v="0"/>
    <s v="not yet"/>
  </r>
  <r>
    <s v="S0501042E004"/>
    <s v="SD"/>
    <s v="Bangun Datar"/>
    <s v="https://drive.google.com/open?id=1ya5RaYeDTQc0AwYP9f_zy-dEDD_FvHr1"/>
    <s v="S0501042E004"/>
    <d v="2021-07-05T00:00:00"/>
    <x v="45"/>
    <n v="-715"/>
    <x v="75"/>
    <n v="721"/>
    <s v="Corr"/>
    <s v="Rejected"/>
    <x v="0"/>
    <s v="yes"/>
    <n v="0"/>
    <s v="not yet"/>
  </r>
  <r>
    <s v="S0050922E001"/>
    <s v="SD"/>
    <s v="Bangun Ruang Sisi Lengkung"/>
    <s v="https://drive.google.com/open?id=1gHJDo7egxO6M6lx6r50IKn37_7TSedE0"/>
    <s v="S0050922E001"/>
    <d v="2021-07-05T00:00:00"/>
    <x v="45"/>
    <n v="-715"/>
    <x v="75"/>
    <n v="721"/>
    <s v="Corr"/>
    <s v="Rejected"/>
    <x v="0"/>
    <s v="yes"/>
    <n v="0"/>
    <s v="not yet"/>
  </r>
  <r>
    <s v="S0050931E002"/>
    <s v="SD"/>
    <s v="Bangun Ruang Sisi Lengkung"/>
    <s v="https://drive.google.com/open?id=1a5p_050vIKRU8aYjk48UEFf6BkbRWIMN"/>
    <s v="S0050931E002"/>
    <d v="2021-07-05T00:00:00"/>
    <x v="45"/>
    <n v="-715"/>
    <x v="75"/>
    <n v="721"/>
    <s v="Corr"/>
    <s v="Rejected"/>
    <x v="0"/>
    <s v="yes"/>
    <n v="0"/>
    <s v="not yet"/>
  </r>
  <r>
    <s v="S0371591b001"/>
    <s v="SD"/>
    <s v="Skala"/>
    <s v="https://drive.google.com/open?id=1pt7gFu6zVrIsuhDseLaghfpn0clpdywl"/>
    <s v="S0371591b001"/>
    <d v="2021-07-12T00:00:00"/>
    <x v="46"/>
    <n v="-708"/>
    <x v="75"/>
    <n v="0"/>
    <m/>
    <s v="Accepted"/>
    <x v="1"/>
    <s v="yes"/>
    <n v="18000"/>
    <s v="paid"/>
  </r>
  <r>
    <s v="S0441451E001"/>
    <s v="SD"/>
    <s v="Operasi Bilangan Pecahan"/>
    <s v="https://drive.google.com/open?id=1CEMm4E7KajdBN4mflBntYioc_uDb9w5y"/>
    <s v="S0441451E001"/>
    <d v="2021-07-12T00:00:00"/>
    <x v="46"/>
    <n v="-708"/>
    <x v="75"/>
    <n v="714"/>
    <s v="Corr"/>
    <s v="Rejected"/>
    <x v="0"/>
    <s v="no"/>
    <n v="0"/>
    <s v="not yet"/>
  </r>
  <r>
    <s v="S0301021E003"/>
    <s v="SD"/>
    <s v="Operasi Bilangan Pecahan"/>
    <s v="https://drive.google.com/open?id=1KFTe0RknaTKGd26PkBzTmEkOjHO2UYLq"/>
    <s v="S0301021E003"/>
    <d v="2021-07-12T00:00:00"/>
    <x v="46"/>
    <n v="-708"/>
    <x v="75"/>
    <n v="0"/>
    <m/>
    <s v="Accepted"/>
    <x v="0"/>
    <s v="no"/>
    <n v="15000"/>
    <s v="paid"/>
  </r>
  <r>
    <s v="S0301031E001"/>
    <s v="SD"/>
    <s v="Operasi Bilangan Pecahan"/>
    <s v="https://drive.google.com/open?id=1bX4yOXwugQqMdrW6guOjvn9uxL3BihA1"/>
    <s v="S0301031E001"/>
    <d v="2021-07-12T00:00:00"/>
    <x v="46"/>
    <n v="-708"/>
    <x v="75"/>
    <n v="0"/>
    <m/>
    <s v="Accepted"/>
    <x v="0"/>
    <s v="no"/>
    <n v="15000"/>
    <s v="paid"/>
  </r>
  <r>
    <s v="S0301042E005"/>
    <s v="SD"/>
    <s v="Operasi Bilangan Pecahan"/>
    <s v="https://drive.google.com/open?id=1xU0W_khFoRmTs9Il1btRSjSK4dV5e6ed"/>
    <s v="S0301042E005"/>
    <d v="2021-07-12T00:00:00"/>
    <x v="46"/>
    <n v="-708"/>
    <x v="75"/>
    <n v="0"/>
    <m/>
    <s v="Accepted"/>
    <x v="0"/>
    <s v="no"/>
    <n v="15000"/>
    <s v="paid"/>
  </r>
  <r>
    <s v="S0301051E006"/>
    <s v="SD"/>
    <s v="Operasi Bilangan Pecahan"/>
    <s v="https://drive.google.com/open?id=17numnPsXmuQhMU7mImqQS2cf8sEVundO"/>
    <s v="S0301051E006"/>
    <d v="2021-07-12T00:00:00"/>
    <x v="46"/>
    <n v="-708"/>
    <x v="75"/>
    <n v="0"/>
    <m/>
    <s v="Accepted"/>
    <x v="0"/>
    <s v="no"/>
    <n v="15000"/>
    <s v="paid"/>
  </r>
  <r>
    <s v="S0301051E009"/>
    <s v="SD"/>
    <s v="Operasi Bilangan Pecahan"/>
    <s v="https://drive.google.com/open?id=1Yy0nn300eLczYASx_NSYkYqyiaO88Fxl"/>
    <s v="S0301051E009"/>
    <d v="2021-07-12T00:00:00"/>
    <x v="46"/>
    <n v="-708"/>
    <x v="75"/>
    <n v="0"/>
    <m/>
    <s v="Accepted"/>
    <x v="0"/>
    <s v="no"/>
    <n v="15000"/>
    <s v="paid"/>
  </r>
  <r>
    <s v="S0380912E016"/>
    <s v="SD"/>
    <s v="Pecahan"/>
    <s v="https://drive.google.com/open?id=17smxs5mCbTCn2d38m09TFJ5_epxhPczB"/>
    <s v="S0380912E016"/>
    <d v="2021-07-12T00:00:00"/>
    <x v="46"/>
    <n v="-708"/>
    <x v="75"/>
    <n v="0"/>
    <m/>
    <s v="Accepted"/>
    <x v="0"/>
    <s v="no"/>
    <n v="15000"/>
    <s v="paid"/>
  </r>
  <r>
    <s v="S0380912E017"/>
    <s v="SD"/>
    <s v="Pecahan"/>
    <s v="https://drive.google.com/open?id=1vB-Ei-fHdtzNICDhnMG6dDKVTbDRqXiM"/>
    <s v="S0380912E017"/>
    <d v="2021-07-12T00:00:00"/>
    <x v="46"/>
    <n v="-708"/>
    <x v="75"/>
    <n v="0"/>
    <m/>
    <s v="Accepted"/>
    <x v="0"/>
    <s v="no"/>
    <n v="15000"/>
    <s v="paid"/>
  </r>
  <r>
    <s v="S0380921E002"/>
    <s v="SD"/>
    <s v="Operasi Bilangan Pecahan"/>
    <s v="https://drive.google.com/open?id=1K_Ru4ysLI7TmjGOVlo7MGw-8ieqgNMqT"/>
    <s v="S0380921E002"/>
    <d v="2021-07-12T00:00:00"/>
    <x v="46"/>
    <n v="-708"/>
    <x v="75"/>
    <n v="0"/>
    <m/>
    <s v="Accepted"/>
    <x v="0"/>
    <s v="no"/>
    <n v="15000"/>
    <s v="paid"/>
  </r>
  <r>
    <s v="S0040843E004"/>
    <s v="SD"/>
    <s v="Lingkaran"/>
    <s v="https://drive.google.com/open?id=1dl3pjdeXYUP4YoKeZy3GY5QZco4lFusu"/>
    <s v="S0040843E004"/>
    <d v="2021-07-12T00:00:00"/>
    <x v="46"/>
    <n v="-708"/>
    <x v="75"/>
    <n v="0"/>
    <m/>
    <s v="Accepted"/>
    <x v="1"/>
    <s v="yes"/>
    <n v="18000"/>
    <s v="paid"/>
  </r>
  <r>
    <s v="S0040841E001"/>
    <s v="SD"/>
    <s v="Lingkaran"/>
    <s v="https://drive.google.com/open?id=1WgHY8NI0AQDIRk_0EkdrHqFjNR76L1zC"/>
    <s v="S0040841E001"/>
    <d v="2021-07-12T00:00:00"/>
    <x v="46"/>
    <n v="-708"/>
    <x v="75"/>
    <n v="0"/>
    <m/>
    <s v="Accepted"/>
    <x v="1"/>
    <s v="yes"/>
    <n v="18000"/>
    <s v="paid"/>
  </r>
  <r>
    <s v="S0030881a002"/>
    <s v="SD"/>
    <s v="Lingkaran"/>
    <s v="https://drive.google.com/open?id=1KxAgk4nw7aTzj2N3OwKoUZoilucKrp2H"/>
    <s v="S0030881a002"/>
    <d v="2021-07-12T00:00:00"/>
    <x v="46"/>
    <n v="-708"/>
    <x v="75"/>
    <n v="0"/>
    <m/>
    <s v="Accepted"/>
    <x v="1"/>
    <s v="yes"/>
    <n v="18000"/>
    <s v="paid"/>
  </r>
  <r>
    <s v="S0370511E010"/>
    <s v="SD"/>
    <s v="Kecepatan Dan Debit"/>
    <s v="https://drive.google.com/open?id=1mJd2CkunCk0bfAWLPv7ZvUiHQc2uIYRo"/>
    <s v="S0370511E010"/>
    <d v="2021-07-12T00:00:00"/>
    <x v="46"/>
    <n v="-708"/>
    <x v="75"/>
    <n v="0"/>
    <m/>
    <s v="Accepted"/>
    <x v="1"/>
    <s v="no"/>
    <n v="15000"/>
    <s v="paid"/>
  </r>
  <r>
    <s v="S0390851E003"/>
    <s v="SD"/>
    <s v="Operasi Bilangan Pecahan"/>
    <s v="https://drive.google.com/open?id=1hH8qO7s8pJZXwT7XVDdWrRfTgVhnxfr8"/>
    <s v="S0390851E003"/>
    <d v="2021-07-12T00:00:00"/>
    <x v="46"/>
    <n v="-708"/>
    <x v="75"/>
    <n v="0"/>
    <m/>
    <s v="Accepted"/>
    <x v="1"/>
    <s v="yes"/>
    <n v="18000"/>
    <s v="paid"/>
  </r>
  <r>
    <s v="S0040811E002"/>
    <s v="SD"/>
    <s v="Lingkaran"/>
    <s v="https://drive.google.com/open?id=1g2fYZhV23mtVqWO5ryAWOzimqKdsSM6P"/>
    <s v="S0040811E002"/>
    <d v="2021-07-12T00:00:00"/>
    <x v="46"/>
    <n v="-708"/>
    <x v="75"/>
    <n v="0"/>
    <m/>
    <s v="Accepted"/>
    <x v="1"/>
    <s v="yes"/>
    <n v="18000"/>
    <s v="paid"/>
  </r>
  <r>
    <s v="S0371452E004"/>
    <s v="SD"/>
    <s v="Skala"/>
    <s v="https://drive.google.com/open?id=10NlhjlhbquIHBJiVFwuCM5KgSbneR0kz"/>
    <s v="S0371452E004"/>
    <d v="2021-07-12T00:00:00"/>
    <x v="46"/>
    <n v="-708"/>
    <x v="75"/>
    <n v="0"/>
    <m/>
    <s v="Accepted"/>
    <x v="1"/>
    <s v="no"/>
    <n v="15000"/>
    <s v="paid"/>
  </r>
  <r>
    <s v="S0390822E004"/>
    <s v="SD"/>
    <s v="Operasi Bilangan Pecahan"/>
    <s v="https://drive.google.com/open?id=1Sb74Id5UgPOOGyCu5feUoLHHVKqFwKEG"/>
    <s v="S0390822E004"/>
    <d v="2021-07-12T00:00:00"/>
    <x v="46"/>
    <n v="-708"/>
    <x v="75"/>
    <n v="0"/>
    <m/>
    <s v="Accepted"/>
    <x v="1"/>
    <s v="no"/>
    <n v="15000"/>
    <s v="paid"/>
  </r>
  <r>
    <s v="S0501131E001"/>
    <s v="SD"/>
    <s v="Bangun Ruang"/>
    <s v="https://drive.google.com/open?id=1yJL8ojXanVPZ09T-qCaGByCI3bUFjKSx"/>
    <s v="S0501131E001"/>
    <d v="2021-07-05T00:00:00"/>
    <x v="45"/>
    <n v="-715"/>
    <x v="76"/>
    <n v="721"/>
    <s v="Corr"/>
    <s v="Rejected"/>
    <x v="0"/>
    <s v="yes"/>
    <n v="0"/>
    <s v="not yet"/>
  </r>
  <r>
    <s v="S0220202E001"/>
    <s v="SD"/>
    <s v="Kecepatan Dan Debit"/>
    <s v="https://drive.google.com/open?id=1mae7Xis61Sm53mNPumoiES6onv6w8o4n"/>
    <s v="S0220202E001"/>
    <d v="2021-07-12T00:00:00"/>
    <x v="46"/>
    <n v="-708"/>
    <x v="76"/>
    <n v="0"/>
    <m/>
    <s v="Accepted"/>
    <x v="0"/>
    <s v="no"/>
    <n v="15000"/>
    <s v="paid"/>
  </r>
  <r>
    <s v="S0501081E001"/>
    <s v="SD"/>
    <s v="Bangun Ruang"/>
    <s v="https://drive.google.com/open?id=1Ri_6MmCiy13CglVyhYz6Vl6LW1O2B4eG"/>
    <s v="S0501081E001"/>
    <d v="2021-07-12T00:00:00"/>
    <x v="46"/>
    <n v="-708"/>
    <x v="76"/>
    <n v="0"/>
    <m/>
    <s v="Accepted"/>
    <x v="0"/>
    <s v="no"/>
    <n v="15000"/>
    <s v="paid"/>
  </r>
  <r>
    <s v="S0501091E002"/>
    <s v="SD"/>
    <s v="Bangun Ruang"/>
    <s v="https://drive.google.com/open?id=1Rd-MR2YCl6R_hJhp3nmiEXIYtmYmRJsp"/>
    <s v="S0501091E002"/>
    <d v="2021-07-12T00:00:00"/>
    <x v="46"/>
    <n v="-708"/>
    <x v="76"/>
    <n v="0"/>
    <m/>
    <s v="Accepted"/>
    <x v="0"/>
    <s v="no"/>
    <n v="15000"/>
    <s v="paid"/>
  </r>
  <r>
    <s v="S0501101E001"/>
    <s v="SD"/>
    <s v="Bangun Ruang"/>
    <s v="https://drive.google.com/open?id=13F8O9S2Yu2eLaXWI6o7aVMmGLEDGjzBq"/>
    <s v="S0501101E001"/>
    <d v="2021-07-12T00:00:00"/>
    <x v="46"/>
    <n v="-708"/>
    <x v="76"/>
    <n v="0"/>
    <m/>
    <s v="Accepted"/>
    <x v="0"/>
    <s v="no"/>
    <n v="15000"/>
    <s v="paid"/>
  </r>
  <r>
    <s v="S0170115E001"/>
    <s v="SD"/>
    <s v="Pecahan"/>
    <s v="https://drive.google.com/open?id=1hRtViTdbSEYwdLkI2uNsOqAuJtIbhb32"/>
    <s v="S0170115E001"/>
    <d v="2021-07-12T00:00:00"/>
    <x v="46"/>
    <n v="-708"/>
    <x v="76"/>
    <n v="0"/>
    <m/>
    <s v="Accepted"/>
    <x v="1"/>
    <s v="no"/>
    <n v="15000"/>
    <s v="paid"/>
  </r>
  <r>
    <s v="S0140531P001"/>
    <s v="SD"/>
    <s v="Kecepatan Dan Debit"/>
    <s v="https://drive.google.com/open?id=1ULoQH-PcgydWcQROKnDFM_DejuK_gctB"/>
    <s v="S0140531P001"/>
    <d v="2021-07-12T00:00:00"/>
    <x v="46"/>
    <n v="-708"/>
    <x v="76"/>
    <n v="0"/>
    <m/>
    <s v="Accepted"/>
    <x v="1"/>
    <s v="no"/>
    <n v="15000"/>
    <s v="paid"/>
  </r>
  <r>
    <s v="S0140531P002"/>
    <s v="SD"/>
    <s v="Kecepatan Dan Debit"/>
    <s v="https://drive.google.com/open?id=12wTKsDK8Z8hRETMbW2nnFc_jlWkYA9RH"/>
    <s v="S0140531P002"/>
    <d v="2021-07-12T00:00:00"/>
    <x v="46"/>
    <n v="-708"/>
    <x v="76"/>
    <n v="0"/>
    <m/>
    <s v="Accepted"/>
    <x v="1"/>
    <s v="no"/>
    <n v="15000"/>
    <s v="paid"/>
  </r>
  <r>
    <s v="S0140531P003"/>
    <s v="SD"/>
    <s v="Kecepatan Dan Debit"/>
    <s v="https://drive.google.com/open?id=13NaA4GSgL-LvGsfw7El1q2H5FsUaBkzP"/>
    <s v="S0140531P003"/>
    <d v="2021-07-12T00:00:00"/>
    <x v="46"/>
    <n v="-708"/>
    <x v="76"/>
    <n v="0"/>
    <m/>
    <s v="Accepted"/>
    <x v="1"/>
    <s v="no"/>
    <n v="15000"/>
    <s v="paid"/>
  </r>
  <r>
    <s v="S0140531P004"/>
    <s v="SD"/>
    <s v="Kecepatan Dan Debit"/>
    <s v="https://drive.google.com/open?id=1tP9oAjlnIEkn2AUN2mQk_-qj7tWa-SqH"/>
    <s v="S0140531P004"/>
    <d v="2021-07-12T00:00:00"/>
    <x v="46"/>
    <n v="-708"/>
    <x v="76"/>
    <n v="0"/>
    <m/>
    <s v="Accepted"/>
    <x v="1"/>
    <s v="no"/>
    <n v="15000"/>
    <s v="paid"/>
  </r>
  <r>
    <s v="S0140531P005"/>
    <s v="SD"/>
    <s v="Kecepatan Dan Debit"/>
    <s v="https://drive.google.com/open?id=1Bmi_ml7ythdQLLv_tyQOz0pxSY8K-2TT"/>
    <s v="S0140531P005"/>
    <d v="2021-07-12T00:00:00"/>
    <x v="46"/>
    <n v="-708"/>
    <x v="76"/>
    <n v="0"/>
    <m/>
    <s v="Accepted"/>
    <x v="1"/>
    <s v="no"/>
    <n v="15000"/>
    <s v="paid"/>
  </r>
  <r>
    <s v="S0140531P006"/>
    <s v="SD"/>
    <s v="Kecepatan Dan Debit"/>
    <s v="https://drive.google.com/open?id=15gZBrCifnTdNWrCoWKBkCQZNEMlG3V3l"/>
    <s v="S0140531P006"/>
    <d v="2021-07-12T00:00:00"/>
    <x v="46"/>
    <n v="-708"/>
    <x v="76"/>
    <n v="0"/>
    <m/>
    <s v="Accepted"/>
    <x v="1"/>
    <s v="no"/>
    <n v="15000"/>
    <s v="paid"/>
  </r>
  <r>
    <s v="S0140531P007"/>
    <s v="SD"/>
    <s v="Kecepatan Dan Debit"/>
    <s v="https://drive.google.com/open?id=19vWJeEZAvJ62ad8PXFsmzDeDegnoU7u9"/>
    <s v="S0140531P007"/>
    <d v="2021-07-12T00:00:00"/>
    <x v="46"/>
    <n v="-708"/>
    <x v="76"/>
    <n v="0"/>
    <m/>
    <s v="Accepted"/>
    <x v="1"/>
    <s v="no"/>
    <n v="15000"/>
    <s v="paid"/>
  </r>
  <r>
    <s v="S0390851E004"/>
    <s v="SD"/>
    <s v="Operasi Bilangan Pecahan"/>
    <s v="https://drive.google.com/open?id=1bOzbXSzzyte_qvZ39OpHSbiKXchzfjq4"/>
    <s v="S0390851E004"/>
    <d v="2021-07-12T00:00:00"/>
    <x v="46"/>
    <n v="-708"/>
    <x v="76"/>
    <n v="0"/>
    <m/>
    <s v="Accepted"/>
    <x v="1"/>
    <s v="yes"/>
    <n v="18000"/>
    <s v="paid"/>
  </r>
  <r>
    <s v="S0140531P008"/>
    <s v="SD"/>
    <s v="Kecepatan Dan Debit"/>
    <s v="https://drive.google.com/open?id=1W5VoYTHvABt9tQdeIePQnq-7APutQnr1"/>
    <s v="S0140531P008"/>
    <d v="2021-07-12T00:00:00"/>
    <x v="46"/>
    <n v="-708"/>
    <x v="76"/>
    <n v="0"/>
    <m/>
    <s v="Accepted"/>
    <x v="1"/>
    <s v="no"/>
    <n v="15000"/>
    <s v="paid"/>
  </r>
  <r>
    <s v="S0370501E001"/>
    <s v="SD"/>
    <s v="Kecepatan Dan Debit"/>
    <s v="https://drive.google.com/open?id=1gRO46ziZ247ebSECqmNHkXA_ShaoIKNM"/>
    <s v="S0370501E001"/>
    <d v="2021-07-12T00:00:00"/>
    <x v="46"/>
    <n v="-708"/>
    <x v="76"/>
    <n v="0"/>
    <m/>
    <s v="Accepted"/>
    <x v="1"/>
    <s v="no"/>
    <n v="15000"/>
    <s v="paid"/>
  </r>
  <r>
    <s v="S0371452E001"/>
    <s v="SD"/>
    <s v="Skala"/>
    <s v="https://drive.google.com/open?id=104rHjv7QoterLeRVr6qrovNra8gjOo64"/>
    <s v="S0371452E001"/>
    <d v="2021-07-12T00:00:00"/>
    <x v="46"/>
    <n v="-708"/>
    <x v="76"/>
    <n v="0"/>
    <m/>
    <s v="Accepted"/>
    <x v="1"/>
    <s v="no"/>
    <n v="15000"/>
    <s v="paid"/>
  </r>
  <r>
    <s v="S0371452E003"/>
    <s v="SD"/>
    <s v="Skala"/>
    <s v="https://drive.google.com/open?id=1SHNg1eCqcxs4sv22UPOp2nJjRjykY-3g"/>
    <s v="S0371452E003"/>
    <d v="2021-07-12T00:00:00"/>
    <x v="46"/>
    <n v="-708"/>
    <x v="76"/>
    <n v="0"/>
    <m/>
    <s v="Accepted"/>
    <x v="1"/>
    <s v="no"/>
    <n v="15000"/>
    <s v="paid"/>
  </r>
  <r>
    <s v="S0380851E009"/>
    <s v="SD"/>
    <s v="Pecahan"/>
    <s v="https://drive.google.com/open?id=1tuf4nQuNAfv0rNcOA66-7uPJPCLLfAWJ"/>
    <s v="S0380851E009"/>
    <d v="2021-07-19T00:00:00"/>
    <x v="47"/>
    <n v="-701"/>
    <x v="77"/>
    <n v="0"/>
    <m/>
    <s v="Accepted"/>
    <x v="1"/>
    <s v="yes"/>
    <n v="18000"/>
    <s v="paid"/>
  </r>
  <r>
    <s v="S0380851E010"/>
    <s v="SD"/>
    <s v="Pecahan"/>
    <s v="https://drive.google.com/open?id=171Htab1eEOc4Alx53lFl4NYJnKthI-lA"/>
    <s v="S0380851E010"/>
    <d v="2021-07-19T00:00:00"/>
    <x v="47"/>
    <n v="-701"/>
    <x v="77"/>
    <n v="0"/>
    <m/>
    <s v="Accepted"/>
    <x v="1"/>
    <s v="yes"/>
    <n v="18000"/>
    <s v="paid"/>
  </r>
  <r>
    <s v="S0380852E003"/>
    <s v="SD"/>
    <s v="Pecahan"/>
    <s v="https://drive.google.com/open?id=164J7IkVuToS2hBw6tKgEK_82rxJESJds"/>
    <s v="S0380852E003"/>
    <d v="2021-07-19T00:00:00"/>
    <x v="47"/>
    <n v="-701"/>
    <x v="77"/>
    <n v="0"/>
    <m/>
    <s v="Accepted"/>
    <x v="1"/>
    <s v="yes"/>
    <n v="18000"/>
    <s v="paid"/>
  </r>
  <r>
    <s v="S0380852E005"/>
    <s v="SD"/>
    <s v="Pecahan"/>
    <s v="https://drive.google.com/open?id=1gxvkLfzMrZB6xk3sHm-WK4QTZR8CW32t"/>
    <s v="S0380852E005"/>
    <d v="2021-07-19T00:00:00"/>
    <x v="47"/>
    <n v="-701"/>
    <x v="77"/>
    <n v="0"/>
    <m/>
    <s v="Accepted"/>
    <x v="1"/>
    <s v="yes"/>
    <n v="18000"/>
    <s v="paid"/>
  </r>
  <r>
    <s v="S0380852E007"/>
    <s v="SD"/>
    <s v="Pecahan"/>
    <s v="https://drive.google.com/open?id=1ZyVVf7k67jyo8vK8RAEt7H8Q3rH0gX3U"/>
    <s v="S0380852E007"/>
    <d v="2021-07-19T00:00:00"/>
    <x v="47"/>
    <n v="-701"/>
    <x v="77"/>
    <n v="0"/>
    <m/>
    <s v="Accepted"/>
    <x v="1"/>
    <s v="yes"/>
    <n v="18000"/>
    <s v="paid"/>
  </r>
  <r>
    <s v="S0380852E009"/>
    <s v="SD"/>
    <s v="Pecahan"/>
    <s v="https://drive.google.com/open?id=1N6e4up5EDAioUtaSv8Wnhc2QtKu7_Jsj"/>
    <s v="S0380852E009"/>
    <d v="2021-07-19T00:00:00"/>
    <x v="47"/>
    <n v="-701"/>
    <x v="77"/>
    <n v="0"/>
    <m/>
    <s v="Accepted"/>
    <x v="1"/>
    <s v="yes"/>
    <n v="18000"/>
    <s v="paid"/>
  </r>
  <r>
    <s v="S0380852E010"/>
    <s v="SD"/>
    <s v="Pecahan"/>
    <s v="https://drive.google.com/open?id=1LLrx-IiP9TSzsqKxnxq3KsyDq-yb_BPe"/>
    <s v="S0380852E010"/>
    <d v="2021-07-19T00:00:00"/>
    <x v="47"/>
    <n v="-701"/>
    <x v="77"/>
    <n v="0"/>
    <m/>
    <s v="Accepted"/>
    <x v="1"/>
    <s v="yes"/>
    <n v="18000"/>
    <s v="paid"/>
  </r>
  <r>
    <s v="S0380902E006"/>
    <s v="SD"/>
    <s v="Pecahan"/>
    <s v="https://drive.google.com/open?id=1i-3AsQjU063NgD8YkfpPI45H3torF9H-"/>
    <s v="S0380902E006"/>
    <d v="2021-07-19T00:00:00"/>
    <x v="47"/>
    <n v="-701"/>
    <x v="77"/>
    <n v="0"/>
    <m/>
    <s v="Accepted"/>
    <x v="1"/>
    <s v="no"/>
    <n v="15000"/>
    <s v="paid"/>
  </r>
  <r>
    <s v="S0380941E004"/>
    <s v="SD"/>
    <s v="Operasi Bilangan Pecahan"/>
    <s v="https://drive.google.com/open?id=1isOljPq655sbr6RRpJ9b_JafYkJHTo9y"/>
    <s v="S0380941E004"/>
    <d v="2021-07-19T00:00:00"/>
    <x v="47"/>
    <n v="-701"/>
    <x v="77"/>
    <n v="0"/>
    <m/>
    <s v="Accepted"/>
    <x v="1"/>
    <s v="yes"/>
    <n v="18000"/>
    <s v="paid"/>
  </r>
  <r>
    <s v="S0380941E005"/>
    <s v="SD"/>
    <s v="Operasi Bilangan Pecahan"/>
    <s v="https://drive.google.com/open?id=1rsOJsPjJgtpKO6lCt1aW2KbuJV1omF73"/>
    <s v="S0380941E005"/>
    <d v="2021-07-19T00:00:00"/>
    <x v="47"/>
    <n v="-701"/>
    <x v="77"/>
    <n v="0"/>
    <m/>
    <s v="Accepted"/>
    <x v="1"/>
    <s v="no"/>
    <n v="15000"/>
    <s v="paid"/>
  </r>
  <r>
    <s v="S0380961E001"/>
    <s v="SD"/>
    <s v="Operasi Bilangan Pecahan"/>
    <s v="https://drive.google.com/open?id=1k1tIaaQ8_o208S_Fbx65u9OksWkWPl1j"/>
    <s v="S0380961E001"/>
    <d v="2021-07-19T00:00:00"/>
    <x v="47"/>
    <n v="-701"/>
    <x v="77"/>
    <n v="0"/>
    <m/>
    <s v="Accepted"/>
    <x v="1"/>
    <s v="no"/>
    <n v="15000"/>
    <s v="paid"/>
  </r>
  <r>
    <s v="S0380961E006"/>
    <s v="SD"/>
    <s v="Operasi Bilangan Pecahan"/>
    <s v="https://drive.google.com/open?id=1oHChClPX4Fw3xjEmv5xJz0I6VEKb0HPK"/>
    <s v="S0380961E006"/>
    <d v="2021-07-19T00:00:00"/>
    <x v="47"/>
    <n v="-701"/>
    <x v="77"/>
    <n v="0"/>
    <m/>
    <s v="Accepted"/>
    <x v="1"/>
    <s v="no"/>
    <n v="15000"/>
    <s v="paid"/>
  </r>
  <r>
    <s v="S0381051E016"/>
    <s v="SD"/>
    <s v="Operasi Bilangan Pecahan"/>
    <s v="https://drive.google.com/open?id=1MtrtjCYV27Ww6rHEZasaSoDgF5s3S5VC"/>
    <s v="S0381051E016"/>
    <d v="2021-07-19T00:00:00"/>
    <x v="47"/>
    <n v="-701"/>
    <x v="77"/>
    <n v="0"/>
    <m/>
    <s v="Accepted"/>
    <x v="1"/>
    <s v="yes"/>
    <n v="18000"/>
    <s v="paid"/>
  </r>
  <r>
    <s v="S0381321P001"/>
    <s v="SD"/>
    <s v="Pecahan"/>
    <s v="https://drive.google.com/open?id=1E9LV6Jv2qUxKyJw471RZ9iSyClu-yzIf"/>
    <s v="S0381321P001"/>
    <d v="2021-07-19T00:00:00"/>
    <x v="47"/>
    <n v="-701"/>
    <x v="77"/>
    <n v="0"/>
    <m/>
    <s v="Accepted"/>
    <x v="1"/>
    <s v="yes"/>
    <n v="18000"/>
    <s v="paid"/>
  </r>
  <r>
    <s v="S0381321P003"/>
    <s v="SD"/>
    <s v="Pecahan"/>
    <s v="https://drive.google.com/open?id=1RHTFFbw2_kguu05ttdHPRdDs0L9IhW3_"/>
    <s v="S0381321P003"/>
    <d v="2021-07-19T00:00:00"/>
    <x v="47"/>
    <n v="-701"/>
    <x v="77"/>
    <n v="0"/>
    <m/>
    <s v="Accepted"/>
    <x v="1"/>
    <s v="no"/>
    <n v="15000"/>
    <s v="paid"/>
  </r>
  <r>
    <s v="S0381321P004"/>
    <s v="SD"/>
    <s v="Pecahan"/>
    <s v="https://drive.google.com/open?id=1wmDiwvhnnv0L9P3TlPWsIlCoWjWNBPiY"/>
    <s v="S0381321P004"/>
    <d v="2021-07-19T00:00:00"/>
    <x v="47"/>
    <n v="-701"/>
    <x v="77"/>
    <n v="0"/>
    <m/>
    <s v="Accepted"/>
    <x v="1"/>
    <s v="no"/>
    <n v="15000"/>
    <s v="paid"/>
  </r>
  <r>
    <s v="S0381351P021"/>
    <s v="SD"/>
    <s v="Operasi Bilangan Pecahan"/>
    <s v="https://drive.google.com/open?id=1zyxuR_f4hbxsDBux_gNw_UbaTVEBDIUW"/>
    <s v="S0381351P021"/>
    <d v="2021-07-19T00:00:00"/>
    <x v="47"/>
    <n v="-701"/>
    <x v="77"/>
    <n v="0"/>
    <m/>
    <s v="Accepted"/>
    <x v="1"/>
    <s v="no"/>
    <n v="15000"/>
    <s v="paid"/>
  </r>
  <r>
    <s v="S0381362E001"/>
    <s v="SD"/>
    <s v="Pecahan"/>
    <s v="https://drive.google.com/open?id=1EqaCVhXzVIR0DDWbIfM9dWIWpC3u3r-s"/>
    <s v="S0381362E001"/>
    <d v="2021-07-19T00:00:00"/>
    <x v="47"/>
    <n v="-701"/>
    <x v="77"/>
    <n v="0"/>
    <m/>
    <s v="Accepted"/>
    <x v="1"/>
    <s v="yes"/>
    <n v="18000"/>
    <s v="paid"/>
  </r>
  <r>
    <s v="S0380622E001"/>
    <s v="SD"/>
    <s v="Bangun Datar"/>
    <s v="https://drive.google.com/open?id=17EPCv4M31p_ZpvK0WP5XVslVoX7a8Rx2"/>
    <s v="S0380622E001"/>
    <d v="2021-07-19T00:00:00"/>
    <x v="47"/>
    <n v="-701"/>
    <x v="77"/>
    <n v="0"/>
    <m/>
    <s v="Accepted"/>
    <x v="1"/>
    <s v="no"/>
    <n v="15000"/>
    <s v="paid"/>
  </r>
  <r>
    <s v="S0380622E004"/>
    <s v="SD"/>
    <s v="Bangun Datar"/>
    <s v="https://drive.google.com/open?id=1h-xIIZ1ktb_hfqdPwFRpOsDfxXrx_TZl"/>
    <s v="S0380622E004"/>
    <d v="2021-07-19T00:00:00"/>
    <x v="47"/>
    <n v="-701"/>
    <x v="77"/>
    <n v="0"/>
    <m/>
    <s v="Accepted"/>
    <x v="1"/>
    <s v="no"/>
    <n v="15000"/>
    <s v="paid"/>
  </r>
  <r>
    <s v="S0380622E005"/>
    <s v="SD"/>
    <s v="Bangun Datar"/>
    <s v="https://drive.google.com/open?id=1j0gb3bJftBDK1XAJhqZ4NwxpW6zLAR-8"/>
    <s v="S0380622E005"/>
    <d v="2021-07-19T00:00:00"/>
    <x v="47"/>
    <n v="-701"/>
    <x v="77"/>
    <n v="0"/>
    <m/>
    <s v="Accepted"/>
    <x v="1"/>
    <s v="no"/>
    <n v="15000"/>
    <s v="paid"/>
  </r>
  <r>
    <s v="S0440551E001"/>
    <s v="SD"/>
    <s v="Bangun Datar"/>
    <s v="https://drive.google.com/open?id=11kY819-0cguyurUNE0v5nJfLa5Fj_T-G"/>
    <s v="S0440551E001"/>
    <d v="2021-07-19T00:00:00"/>
    <x v="47"/>
    <n v="-701"/>
    <x v="77"/>
    <n v="0"/>
    <m/>
    <s v="Accepted"/>
    <x v="1"/>
    <s v="no"/>
    <n v="15000"/>
    <s v="paid"/>
  </r>
  <r>
    <s v="S0380961E007"/>
    <s v="SD"/>
    <s v="Operasi Bilangan Pecahan"/>
    <s v="https://drive.google.com/open?id=16VFYsSWmSjhfiiwElQusrcGRWh7yOGfk"/>
    <s v="S0380961E007"/>
    <d v="2021-07-19T00:00:00"/>
    <x v="47"/>
    <n v="-701"/>
    <x v="78"/>
    <n v="0"/>
    <m/>
    <s v="Accepted"/>
    <x v="1"/>
    <s v="no"/>
    <n v="15000"/>
    <s v="paid"/>
  </r>
  <r>
    <s v="S0380991E005"/>
    <s v="SD"/>
    <s v="Operasi Bilangan Pecahan"/>
    <s v="https://drive.google.com/open?id=1FcZNvM_pEdx6G5rjzCiZus67ZD10JHdh"/>
    <s v="S0380991E005"/>
    <d v="2021-07-19T00:00:00"/>
    <x v="47"/>
    <n v="-701"/>
    <x v="78"/>
    <n v="0"/>
    <m/>
    <s v="Accepted"/>
    <x v="1"/>
    <s v="no"/>
    <n v="15000"/>
    <s v="paid"/>
  </r>
  <r>
    <s v="S0380991E006"/>
    <s v="SD"/>
    <s v="Operasi Bilangan Pecahan"/>
    <s v="https://drive.google.com/open?id=1EJthIi9dcYIlNFl9nZ93oULceiP6bYGK"/>
    <s v="S0380991E006"/>
    <d v="2021-07-19T00:00:00"/>
    <x v="47"/>
    <n v="-701"/>
    <x v="78"/>
    <n v="0"/>
    <m/>
    <s v="Accepted"/>
    <x v="1"/>
    <s v="no"/>
    <n v="15000"/>
    <s v="paid"/>
  </r>
  <r>
    <s v="S0380992E001"/>
    <s v="SD"/>
    <s v="Operasi Bilangan Pecahan"/>
    <s v="https://drive.google.com/open?id=1F7L147uaaVr9h9xQVHl_0TkgpzeIfJfv"/>
    <s v="S0380992E001"/>
    <d v="2021-07-19T00:00:00"/>
    <x v="47"/>
    <n v="-701"/>
    <x v="78"/>
    <n v="0"/>
    <m/>
    <s v="Accepted"/>
    <x v="1"/>
    <s v="no"/>
    <n v="15000"/>
    <s v="paid"/>
  </r>
  <r>
    <s v="S0490101E004"/>
    <s v="SD"/>
    <s v="KPK dan FPB"/>
    <s v="https://drive.google.com/open?id=1yroBWluDKQTZyGtfrrs6hogWUUynnkYD"/>
    <s v="S0490101E004"/>
    <d v="2021-07-26T00:00:00"/>
    <x v="48"/>
    <n v="-694"/>
    <x v="79"/>
    <n v="700"/>
    <s v="Corr"/>
    <s v="Rejected"/>
    <x v="0"/>
    <s v="no"/>
    <n v="0"/>
    <s v="not yet"/>
  </r>
  <r>
    <s v="S0490101E009"/>
    <s v="SD"/>
    <s v="KPK dan FPB"/>
    <s v="https://drive.google.com/open?id=1dsv4XuOR48d-PK4ITsnl1EPWVZusvieE"/>
    <s v="S0490101E009"/>
    <d v="2021-07-26T00:00:00"/>
    <x v="48"/>
    <n v="-694"/>
    <x v="79"/>
    <n v="700"/>
    <s v="Corr"/>
    <s v="Rejected"/>
    <x v="0"/>
    <s v="no"/>
    <n v="0"/>
    <s v="not yet"/>
  </r>
  <r>
    <s v="S0490112E003"/>
    <s v="SD"/>
    <s v="KPK dan FPB"/>
    <s v="https://drive.google.com/open?id=1xoMWOiCh347u06tpgeOscKMHwVVkIMLj"/>
    <s v="S0490112E003"/>
    <d v="2021-07-26T00:00:00"/>
    <x v="48"/>
    <n v="-694"/>
    <x v="80"/>
    <n v="700"/>
    <s v="Corr"/>
    <s v="Rejected"/>
    <x v="0"/>
    <s v="no"/>
    <n v="0"/>
    <s v="not yet"/>
  </r>
  <r>
    <s v="S0510382E003"/>
    <s v="SD"/>
    <s v="Operasi Bilangan Pecahan"/>
    <s v="https://drive.google.com/open?id=1Dh94sqhEhcl2vCwkMidshxd4PqGopGlK"/>
    <s v="S0510382E003"/>
    <d v="2021-07-26T00:00:00"/>
    <x v="48"/>
    <n v="-694"/>
    <x v="80"/>
    <n v="0"/>
    <m/>
    <s v="Accepted"/>
    <x v="1"/>
    <s v="no"/>
    <n v="15000"/>
    <s v="paid"/>
  </r>
  <r>
    <s v="S0510382E004"/>
    <s v="SD"/>
    <s v="Operasi Bilangan Pecahan"/>
    <s v="https://drive.google.com/open?id=1A5CX6Zz8fABpe5DHgMPZAClpFncL32-q"/>
    <s v="S0510382E004"/>
    <d v="2021-07-26T00:00:00"/>
    <x v="48"/>
    <n v="-694"/>
    <x v="80"/>
    <n v="0"/>
    <m/>
    <s v="Accepted"/>
    <x v="1"/>
    <s v="no"/>
    <n v="15000"/>
    <s v="paid"/>
  </r>
  <r>
    <s v="S0510382E005"/>
    <s v="SD"/>
    <s v="Operasi Bilangan Pecahan"/>
    <s v="https://drive.google.com/open?id=18mt9YMJeH3Oyc84NiJr6zCCfEGxqk74-"/>
    <s v="S0510382E005"/>
    <d v="2021-07-26T00:00:00"/>
    <x v="48"/>
    <n v="-694"/>
    <x v="80"/>
    <n v="0"/>
    <m/>
    <s v="Accepted"/>
    <x v="1"/>
    <s v="no"/>
    <n v="15000"/>
    <s v="paid"/>
  </r>
  <r>
    <s v="S0510382E006"/>
    <s v="SD"/>
    <s v="Operasi Bilangan Pecahan"/>
    <s v="https://drive.google.com/open?id=1oRos7v6kmiV-XYoKAsFMfG_GIDiZ-J8r"/>
    <s v="S0510382E006"/>
    <d v="2021-07-26T00:00:00"/>
    <x v="48"/>
    <n v="-694"/>
    <x v="80"/>
    <n v="0"/>
    <m/>
    <s v="Accepted"/>
    <x v="1"/>
    <s v="no"/>
    <n v="15000"/>
    <s v="paid"/>
  </r>
  <r>
    <s v="S0510382E007"/>
    <s v="SD"/>
    <s v="Operasi Bilangan Pecahan"/>
    <s v="https://drive.google.com/open?id=1uTN-UYYCM1HyhV1otYGvyNDQfWlhaHgO"/>
    <s v="S0510382E007"/>
    <d v="2021-07-26T00:00:00"/>
    <x v="48"/>
    <n v="-694"/>
    <x v="80"/>
    <n v="0"/>
    <m/>
    <s v="Accepted"/>
    <x v="1"/>
    <s v="no"/>
    <n v="15000"/>
    <s v="paid"/>
  </r>
  <r>
    <s v="S0510382E008"/>
    <s v="SD"/>
    <s v="Operasi Bilangan Pecahan"/>
    <s v="https://drive.google.com/open?id=12tPTWvv74KrYFrsRDka62k7fVk4EVxxv"/>
    <s v="S0510382E008"/>
    <d v="2021-07-26T00:00:00"/>
    <x v="48"/>
    <n v="-694"/>
    <x v="80"/>
    <n v="0"/>
    <m/>
    <s v="Accepted"/>
    <x v="1"/>
    <s v="no"/>
    <n v="15000"/>
    <s v="paid"/>
  </r>
  <r>
    <s v="S0510382E009"/>
    <s v="SD"/>
    <s v="Operasi Bilangan Pecahan"/>
    <s v="https://drive.google.com/open?id=1fTfo0kggrO70DUXsIhGSB3DMDfOoDtAV"/>
    <s v="S0510382E009"/>
    <d v="2021-07-26T00:00:00"/>
    <x v="48"/>
    <n v="-694"/>
    <x v="80"/>
    <n v="0"/>
    <m/>
    <s v="Accepted"/>
    <x v="1"/>
    <s v="no"/>
    <n v="15000"/>
    <s v="paid"/>
  </r>
  <r>
    <s v="S0510382E010"/>
    <s v="SD"/>
    <s v="Operasi Bilangan Pecahan"/>
    <s v="https://drive.google.com/open?id=18H0akrUqYkoNr3VzD80h51wf3FpKRhwC"/>
    <s v="S0510382E010"/>
    <d v="2021-07-26T00:00:00"/>
    <x v="48"/>
    <n v="-694"/>
    <x v="80"/>
    <n v="0"/>
    <m/>
    <s v="Accepted"/>
    <x v="1"/>
    <s v="no"/>
    <n v="15000"/>
    <s v="paid"/>
  </r>
  <r>
    <s v="S0510382E011"/>
    <s v="SD"/>
    <s v="Operasi Bilangan Pecahan"/>
    <s v="https://drive.google.com/open?id=1DRd7_Gsfze0yIBRIAO05DijoFE5MdNOe"/>
    <s v="S0510382E011"/>
    <d v="2021-07-26T00:00:00"/>
    <x v="48"/>
    <n v="-694"/>
    <x v="80"/>
    <n v="0"/>
    <m/>
    <s v="Accepted"/>
    <x v="1"/>
    <s v="no"/>
    <n v="15000"/>
    <s v="paid"/>
  </r>
  <r>
    <s v="S0510382E012"/>
    <s v="SD"/>
    <s v="Operasi Bilangan Pecahan"/>
    <s v="https://drive.google.com/open?id=1nprs-znKX56mNRg1VS13JTUTZOg9vQG-"/>
    <s v="S0510382E012"/>
    <d v="2021-07-26T00:00:00"/>
    <x v="48"/>
    <n v="-694"/>
    <x v="80"/>
    <n v="0"/>
    <m/>
    <s v="Accepted"/>
    <x v="1"/>
    <s v="no"/>
    <n v="15000"/>
    <s v="paid"/>
  </r>
  <r>
    <s v="S0510382E013"/>
    <s v="SD"/>
    <s v="Operasi Bilangan Pecahan"/>
    <s v="https://drive.google.com/open?id=1g5zW3RHOmyeNwW7BF0LiBcAmaQhz9iPj"/>
    <s v="S0510382E013"/>
    <d v="2021-07-26T00:00:00"/>
    <x v="48"/>
    <n v="-694"/>
    <x v="80"/>
    <n v="0"/>
    <m/>
    <s v="Accepted"/>
    <x v="1"/>
    <s v="no"/>
    <n v="15000"/>
    <s v="paid"/>
  </r>
  <r>
    <s v="S0510382E014"/>
    <s v="SD"/>
    <s v="Operasi Bilangan Pecahan"/>
    <s v="https://drive.google.com/open?id=1XhRahaOeZDykSopTGAMQcVS6infrAxtk"/>
    <s v="S0510382E014"/>
    <d v="2021-07-26T00:00:00"/>
    <x v="48"/>
    <n v="-694"/>
    <x v="80"/>
    <n v="0"/>
    <m/>
    <s v="Accepted"/>
    <x v="1"/>
    <s v="no"/>
    <n v="15000"/>
    <s v="paid"/>
  </r>
  <r>
    <s v="S0510382E015"/>
    <s v="SD"/>
    <s v="Operasi Bilangan Pecahan"/>
    <s v="https://drive.google.com/open?id=1vh_4gTTl7GIUp9rpkG7zHOo-1QCkUrNi"/>
    <s v="S0510382E015"/>
    <d v="2021-07-26T00:00:00"/>
    <x v="48"/>
    <n v="-694"/>
    <x v="80"/>
    <n v="0"/>
    <m/>
    <s v="Accepted"/>
    <x v="1"/>
    <s v="no"/>
    <n v="15000"/>
    <s v="paid"/>
  </r>
  <r>
    <s v="S0510382E016"/>
    <s v="SD"/>
    <s v="Operasi Bilangan Pecahan"/>
    <s v="https://drive.google.com/open?id=13rn5FMLfw1JNV_qkV6B5FdAUmhceP-pN"/>
    <s v="S0510382E016"/>
    <d v="2021-07-26T00:00:00"/>
    <x v="48"/>
    <n v="-694"/>
    <x v="80"/>
    <n v="0"/>
    <m/>
    <s v="Accepted"/>
    <x v="1"/>
    <s v="no"/>
    <n v="15000"/>
    <s v="paid"/>
  </r>
  <r>
    <s v="S0510382E017"/>
    <s v="SD"/>
    <s v="Operasi Bilangan Pecahan"/>
    <s v="https://drive.google.com/open?id=1tESm6bZJXOO9VtAO0DaxI94G0MeqihXD"/>
    <s v="S0510382E017"/>
    <d v="2021-07-26T00:00:00"/>
    <x v="48"/>
    <n v="-694"/>
    <x v="80"/>
    <n v="0"/>
    <m/>
    <s v="Accepted"/>
    <x v="1"/>
    <s v="no"/>
    <n v="15000"/>
    <s v="paid"/>
  </r>
  <r>
    <s v="S0510382E018"/>
    <s v="SD"/>
    <s v="Operasi Bilangan Pecahan"/>
    <s v="https://drive.google.com/open?id=12fNQgoKdz_9onazOqXhZQsXDbWIVMn4C"/>
    <s v="S0510382E018"/>
    <d v="2021-07-26T00:00:00"/>
    <x v="48"/>
    <n v="-694"/>
    <x v="80"/>
    <n v="0"/>
    <m/>
    <s v="Accepted"/>
    <x v="1"/>
    <s v="no"/>
    <n v="15000"/>
    <s v="paid"/>
  </r>
  <r>
    <s v="S0510382E019"/>
    <s v="SD"/>
    <s v="Operasi Bilangan Pecahan"/>
    <s v="https://drive.google.com/open?id=1yKg2LpSR_ryottI7sCNfqi1rjThN5jze"/>
    <s v="S0510382E019"/>
    <d v="2021-07-26T00:00:00"/>
    <x v="48"/>
    <n v="-694"/>
    <x v="80"/>
    <n v="0"/>
    <m/>
    <s v="Accepted"/>
    <x v="1"/>
    <s v="no"/>
    <n v="15000"/>
    <s v="paid"/>
  </r>
  <r>
    <s v="S0510382E020"/>
    <s v="SD"/>
    <s v="Operasi Bilangan Pecahan"/>
    <s v="https://drive.google.com/open?id=1DVFcDPRnYby9fxmiFq5FzQp7x5cKX8dW"/>
    <s v="S0510382E020"/>
    <d v="2021-07-26T00:00:00"/>
    <x v="48"/>
    <n v="-694"/>
    <x v="80"/>
    <n v="0"/>
    <m/>
    <s v="Accepted"/>
    <x v="1"/>
    <s v="no"/>
    <n v="15000"/>
    <s v="paid"/>
  </r>
  <r>
    <s v="S0510391a001"/>
    <s v="SD"/>
    <s v="Operasi Bilangan Pecahan"/>
    <s v="https://drive.google.com/open?id=16B8gJCmd8YY8I_PkhpInmg0hTrgF2CZM"/>
    <s v="S0510391a001"/>
    <d v="2021-07-26T00:00:00"/>
    <x v="48"/>
    <n v="-694"/>
    <x v="81"/>
    <n v="0"/>
    <m/>
    <s v="Accepted"/>
    <x v="1"/>
    <s v="no"/>
    <n v="15000"/>
    <s v="paid"/>
  </r>
  <r>
    <s v="S0510391b001"/>
    <s v="SD"/>
    <s v="Operasi Bilangan Pecahan"/>
    <s v="https://drive.google.com/open?id=1ono4rdWk1A-vS4z6PH7by7GGA8EzpDQm"/>
    <s v="S0510391b001"/>
    <d v="2021-07-26T00:00:00"/>
    <x v="48"/>
    <n v="-694"/>
    <x v="81"/>
    <n v="0"/>
    <m/>
    <s v="Accepted"/>
    <x v="1"/>
    <s v="no"/>
    <n v="15000"/>
    <s v="paid"/>
  </r>
  <r>
    <s v="S0510392E002"/>
    <s v="SD"/>
    <s v="Operasi Bilangan Pecahan"/>
    <s v="https://drive.google.com/open?id=13f4U_UbF_GEnbyiAa1PAutWp7RMGo7RS"/>
    <s v="S0510392E002"/>
    <d v="2021-07-26T00:00:00"/>
    <x v="48"/>
    <n v="-694"/>
    <x v="81"/>
    <n v="0"/>
    <m/>
    <s v="Accepted"/>
    <x v="1"/>
    <s v="no"/>
    <n v="15000"/>
    <s v="paid"/>
  </r>
  <r>
    <s v="S0510392E004"/>
    <s v="SD"/>
    <s v="Operasi Bilangan Pecahan"/>
    <s v="https://drive.google.com/open?id=1OvFlLQqp4cXOUBX0U5SS_X8oMKnKOtGk"/>
    <s v="S0510392E004"/>
    <d v="2021-07-26T00:00:00"/>
    <x v="48"/>
    <n v="-694"/>
    <x v="81"/>
    <n v="0"/>
    <m/>
    <s v="Accepted"/>
    <x v="1"/>
    <s v="no"/>
    <n v="15000"/>
    <s v="paid"/>
  </r>
  <r>
    <s v="S0510392E005"/>
    <s v="SD"/>
    <s v="Operasi Bilangan Pecahan"/>
    <s v="https://drive.google.com/open?id=13-AKbGsP0dUKIhDEGvCpUOLyy0phoUKJ"/>
    <s v="S0510392E005"/>
    <d v="2021-07-26T00:00:00"/>
    <x v="48"/>
    <n v="-694"/>
    <x v="81"/>
    <n v="0"/>
    <m/>
    <s v="Accepted"/>
    <x v="1"/>
    <s v="no"/>
    <n v="15000"/>
    <s v="paid"/>
  </r>
  <r>
    <s v="S0510392E010"/>
    <s v="SD"/>
    <s v="Operasi Bilangan Pecahan"/>
    <s v="https://drive.google.com/open?id=1aEbbEDmH22taOl2-MstMTNiK_VM-xbmT"/>
    <s v="S0510392E010"/>
    <d v="2021-07-26T00:00:00"/>
    <x v="48"/>
    <n v="-694"/>
    <x v="81"/>
    <n v="0"/>
    <m/>
    <s v="Accepted"/>
    <x v="1"/>
    <s v="no"/>
    <n v="15000"/>
    <s v="paid"/>
  </r>
  <r>
    <s v="S0510401E001"/>
    <s v="SD"/>
    <s v="Operasi Bilangan Pecahan"/>
    <s v="https://drive.google.com/open?id=1nsEyB5DakeK80EJ-9GesgtSA-sAedFx-"/>
    <s v="S0510401E001"/>
    <d v="2021-07-26T00:00:00"/>
    <x v="48"/>
    <n v="-694"/>
    <x v="81"/>
    <n v="0"/>
    <m/>
    <s v="Accepted"/>
    <x v="1"/>
    <s v="no"/>
    <n v="15000"/>
    <s v="paid"/>
  </r>
  <r>
    <s v="S0510402E001"/>
    <s v="SD"/>
    <s v="Operasi Bilangan Pecahan"/>
    <s v="https://drive.google.com/open?id=1xArM1Uk-99PNPyhzGBN-cvUbm7EGDYx7"/>
    <s v="S0510402E001"/>
    <d v="2021-07-26T00:00:00"/>
    <x v="48"/>
    <n v="-694"/>
    <x v="81"/>
    <n v="0"/>
    <m/>
    <s v="Accepted"/>
    <x v="1"/>
    <s v="no"/>
    <n v="15000"/>
    <s v="paid"/>
  </r>
  <r>
    <s v="S0510402E002"/>
    <s v="SD"/>
    <s v="Operasi Bilangan Pecahan"/>
    <s v="https://drive.google.com/open?id=1rw-B2tjDSRHhb-So1PqNjFkMgbsF4M2t"/>
    <s v="S0510402E002"/>
    <d v="2021-07-26T00:00:00"/>
    <x v="48"/>
    <n v="-694"/>
    <x v="81"/>
    <n v="0"/>
    <m/>
    <s v="Accepted"/>
    <x v="1"/>
    <s v="no"/>
    <n v="15000"/>
    <s v="paid"/>
  </r>
  <r>
    <s v="V0101971P004"/>
    <s v="SD"/>
    <s v="Operasi Bilangan Pecahan"/>
    <s v="https://drive.google.com/open?id=1muDjumlIMXPFMnd1VIayk-H0z-UUhgS0"/>
    <s v="V0101971P004"/>
    <d v="2021-08-02T00:00:00"/>
    <x v="49"/>
    <n v="-687"/>
    <x v="82"/>
    <n v="0"/>
    <m/>
    <s v="Accepted"/>
    <x v="1"/>
    <s v="yes"/>
    <n v="18000"/>
    <s v="paid"/>
  </r>
  <r>
    <s v="S0540781E017"/>
    <s v="SD"/>
    <s v="Operasi Bilangan Pecahan"/>
    <s v="https://drive.google.com/open?id=1m9TdilyJOwgqWBGEgoLQ5hA4mK_hQWmV"/>
    <s v="S0540781E017"/>
    <d v="2021-08-02T00:00:00"/>
    <x v="49"/>
    <n v="-687"/>
    <x v="82"/>
    <n v="0"/>
    <m/>
    <s v="Accepted"/>
    <x v="1"/>
    <s v="no"/>
    <n v="15000"/>
    <s v="paid"/>
  </r>
  <r>
    <s v="S0150863E001"/>
    <s v="SD"/>
    <s v="Bangun Ruang Sisi Lengkung"/>
    <s v="https://drive.google.com/open?id=1g6PMUXJvvTeeXSEGYgj5uSpswdfWUTZP"/>
    <s v="S0150863E001"/>
    <d v="2021-08-02T00:00:00"/>
    <x v="50"/>
    <n v="-666"/>
    <x v="83"/>
    <n v="693"/>
    <s v="Inquiry"/>
    <s v="Rejected"/>
    <x v="0"/>
    <s v="no"/>
    <n v="0"/>
    <s v="not yet"/>
  </r>
  <r>
    <s v="S0300981E005"/>
    <s v="SD"/>
    <s v="Operasi Bilangan Pecahan"/>
    <s v="https://drive.google.com/open?id=1XGspVc3webm97sbGW28gqhKUDh2pY33a"/>
    <s v="S0300981E005"/>
    <d v="2021-08-02T00:00:00"/>
    <x v="49"/>
    <n v="-687"/>
    <x v="84"/>
    <n v="0"/>
    <m/>
    <s v="Accepted"/>
    <x v="0"/>
    <s v="yes"/>
    <n v="18000"/>
    <s v="paid"/>
  </r>
  <r>
    <s v="S0410203E002"/>
    <s v="SD"/>
    <s v="KPK dan FPB"/>
    <s v="https://drive.google.com/open?id=1svneJWukx0t341hiXa1cR3-sBIsroXWq"/>
    <s v="S0410203E002"/>
    <d v="2021-08-02T00:00:00"/>
    <x v="49"/>
    <n v="-687"/>
    <x v="85"/>
    <n v="0"/>
    <m/>
    <s v="Accepted"/>
    <x v="0"/>
    <s v="yes"/>
    <n v="18000"/>
    <s v="paid"/>
  </r>
  <r>
    <s v="S0300981E001"/>
    <s v="SD"/>
    <s v="Operasi Bilangan Pecahan"/>
    <s v="https://drive.google.com/open?id=1UBmZOXjFi4oOuh1yhIPpdx6XJs9bvJFE"/>
    <s v="S0300981E001"/>
    <d v="2021-08-02T00:00:00"/>
    <x v="49"/>
    <n v="-687"/>
    <x v="85"/>
    <n v="0"/>
    <m/>
    <s v="Accepted"/>
    <x v="0"/>
    <s v="yes"/>
    <n v="18000"/>
    <s v="paid"/>
  </r>
  <r>
    <s v="S0401533E002"/>
    <s v="SD"/>
    <s v="Kesebangunan Dan Simetri"/>
    <s v="https://drive.google.com/open?id=1RZvvXXf0_0PYUpbljDvLlajtm6O9mi13"/>
    <s v="S0401533E002"/>
    <d v="2021-08-02T00:00:00"/>
    <x v="49"/>
    <n v="-687"/>
    <x v="85"/>
    <n v="693"/>
    <s v="AV + Corr"/>
    <s v="Rejected"/>
    <x v="0"/>
    <s v="no"/>
    <n v="0"/>
    <s v="not yet"/>
  </r>
  <r>
    <s v="S0300981E003"/>
    <s v="SD"/>
    <s v="Operasi Bilangan Pecahan"/>
    <s v="https://drive.google.com/open?id=1hJte3NC98SXitn6kOCzAecdD9QNIK64S"/>
    <s v="S0300981E003"/>
    <d v="2021-08-02T00:00:00"/>
    <x v="49"/>
    <n v="-687"/>
    <x v="85"/>
    <n v="0"/>
    <m/>
    <s v="Accepted"/>
    <x v="0"/>
    <s v="yes"/>
    <n v="18000"/>
    <s v="paid"/>
  </r>
  <r>
    <s v="S0501052E003"/>
    <s v="SD"/>
    <s v="Bangun Datar"/>
    <s v="https://drive.google.com/open?id=14czJ9NJAQ3NBeomjnwnyXnbU5-BPGqp9"/>
    <s v="S0501052E003"/>
    <d v="2021-08-02T00:00:00"/>
    <x v="49"/>
    <n v="-687"/>
    <x v="85"/>
    <n v="0"/>
    <m/>
    <s v="Accepted"/>
    <x v="2"/>
    <s v="no"/>
    <n v="15000"/>
    <s v="paid"/>
  </r>
  <r>
    <s v="S0390941E004"/>
    <s v="SD"/>
    <s v="Operasi Bilangan Pecahan"/>
    <s v="https://drive.google.com/open?id=1lUg0_-uURVgAxlrfSRc02gwkx8DlYby-"/>
    <s v="S0390941E004"/>
    <d v="2021-08-02T00:00:00"/>
    <x v="49"/>
    <n v="-687"/>
    <x v="85"/>
    <n v="0"/>
    <m/>
    <s v="Accepted"/>
    <x v="0"/>
    <s v="no"/>
    <n v="15000"/>
    <s v="paid"/>
  </r>
  <r>
    <s v="S0510453E007"/>
    <s v="SD"/>
    <s v="Operasi Bilangan Pecahan"/>
    <s v="https://drive.google.com/open?id=19yi0WMLJltZJ0IoC2q5XsyyULbIr_Ca5"/>
    <s v="S0510453E007"/>
    <d v="2021-08-02T00:00:00"/>
    <x v="49"/>
    <n v="-687"/>
    <x v="85"/>
    <n v="0"/>
    <m/>
    <s v="Accepted"/>
    <x v="1"/>
    <s v="no"/>
    <n v="15000"/>
    <s v="paid"/>
  </r>
  <r>
    <s v="S0351231P010"/>
    <s v="SD"/>
    <s v="Bilangan Bulat"/>
    <s v="https://drive.google.com/open?id=1ZewbD7kyGZ2y701AsHCanXwpXvVeNSAV"/>
    <s v="S0351231P010"/>
    <d v="2021-08-02T00:00:00"/>
    <x v="49"/>
    <n v="-687"/>
    <x v="85"/>
    <n v="0"/>
    <m/>
    <s v="Accepted"/>
    <x v="1"/>
    <s v="no"/>
    <n v="15000"/>
    <s v="paid"/>
  </r>
  <r>
    <s v="S0540821E007"/>
    <s v="SD"/>
    <s v="Operasi Bilangan Pecahan"/>
    <s v="https://drive.google.com/open?id=1NjephJp8GRz61vHgWoTewrbO5bVtTdJm"/>
    <s v="S0540821E007"/>
    <d v="2021-08-02T00:00:00"/>
    <x v="49"/>
    <n v="-687"/>
    <x v="85"/>
    <n v="0"/>
    <m/>
    <s v="Accepted"/>
    <x v="1"/>
    <s v="no"/>
    <n v="15000"/>
    <s v="paid"/>
  </r>
  <r>
    <s v="S0260901E024"/>
    <s v="SD"/>
    <s v="Bangun Ruang"/>
    <s v="https://drive.google.com/open?id=1e-0PWdu01Dya_nSFTJ7TXPVUSMbAn9Nf"/>
    <s v="S0260901E024"/>
    <d v="2021-08-02T00:00:00"/>
    <x v="49"/>
    <n v="-687"/>
    <x v="85"/>
    <n v="0"/>
    <m/>
    <s v="Accepted"/>
    <x v="1"/>
    <s v="no"/>
    <n v="15000"/>
    <s v="paid"/>
  </r>
  <r>
    <s v="S0400782E002"/>
    <s v="SD"/>
    <s v="Bangun Datar"/>
    <s v="https://drive.google.com/open?id=1XsbampjwnixSDVWg6_8cofxjo9qR1PYy"/>
    <s v="S0400782E002"/>
    <d v="2021-08-02T00:00:00"/>
    <x v="49"/>
    <n v="-687"/>
    <x v="85"/>
    <n v="0"/>
    <m/>
    <s v="Accepted"/>
    <x v="1"/>
    <s v="no"/>
    <n v="15000"/>
    <s v="paid"/>
  </r>
  <r>
    <s v="S0422352E010"/>
    <s v="SD"/>
    <s v="Bangun Ruang"/>
    <s v="https://drive.google.com/open?id=1rkgp-nN2ODbawy-LXziMu0WxBjNzXA6D"/>
    <s v="S0422352E010"/>
    <d v="2021-08-02T00:00:00"/>
    <x v="49"/>
    <n v="-687"/>
    <x v="85"/>
    <n v="0"/>
    <m/>
    <s v="Accepted"/>
    <x v="1"/>
    <s v="no"/>
    <n v="15000"/>
    <s v="paid"/>
  </r>
  <r>
    <s v="S0421171E010"/>
    <s v="SD"/>
    <s v="Bangun Datar"/>
    <s v="https://drive.google.com/open?id=1mWHy99wJuGGN-Kc5pf-_kcMwGVON1B7G"/>
    <s v="S0421171E010"/>
    <d v="2021-08-02T00:00:00"/>
    <x v="49"/>
    <n v="-687"/>
    <x v="85"/>
    <n v="0"/>
    <m/>
    <s v="Accepted"/>
    <x v="1"/>
    <s v="no"/>
    <n v="15000"/>
    <s v="paid"/>
  </r>
  <r>
    <s v="S0570791E020"/>
    <s v="SD"/>
    <s v="Operasi Bilangan Pecahan"/>
    <s v="https://drive.google.com/open?id=1MHUits404ZAElwSojDRDPe010qgXSSdW"/>
    <s v="S0570791E020"/>
    <d v="2021-08-02T00:00:00"/>
    <x v="49"/>
    <n v="-687"/>
    <x v="85"/>
    <n v="0"/>
    <m/>
    <s v="Accepted"/>
    <x v="1"/>
    <s v="no"/>
    <n v="15000"/>
    <s v="paid"/>
  </r>
  <r>
    <s v="S0300981E002"/>
    <s v="SD"/>
    <s v="Operasi Bilangan Pecahan"/>
    <s v="https://drive.google.com/open?id=1k1FQF456vBC_2KjrKEjw1ckxhJlUhYXt"/>
    <s v="S0300981E002"/>
    <d v="2021-08-02T00:00:00"/>
    <x v="49"/>
    <n v="-687"/>
    <x v="86"/>
    <n v="0"/>
    <m/>
    <s v="Accepted"/>
    <x v="0"/>
    <s v="yes"/>
    <n v="18000"/>
    <s v="paid"/>
  </r>
  <r>
    <s v="S0300981E007"/>
    <s v="SD"/>
    <s v="Operasi Bilangan Pecahan"/>
    <s v="https://drive.google.com/open?id=1M8NRAH8kjDwmt6-i_Ikf7_Rhr6k0JzpW"/>
    <s v="S0300981E007"/>
    <d v="2021-08-02T00:00:00"/>
    <x v="49"/>
    <n v="-687"/>
    <x v="86"/>
    <n v="0"/>
    <m/>
    <s v="Accepted"/>
    <x v="2"/>
    <s v="no"/>
    <n v="15000"/>
    <s v="paid"/>
  </r>
  <r>
    <s v="S0301021E002"/>
    <s v="SD"/>
    <s v="Operasi Bilangan Pecahan"/>
    <s v="https://drive.google.com/open?id=1QtoT1ciyQQM9TsVcs4e1T49WqRCh8ugJ"/>
    <s v="S0301021E002"/>
    <d v="2021-08-02T00:00:00"/>
    <x v="49"/>
    <n v="-687"/>
    <x v="86"/>
    <n v="0"/>
    <m/>
    <s v="Accepted"/>
    <x v="2"/>
    <s v="no"/>
    <n v="15000"/>
    <s v="paid"/>
  </r>
  <r>
    <s v="S0301032E001"/>
    <s v="SD"/>
    <s v="Operasi Bilangan Pecahan"/>
    <s v="https://drive.google.com/open?id=1gauNUAoS0s4wpdwJSq3_iLCVRErtmS4N"/>
    <s v="S0301032E001"/>
    <d v="2021-08-02T00:00:00"/>
    <x v="49"/>
    <n v="-687"/>
    <x v="86"/>
    <n v="0"/>
    <m/>
    <s v="Accepted"/>
    <x v="2"/>
    <s v="no"/>
    <n v="15000"/>
    <s v="paid"/>
  </r>
  <r>
    <s v="S0140342a002"/>
    <s v="SD"/>
    <s v="Kecepatan Dan Debit"/>
    <s v="https://drive.google.com/open?id=1WEY1kmseX4JtcmxH3XDDmIZX4DEB7N4N"/>
    <s v="S0140342a002"/>
    <d v="2021-08-02T00:00:00"/>
    <x v="49"/>
    <n v="-687"/>
    <x v="86"/>
    <n v="0"/>
    <m/>
    <s v="Accepted"/>
    <x v="0"/>
    <s v="no"/>
    <n v="15000"/>
    <s v="paid"/>
  </r>
  <r>
    <s v="S0380971E003"/>
    <s v="SD"/>
    <s v="Operasi Bilangan Pecahan"/>
    <s v="https://drive.google.com/open?id=1lxhJR-b_fwcr7Z7K_lPLXF_WUZIVjV1y"/>
    <s v="S0380971E003"/>
    <d v="2021-08-02T00:00:00"/>
    <x v="49"/>
    <n v="-687"/>
    <x v="86"/>
    <n v="0"/>
    <m/>
    <s v="Accepted"/>
    <x v="0"/>
    <s v="no"/>
    <n v="15000"/>
    <s v="paid"/>
  </r>
  <r>
    <s v="S0380991E003"/>
    <s v="SD"/>
    <s v="Operasi Bilangan Pecahan"/>
    <s v="https://drive.google.com/open?id=1WV6VU3DwYhnYdX--h1lXJlMFV1RmuP6h"/>
    <s v="S0380991E003"/>
    <d v="2021-08-02T00:00:00"/>
    <x v="49"/>
    <n v="-687"/>
    <x v="86"/>
    <n v="0"/>
    <m/>
    <s v="Accepted"/>
    <x v="0"/>
    <s v="no"/>
    <n v="15000"/>
    <s v="paid"/>
  </r>
  <r>
    <s v="S0370412E003"/>
    <s v="SD"/>
    <s v="KPK dan FPB"/>
    <s v="https://drive.google.com/open?id=1RmB3UaHQY4EaWMuGYpBtAzONnwryQwPZ"/>
    <s v="S0370412E003"/>
    <d v="2021-08-02T00:00:00"/>
    <x v="49"/>
    <n v="-687"/>
    <x v="87"/>
    <n v="693"/>
    <s v="Corr"/>
    <s v="Rejected"/>
    <x v="0"/>
    <s v="yes"/>
    <n v="0"/>
    <s v="not yet"/>
  </r>
  <r>
    <s v="S0301041E001"/>
    <s v="SD"/>
    <s v="Operasi Bilangan Pecahan"/>
    <s v="https://drive.google.com/open?id=1TZmNbBPnv1cpkkbgV3oRiBEYfsdmdL4j"/>
    <s v="S0301041E001"/>
    <d v="2021-08-02T00:00:00"/>
    <x v="49"/>
    <n v="-687"/>
    <x v="87"/>
    <n v="0"/>
    <m/>
    <s v="Accepted"/>
    <x v="2"/>
    <s v="no"/>
    <n v="15000"/>
    <s v="paid"/>
  </r>
  <r>
    <s v="S0371321b001"/>
    <s v="SD"/>
    <s v="Operasi Bilangan Pecahan"/>
    <s v="https://drive.google.com/open?id=1prvhh4uCytqyk3s--QQhlr-9umzTbN0w"/>
    <s v="S0371321b001"/>
    <d v="2021-08-02T00:00:00"/>
    <x v="49"/>
    <n v="-687"/>
    <x v="87"/>
    <n v="0"/>
    <m/>
    <s v="Accepted"/>
    <x v="0"/>
    <s v="yes"/>
    <n v="18000"/>
    <s v="paid"/>
  </r>
  <r>
    <s v="S0380942E002"/>
    <s v="SD"/>
    <s v="Operasi Bilangan Pecahan"/>
    <s v="https://drive.google.com/open?id=1tBSavg8ktA85BKIMxtb7Saj5zWHDxveo"/>
    <s v="S0380942E002"/>
    <d v="2021-08-02T00:00:00"/>
    <x v="49"/>
    <n v="-687"/>
    <x v="87"/>
    <n v="0"/>
    <m/>
    <s v="Accepted"/>
    <x v="0"/>
    <s v="no"/>
    <n v="15000"/>
    <s v="paid"/>
  </r>
  <r>
    <s v="S0150371E004"/>
    <s v="SD"/>
    <s v="Operasi Bilangan Pecahan"/>
    <s v="https://drive.google.com/open?id=1hTRABaJ2_Kv3gLCN2lejHzH8ZAPDZdeP"/>
    <s v="S0150371E004"/>
    <d v="2021-08-02T00:00:00"/>
    <x v="49"/>
    <n v="-687"/>
    <x v="87"/>
    <n v="0"/>
    <m/>
    <s v="Accepted"/>
    <x v="1"/>
    <s v="yes"/>
    <n v="18000"/>
    <s v="paid"/>
  </r>
  <r>
    <s v="S0561091E005"/>
    <s v="SD"/>
    <s v="Bangun Ruang Sisi Lengkung"/>
    <s v="https://drive.google.com/open?id=1LdkjYqkB9kU7dJjKnUrrB64GzhEdQLIs"/>
    <s v="S0561091E005"/>
    <d v="2021-08-02T00:00:00"/>
    <x v="49"/>
    <n v="-687"/>
    <x v="87"/>
    <n v="0"/>
    <m/>
    <s v="Accepted"/>
    <x v="1"/>
    <s v="yes"/>
    <n v="18000"/>
    <s v="paid"/>
  </r>
  <r>
    <s v="S0510071E006"/>
    <s v="SD"/>
    <s v="Operasi Bilangan Pecahan"/>
    <s v="https://drive.google.com/open?id=1Ae-AUV5wKaxYYHJ3Gs5znSmvC6daq6IY"/>
    <s v="S0510071E006"/>
    <d v="2021-08-02T00:00:00"/>
    <x v="49"/>
    <n v="-687"/>
    <x v="87"/>
    <n v="0"/>
    <m/>
    <s v="Accepted"/>
    <x v="1"/>
    <s v="no"/>
    <n v="15000"/>
    <s v="paid"/>
  </r>
  <r>
    <s v="S0580062E007"/>
    <s v="SD"/>
    <s v="Operasi Bilangan Pecahan"/>
    <s v="https://drive.google.com/open?id=1Af44H8Bz0ATtaGbnsYiCXfkbWunMCogB"/>
    <s v="S0580062E007"/>
    <d v="2021-08-02T00:00:00"/>
    <x v="49"/>
    <n v="-687"/>
    <x v="87"/>
    <n v="0"/>
    <m/>
    <s v="Accepted"/>
    <x v="1"/>
    <s v="yes"/>
    <n v="18000"/>
    <s v="paid"/>
  </r>
  <r>
    <s v="S0300971E001"/>
    <s v="SD"/>
    <s v="Operasi Bilangan Pecahan"/>
    <s v="https://drive.google.com/open?id=1apsU3zZD7gfZTgX790-uJ2I1yTqsxhGc"/>
    <s v="S0300971E001"/>
    <d v="2021-08-02T00:00:00"/>
    <x v="49"/>
    <n v="-687"/>
    <x v="88"/>
    <n v="0"/>
    <m/>
    <s v="Accepted"/>
    <x v="0"/>
    <s v="yes"/>
    <n v="18000"/>
    <s v="paid"/>
  </r>
  <r>
    <s v="S0300981E004"/>
    <s v="SD"/>
    <s v="Operasi Bilangan Pecahan"/>
    <s v="https://drive.google.com/open?id=11urDh0DLIU6klkgSCvy1nHS3xX5ldMir"/>
    <s v="S0300981E004"/>
    <d v="2021-08-02T00:00:00"/>
    <x v="49"/>
    <n v="-687"/>
    <x v="88"/>
    <n v="0"/>
    <m/>
    <s v="Accepted"/>
    <x v="0"/>
    <s v="yes"/>
    <n v="18000"/>
    <s v="paid"/>
  </r>
  <r>
    <s v="V0110363a004"/>
    <s v="SD"/>
    <s v="Operasi Bilangan Pecahan"/>
    <s v="https://drive.google.com/open?id=1P-j9TEkXBXvZzva6UUmldjT8LGil2nZX"/>
    <s v="V0110363a004"/>
    <d v="2021-08-02T00:00:00"/>
    <x v="49"/>
    <n v="-687"/>
    <x v="88"/>
    <n v="0"/>
    <m/>
    <s v="Accepted"/>
    <x v="1"/>
    <s v="no"/>
    <n v="15000"/>
    <s v="paid"/>
  </r>
  <r>
    <s v="V0110363b004"/>
    <s v="SD"/>
    <s v="Operasi Bilangan Pecahan"/>
    <s v="https://drive.google.com/open?id=1hwXM24KeObdbu8MdNzq45kiZ9sB-noq6"/>
    <s v="V0110363b004"/>
    <d v="2021-08-02T00:00:00"/>
    <x v="49"/>
    <n v="-687"/>
    <x v="88"/>
    <n v="0"/>
    <m/>
    <s v="Accepted"/>
    <x v="1"/>
    <s v="no"/>
    <n v="15000"/>
    <s v="paid"/>
  </r>
  <r>
    <s v="V0110373a004"/>
    <s v="SD"/>
    <s v="Operasi Bilangan Pecahan"/>
    <s v="https://drive.google.com/open?id=1pX68oVL5VSsNimR6ubYufGLQy4XJ-KFA"/>
    <s v="V0110373a004"/>
    <d v="2021-08-02T00:00:00"/>
    <x v="49"/>
    <n v="-687"/>
    <x v="88"/>
    <n v="0"/>
    <m/>
    <s v="Accepted"/>
    <x v="1"/>
    <s v="no"/>
    <n v="15000"/>
    <s v="paid"/>
  </r>
  <r>
    <s v="V0110373b004"/>
    <s v="SD"/>
    <s v="Operasi Bilangan Pecahan"/>
    <s v="https://drive.google.com/open?id=1vyeTO1LVAeDYvBnzgss1vmz7khxaCAjG"/>
    <s v="V0110373b004"/>
    <d v="2021-08-02T00:00:00"/>
    <x v="49"/>
    <n v="-687"/>
    <x v="88"/>
    <n v="0"/>
    <m/>
    <s v="Accepted"/>
    <x v="1"/>
    <s v="no"/>
    <n v="15000"/>
    <s v="paid"/>
  </r>
  <r>
    <s v="V0110373c004"/>
    <s v="SD"/>
    <s v="Operasi Bilangan Pecahan"/>
    <s v="https://drive.google.com/open?id=1NbEe-Ys8abO9oEUcIwFdHYy6p2Jc4I0y"/>
    <s v="V0110373c004"/>
    <d v="2021-08-02T00:00:00"/>
    <x v="49"/>
    <n v="-687"/>
    <x v="88"/>
    <n v="0"/>
    <m/>
    <s v="Accepted"/>
    <x v="1"/>
    <s v="no"/>
    <n v="15000"/>
    <s v="paid"/>
  </r>
  <r>
    <s v="V0110373a005"/>
    <s v="SD"/>
    <s v="Operasi Bilangan Pecahan"/>
    <s v="https://drive.google.com/open?id=1dyEr7bNUJLoiXXtUBfy0GxVgZbCa52ND"/>
    <s v="V0110373a005"/>
    <d v="2021-08-02T00:00:00"/>
    <x v="49"/>
    <n v="-687"/>
    <x v="88"/>
    <n v="0"/>
    <m/>
    <s v="Accepted"/>
    <x v="1"/>
    <s v="no"/>
    <n v="15000"/>
    <s v="paid"/>
  </r>
  <r>
    <s v="V0110373b005"/>
    <s v="SD"/>
    <s v="Operasi Bilangan Pecahan"/>
    <s v="https://drive.google.com/open?id=1FE6xFyCoB-l8v0stFrNiG7-11YDjYGSM"/>
    <s v="V0110373b005"/>
    <d v="2021-08-02T00:00:00"/>
    <x v="49"/>
    <n v="-687"/>
    <x v="88"/>
    <n v="0"/>
    <m/>
    <s v="Accepted"/>
    <x v="1"/>
    <s v="no"/>
    <n v="15000"/>
    <s v="paid"/>
  </r>
  <r>
    <s v="V0110373c005"/>
    <s v="SD"/>
    <s v="Operasi Bilangan Pecahan"/>
    <s v="https://drive.google.com/open?id=1Qtx6nWcqmOnyTimJvRwotFWvWbWSOp3N"/>
    <s v="V0110373c005"/>
    <d v="2021-08-02T00:00:00"/>
    <x v="49"/>
    <n v="-687"/>
    <x v="88"/>
    <n v="0"/>
    <m/>
    <s v="Accepted"/>
    <x v="1"/>
    <s v="no"/>
    <n v="15000"/>
    <s v="paid"/>
  </r>
  <r>
    <s v="V0110373d005"/>
    <s v="SD"/>
    <s v="Operasi Bilangan Pecahan"/>
    <s v="https://drive.google.com/open?id=1m-YQ_JPpxPUPlCYds0rIxxvgazSbEOko"/>
    <s v="V0110373d005"/>
    <d v="2021-08-02T00:00:00"/>
    <x v="49"/>
    <n v="-687"/>
    <x v="88"/>
    <n v="0"/>
    <m/>
    <s v="Accepted"/>
    <x v="1"/>
    <s v="no"/>
    <n v="15000"/>
    <s v="paid"/>
  </r>
  <r>
    <s v="V0110373e005"/>
    <s v="SD"/>
    <s v="Operasi Bilangan Pecahan"/>
    <s v="https://drive.google.com/open?id=1jk-K0U3xlZGSG-t8fa4EUjUFZFDcSSjX"/>
    <s v="V0110373e005"/>
    <d v="2021-08-02T00:00:00"/>
    <x v="49"/>
    <n v="-687"/>
    <x v="88"/>
    <n v="0"/>
    <m/>
    <s v="Accepted"/>
    <x v="1"/>
    <s v="no"/>
    <n v="15000"/>
    <s v="paid"/>
  </r>
  <r>
    <s v="V0172691P009"/>
    <s v="SD"/>
    <s v="Bilangan Bulat"/>
    <s v="https://drive.google.com/open?id=1rpDptoc0ZdgHtFbMZf7DXd37LKdDBPso"/>
    <s v="V0172691P009"/>
    <d v="2021-08-09T00:00:00"/>
    <x v="51"/>
    <n v="-680"/>
    <x v="89"/>
    <n v="0"/>
    <m/>
    <s v="Accepted"/>
    <x v="1"/>
    <s v="no"/>
    <n v="15000"/>
    <s v="paid"/>
  </r>
  <r>
    <s v="S0381001E007"/>
    <s v="SD"/>
    <s v="Operasi Bilangan Pecahan"/>
    <s v="https://drive.google.com/open?id=1bA3Gqb1a_qirf40uhy8VgNiE8nnN1mTV"/>
    <s v="S0381001E007"/>
    <d v="2021-08-09T00:00:00"/>
    <x v="51"/>
    <n v="-680"/>
    <x v="89"/>
    <n v="0"/>
    <m/>
    <s v="Accepted"/>
    <x v="1"/>
    <s v="no"/>
    <n v="15000"/>
    <s v="paid"/>
  </r>
  <r>
    <s v="S0510091E009"/>
    <s v="SD"/>
    <s v="Operasi Bilangan Pecahan"/>
    <s v="https://drive.google.com/open?id=1-5BbfHVizqgu7mtBiGVRDtMZ7weoZeNT"/>
    <s v="S0510091E009"/>
    <d v="2021-08-09T00:00:00"/>
    <x v="51"/>
    <n v="-680"/>
    <x v="89"/>
    <n v="0"/>
    <m/>
    <s v="Accepted"/>
    <x v="1"/>
    <s v="no"/>
    <n v="15000"/>
    <s v="paid"/>
  </r>
  <r>
    <s v="S0510172E009"/>
    <s v="SD"/>
    <s v="Operasi Bilangan Pecahan"/>
    <s v="https://drive.google.com/open?id=1AsV3j2PRMV_ebcal4XGwkfM3qoMC9uqv"/>
    <s v="S0510172E009"/>
    <d v="2021-08-09T00:00:00"/>
    <x v="51"/>
    <n v="-680"/>
    <x v="89"/>
    <n v="0"/>
    <m/>
    <s v="Accepted"/>
    <x v="1"/>
    <s v="no"/>
    <n v="15000"/>
    <s v="paid"/>
  </r>
  <r>
    <s v="V0110403E001"/>
    <s v="SD"/>
    <s v="Operasi Bilangan Pecahan"/>
    <s v="https://drive.google.com/open?id=1FFnyr8kYJAbhweLSSRDXYG6Rh0chr0I5"/>
    <s v="V0110403E001"/>
    <d v="2021-08-09T00:00:00"/>
    <x v="51"/>
    <n v="-680"/>
    <x v="89"/>
    <n v="0"/>
    <m/>
    <s v="Accepted"/>
    <x v="1"/>
    <s v="no"/>
    <n v="15000"/>
    <s v="paid"/>
  </r>
  <r>
    <s v="V0080881P008"/>
    <s v="SD"/>
    <s v="KPK dan FPB"/>
    <s v="https://drive.google.com/open?id=1jADOiUSeadypDzSs7s3DJqK7nnCs6ruv"/>
    <s v="V0080881P008"/>
    <d v="2021-08-09T00:00:00"/>
    <x v="51"/>
    <n v="-680"/>
    <x v="90"/>
    <n v="0"/>
    <m/>
    <s v="Accepted"/>
    <x v="1"/>
    <s v="no"/>
    <n v="15000"/>
    <s v="paid"/>
  </r>
  <r>
    <s v="V0161351E001"/>
    <s v="SD"/>
    <s v="Operasi Bilangan Pecahan"/>
    <s v="https://drive.google.com/open?id=1in-U9uYeYBFBG0TYyz0mhoo3pgiHIzo_"/>
    <s v="V0161351E001"/>
    <d v="2021-08-09T00:00:00"/>
    <x v="51"/>
    <n v="-680"/>
    <x v="90"/>
    <n v="0"/>
    <m/>
    <s v="Accepted"/>
    <x v="1"/>
    <s v="no"/>
    <n v="15000"/>
    <s v="paid"/>
  </r>
  <r>
    <s v="V0150682E007"/>
    <s v="SD"/>
    <s v="Operasi Bilangan Pecahan"/>
    <s v="https://drive.google.com/open?id=1bM98p-C6Kb5fWWZRXB-YLKft8833ttsu"/>
    <s v="V0150682E007"/>
    <d v="2021-08-09T00:00:00"/>
    <x v="51"/>
    <n v="-680"/>
    <x v="90"/>
    <n v="0"/>
    <m/>
    <s v="Accepted"/>
    <x v="1"/>
    <s v="no"/>
    <n v="15000"/>
    <s v="paid"/>
  </r>
  <r>
    <s v="V0171691P004"/>
    <s v="SD"/>
    <s v="Operasi Bilangan Pecahan"/>
    <s v="https://drive.google.com/open?id=1c3f44Bc_Utu7HZ89dtUu6_8vTyW4js1x"/>
    <s v="V0171691P004"/>
    <d v="2021-08-09T00:00:00"/>
    <x v="51"/>
    <n v="-680"/>
    <x v="90"/>
    <n v="0"/>
    <m/>
    <s v="Accepted"/>
    <x v="1"/>
    <s v="no"/>
    <n v="15000"/>
    <s v="paid"/>
  </r>
  <r>
    <s v="V0080881P007"/>
    <s v="SD"/>
    <s v="Pecahan"/>
    <s v="https://drive.google.com/open?id=1aEbmwMWadu7hfXQPaTGC6aGA75OqFyX7"/>
    <s v="V0080881P007"/>
    <d v="2021-08-09T00:00:00"/>
    <x v="51"/>
    <n v="-680"/>
    <x v="90"/>
    <n v="0"/>
    <m/>
    <s v="Accepted"/>
    <x v="1"/>
    <s v="no"/>
    <n v="15000"/>
    <s v="paid"/>
  </r>
  <r>
    <s v="V0103771P007"/>
    <s v="SD"/>
    <s v="Pecahan"/>
    <s v="https://drive.google.com/open?id=18upoGWpuk6Dcib430zWPzj3etySgFehg"/>
    <s v="V0103771P007"/>
    <d v="2021-08-09T00:00:00"/>
    <x v="51"/>
    <n v="-680"/>
    <x v="90"/>
    <n v="0"/>
    <m/>
    <s v="Accepted"/>
    <x v="1"/>
    <s v="no"/>
    <n v="15000"/>
    <s v="paid"/>
  </r>
  <r>
    <s v="S0380852E002"/>
    <s v="SD"/>
    <s v="Pecahan"/>
    <s v="https://drive.google.com/open?id=1nKV9xxABQEkWBTz5RyKHQx9_iqSnoEFD"/>
    <s v="S0380852E002"/>
    <d v="2021-08-09T00:00:00"/>
    <x v="51"/>
    <n v="-680"/>
    <x v="91"/>
    <n v="0"/>
    <m/>
    <s v="Accepted"/>
    <x v="0"/>
    <s v="no"/>
    <n v="15000"/>
    <s v="paid"/>
  </r>
  <r>
    <s v="S0510401E002"/>
    <s v="SD"/>
    <s v="Operasi Bilangan Pecahan"/>
    <s v="https://drive.google.com/open?id=1dlf7Uoa1xOypZ5y8vvpd8IDYPWy4gZLy"/>
    <s v="S0510401E002"/>
    <d v="2021-08-09T00:00:00"/>
    <x v="51"/>
    <n v="-680"/>
    <x v="91"/>
    <n v="0"/>
    <m/>
    <s v="Accepted"/>
    <x v="0"/>
    <s v="no"/>
    <n v="15000"/>
    <s v="paid"/>
  </r>
  <r>
    <s v="S0510402E003"/>
    <s v="SD"/>
    <s v="Operasi Bilangan Pecahan"/>
    <s v="https://drive.google.com/open?id=1FxclMFvvDV8sp5P1_NjmdDc1bY5W69eT"/>
    <s v="S0510402E003"/>
    <d v="2021-08-09T00:00:00"/>
    <x v="51"/>
    <n v="-680"/>
    <x v="91"/>
    <n v="0"/>
    <m/>
    <s v="Accepted"/>
    <x v="0"/>
    <s v="no"/>
    <n v="15000"/>
    <s v="paid"/>
  </r>
  <r>
    <s v="S0510402E004"/>
    <s v="SD"/>
    <s v="Operasi Bilangan Pecahan"/>
    <s v="https://drive.google.com/open?id=1Aj-fLqmLNZReJ_op5Nl-YSOJsYeyXwke"/>
    <s v="S0510402E004"/>
    <d v="2021-08-09T00:00:00"/>
    <x v="51"/>
    <n v="-680"/>
    <x v="91"/>
    <n v="0"/>
    <m/>
    <s v="Accepted"/>
    <x v="0"/>
    <s v="no"/>
    <n v="15000"/>
    <s v="paid"/>
  </r>
  <r>
    <s v="V0170801P014"/>
    <s v="SD"/>
    <s v="KPK dan FPB"/>
    <s v="https://drive.google.com/open?id=12GSiF4M0ZJKuCehyMpDl6N0742mpRUnp"/>
    <s v="V0170801P014"/>
    <d v="2021-08-09T00:00:00"/>
    <x v="51"/>
    <n v="-680"/>
    <x v="91"/>
    <n v="0"/>
    <m/>
    <s v="Accepted"/>
    <x v="1"/>
    <s v="no"/>
    <n v="15000"/>
    <s v="paid"/>
  </r>
  <r>
    <s v="V0181393E004"/>
    <s v="SD"/>
    <s v="Operasi Bilangan Pecahan"/>
    <s v="https://drive.google.com/open?id=1v7InS4rHgasAu3a9YIs6qV7PFDWN68C_"/>
    <s v="V0181393E004"/>
    <d v="2021-08-09T00:00:00"/>
    <x v="51"/>
    <n v="-680"/>
    <x v="91"/>
    <n v="0"/>
    <m/>
    <s v="Accepted"/>
    <x v="1"/>
    <s v="no"/>
    <n v="15000"/>
    <s v="paid"/>
  </r>
  <r>
    <s v="V0173641P007"/>
    <s v="SD"/>
    <s v="Operasi Bilangan Pecahan"/>
    <s v="https://drive.google.com/open?id=1XCVGH-5rP4adAXnNuGIemWUw5gND32Ys"/>
    <s v="V0173641P007"/>
    <d v="2021-08-09T00:00:00"/>
    <x v="51"/>
    <n v="-680"/>
    <x v="91"/>
    <n v="0"/>
    <m/>
    <s v="Accepted"/>
    <x v="1"/>
    <s v="no"/>
    <n v="15000"/>
    <s v="paid"/>
  </r>
  <r>
    <s v="V0181381P016"/>
    <s v="SD"/>
    <s v="Operasi Bilangan Pecahan"/>
    <s v="https://drive.google.com/open?id=1yRdxh6_YWX8dc8mrUsceFjQfdeyDKGzC"/>
    <s v="V0181381P016"/>
    <d v="2021-08-09T00:00:00"/>
    <x v="51"/>
    <n v="-680"/>
    <x v="91"/>
    <n v="0"/>
    <m/>
    <s v="Accepted"/>
    <x v="1"/>
    <s v="no"/>
    <n v="15000"/>
    <s v="paid"/>
  </r>
  <r>
    <s v="V0181451P003"/>
    <s v="SD"/>
    <s v="Operasi Bilangan Pecahan"/>
    <s v="https://drive.google.com/open?id=1zRhdW5Z9PHp2-7p5wtljuIcAQyt8831J"/>
    <s v="V0181451P003"/>
    <d v="2021-08-09T00:00:00"/>
    <x v="51"/>
    <n v="-680"/>
    <x v="91"/>
    <n v="0"/>
    <m/>
    <s v="Accepted"/>
    <x v="1"/>
    <s v="no"/>
    <n v="15000"/>
    <s v="paid"/>
  </r>
  <r>
    <s v="V0181461P009"/>
    <s v="SD"/>
    <s v="Operasi Bilangan Pecahan"/>
    <s v="https://drive.google.com/open?id=1i2PVn8g8PPyVrY88fq39VMgKnNplMXOj"/>
    <s v="V0181461P009"/>
    <d v="2021-08-09T00:00:00"/>
    <x v="51"/>
    <n v="-680"/>
    <x v="91"/>
    <n v="0"/>
    <m/>
    <s v="Accepted"/>
    <x v="1"/>
    <s v="no"/>
    <n v="15000"/>
    <s v="paid"/>
  </r>
  <r>
    <s v="V0181461P015"/>
    <s v="SD"/>
    <s v="Operasi Bilangan Pecahan"/>
    <s v="https://drive.google.com/open?id=1-iCV_QmPMB3_mF4z-wwxFwLNxwSm8kCa"/>
    <s v="V0181461P015"/>
    <d v="2021-08-09T00:00:00"/>
    <x v="51"/>
    <n v="-680"/>
    <x v="91"/>
    <n v="0"/>
    <m/>
    <s v="Accepted"/>
    <x v="1"/>
    <s v="no"/>
    <n v="15000"/>
    <s v="paid"/>
  </r>
  <r>
    <s v="S0510231E007"/>
    <s v="SD"/>
    <s v="Operasi Bilangan Pecahan"/>
    <s v="https://drive.google.com/open?id=1YdoyMifJZhNvLyr6mbdRHOCffAOrgq1m"/>
    <s v="S0510231E007"/>
    <d v="2021-08-09T00:00:00"/>
    <x v="51"/>
    <n v="-680"/>
    <x v="92"/>
    <n v="0"/>
    <m/>
    <s v="Accepted"/>
    <x v="1"/>
    <s v="yes"/>
    <n v="18000"/>
    <s v="paid"/>
  </r>
  <r>
    <s v="S0510321E008"/>
    <s v="SD"/>
    <s v="Operasi Bilangan Pecahan"/>
    <s v="https://drive.google.com/open?id=1p449UFbf7jLYq5ObMPqUNUJatv5y_J3k"/>
    <s v="S0510321E008"/>
    <d v="2021-08-09T00:00:00"/>
    <x v="51"/>
    <n v="-680"/>
    <x v="92"/>
    <n v="0"/>
    <m/>
    <s v="Accepted"/>
    <x v="1"/>
    <s v="no"/>
    <n v="15000"/>
    <s v="paid"/>
  </r>
  <r>
    <s v="S0422281E001"/>
    <s v="SD"/>
    <s v="Bangun Ruang"/>
    <s v="https://drive.google.com/open?id=1phyzK9G_-SP8Of2oj11kN_HxYpvHrsU9"/>
    <s v="S0422281E001"/>
    <d v="2021-08-09T00:00:00"/>
    <x v="51"/>
    <n v="-680"/>
    <x v="92"/>
    <n v="0"/>
    <m/>
    <s v="Accepted"/>
    <x v="1"/>
    <s v="no"/>
    <n v="15000"/>
    <s v="paid"/>
  </r>
  <r>
    <s v="V0140212E010"/>
    <s v="SD"/>
    <s v="Operasi Bilangan Pecahan"/>
    <s v="https://drive.google.com/open?id=1q8Pqio1tc-U2GlCAT1KuC8huVqPvzkGX"/>
    <s v="V0140212E010"/>
    <d v="2021-08-09T00:00:00"/>
    <x v="51"/>
    <n v="-680"/>
    <x v="92"/>
    <n v="0"/>
    <m/>
    <s v="Accepted"/>
    <x v="1"/>
    <s v="no"/>
    <n v="15000"/>
    <s v="paid"/>
  </r>
  <r>
    <s v="S0291611E004"/>
    <s v="SD"/>
    <s v="Operasi Bilangan Pecahan"/>
    <s v="https://drive.google.com/open?id=1HYKqzol-kqAw0HZPtnuWpgo0fgJtGksD"/>
    <s v="S0291611E004"/>
    <d v="2021-08-16T00:00:00"/>
    <x v="52"/>
    <n v="-673"/>
    <x v="93"/>
    <n v="0"/>
    <m/>
    <s v="Accepted"/>
    <x v="1"/>
    <s v="no"/>
    <n v="15000"/>
    <s v="paid"/>
  </r>
  <r>
    <s v="V0140152E006"/>
    <s v="SD"/>
    <s v="Operasi Bilangan Pecahan"/>
    <s v="https://drive.google.com/open?id=15dv0gxM2qz2Pd1UqXguUq3ssh8gGavL3"/>
    <s v="V0140152E006"/>
    <d v="2021-08-16T00:00:00"/>
    <x v="52"/>
    <n v="-673"/>
    <x v="94"/>
    <n v="0"/>
    <m/>
    <s v="Accepted"/>
    <x v="1"/>
    <s v="no"/>
    <n v="15000"/>
    <s v="paid"/>
  </r>
  <r>
    <s v="S0150712E002"/>
    <s v="SD"/>
    <s v="Bangun Ruang Sisi Lengkung"/>
    <s v="https://drive.google.com/open?id=1HJw9QW3kYGf3RHKwbFa0gVmpFXfGP7sc"/>
    <s v="S0150712E002"/>
    <d v="2021-08-16T00:00:00"/>
    <x v="52"/>
    <n v="-673"/>
    <x v="94"/>
    <n v="0"/>
    <m/>
    <s v="Accepted"/>
    <x v="1"/>
    <s v="no"/>
    <n v="15000"/>
    <s v="paid"/>
  </r>
  <r>
    <s v="S0300981E006"/>
    <s v="SD"/>
    <s v="Operasi Bilangan Pecahan"/>
    <s v="https://drive.google.com/open?id=1aRaaAzTTZrua3YQ4CONIbb-G7uAACIA7"/>
    <s v="S0300981E006"/>
    <d v="2021-08-16T00:00:00"/>
    <x v="52"/>
    <n v="-673"/>
    <x v="94"/>
    <n v="0"/>
    <m/>
    <s v="Accepted"/>
    <x v="0"/>
    <s v="no"/>
    <n v="15000"/>
    <s v="paid"/>
  </r>
  <r>
    <s v="S0130721E005"/>
    <s v="SD"/>
    <s v="KPK dan FPB"/>
    <s v="https://drive.google.com/open?id=1sOuzd55fEEsCxUhMELb3331qwI0HQ8hY"/>
    <s v="S0130721E005"/>
    <d v="2021-08-16T00:00:00"/>
    <x v="52"/>
    <n v="-673"/>
    <x v="94"/>
    <n v="0"/>
    <m/>
    <s v="Accepted"/>
    <x v="0"/>
    <s v="yes"/>
    <n v="18000"/>
    <s v="paid"/>
  </r>
  <r>
    <s v="S0292074E001"/>
    <s v="SD"/>
    <s v="Operasi Bilangan Pecahan"/>
    <s v="https://drive.google.com/open?id=1gUEiQqTSf2aTllMjVEpYdJYyJYkdjXZS"/>
    <s v="S0292074E001"/>
    <d v="2021-08-16T00:00:00"/>
    <x v="52"/>
    <n v="-673"/>
    <x v="94"/>
    <n v="679"/>
    <s v="Corr"/>
    <s v="Rejected"/>
    <x v="0"/>
    <s v="no"/>
    <n v="0"/>
    <s v="not yet"/>
  </r>
  <r>
    <s v="V0140101P011"/>
    <s v="SD"/>
    <s v="Operasi Bilangan Pecahan"/>
    <s v="https://drive.google.com/open?id=1QN7x2kDVnt_wfoEAIx94MEe8eBXvIFPU"/>
    <s v="V0140101P011"/>
    <d v="2021-08-16T00:00:00"/>
    <x v="52"/>
    <n v="-673"/>
    <x v="94"/>
    <n v="0"/>
    <m/>
    <s v="Accepted"/>
    <x v="1"/>
    <s v="no"/>
    <n v="15000"/>
    <s v="paid"/>
  </r>
  <r>
    <s v="S0400812E001"/>
    <s v="SD"/>
    <s v="Bangun Ruang"/>
    <s v="https://drive.google.com/open?id=1xdiMK7-SOilHIufAhh5ixVjY3KOqEaBl"/>
    <s v="S0400812E001"/>
    <d v="2021-08-09T00:00:00"/>
    <x v="51"/>
    <n v="-680"/>
    <x v="95"/>
    <n v="0"/>
    <m/>
    <s v="Accepted"/>
    <x v="0"/>
    <s v="yes"/>
    <n v="18000"/>
    <s v="paid"/>
  </r>
  <r>
    <s v="V0140151P020"/>
    <s v="SD"/>
    <s v="Operasi Bilangan Pecahan"/>
    <s v="https://drive.google.com/open?id=1QETRIs6uREc4DkT602Z66OGxJ6PntZLq"/>
    <s v="V0140151P020"/>
    <d v="2021-08-16T00:00:00"/>
    <x v="52"/>
    <n v="-673"/>
    <x v="95"/>
    <n v="0"/>
    <m/>
    <s v="Accepted"/>
    <x v="1"/>
    <s v="no"/>
    <n v="15000"/>
    <s v="paid"/>
  </r>
  <r>
    <s v="S0571811E004"/>
    <s v="SD"/>
    <s v="Bangun Ruang Sisi Lengkung"/>
    <s v="https://drive.google.com/open?id=1O58sHQzS_a-qW5F84wkdoGEF0AkzJSNS"/>
    <s v="S0571811E004"/>
    <d v="2021-08-16T00:00:00"/>
    <x v="52"/>
    <n v="-673"/>
    <x v="95"/>
    <n v="679"/>
    <s v="Inquiry"/>
    <s v="Rejected"/>
    <x v="0"/>
    <s v="no"/>
    <n v="0"/>
    <s v="not yet"/>
  </r>
  <r>
    <s v="V0170811P022"/>
    <s v="SD"/>
    <s v="Kecepatan Dan Debit"/>
    <s v="https://drive.google.com/open?id=1oLXenkPUhAfcipaS0YJx6xJWdRBCMf_G"/>
    <s v="V0170811P022"/>
    <d v="2021-08-16T00:00:00"/>
    <x v="52"/>
    <n v="-673"/>
    <x v="95"/>
    <n v="0"/>
    <m/>
    <s v="Accepted"/>
    <x v="1"/>
    <s v="yes"/>
    <n v="18000"/>
    <s v="paid"/>
  </r>
  <r>
    <s v="V0161401P003"/>
    <s v="SD"/>
    <s v="Operasi Bilangan Pecahan"/>
    <s v="https://drive.google.com/open?id=1H5P7JSh1eXz6fCzjUaW4dx0-H1vGZkiT"/>
    <s v="V0161401P003"/>
    <d v="2021-08-16T00:00:00"/>
    <x v="52"/>
    <n v="-673"/>
    <x v="95"/>
    <n v="0"/>
    <m/>
    <s v="Accepted"/>
    <x v="1"/>
    <s v="yes"/>
    <n v="18000"/>
    <s v="paid"/>
  </r>
  <r>
    <s v="V0170791P007"/>
    <s v="SD"/>
    <s v="Operasi Bilangan Pecahan"/>
    <s v="https://drive.google.com/open?id=1sx0lXdXqJTQIwKEdNmeVvdwGvKwA5ti0"/>
    <s v="V0170791P007"/>
    <d v="2021-08-16T00:00:00"/>
    <x v="52"/>
    <n v="-673"/>
    <x v="95"/>
    <n v="0"/>
    <m/>
    <s v="Accepted"/>
    <x v="1"/>
    <s v="yes"/>
    <n v="18000"/>
    <s v="paid"/>
  </r>
  <r>
    <s v="V0172681P007"/>
    <s v="SD"/>
    <s v="Operasi Bilangan Pecahan"/>
    <s v="https://drive.google.com/open?id=11tijT6boW2B4KC0-uq44Zs4b8hppAWp7"/>
    <s v="V0172681P007"/>
    <d v="2021-08-16T00:00:00"/>
    <x v="52"/>
    <n v="-673"/>
    <x v="95"/>
    <n v="0"/>
    <m/>
    <s v="Accepted"/>
    <x v="1"/>
    <s v="no"/>
    <n v="15000"/>
    <s v="paid"/>
  </r>
  <r>
    <s v="V0161191E001"/>
    <s v="SD"/>
    <s v="Bilangan Bulat"/>
    <s v="https://drive.google.com/open?id=1mKgrDat1yt1azye1AkamOWqGENkn0SGL"/>
    <s v="V0161191E001"/>
    <d v="2021-08-16T00:00:00"/>
    <x v="52"/>
    <n v="-673"/>
    <x v="95"/>
    <n v="0"/>
    <m/>
    <s v="Accepted"/>
    <x v="0"/>
    <s v="no"/>
    <n v="15000"/>
    <s v="paid"/>
  </r>
  <r>
    <s v="S0090331E006"/>
    <s v="SD"/>
    <s v="Pecahan"/>
    <s v="https://drive.google.com/open?id=1hwWQNMKtyrMNO3xpETLygpiN0q2LJMv8"/>
    <s v="S0090331E006"/>
    <d v="2021-08-16T00:00:00"/>
    <x v="52"/>
    <n v="-673"/>
    <x v="95"/>
    <n v="0"/>
    <m/>
    <s v="Accepted"/>
    <x v="1"/>
    <s v="no"/>
    <n v="15000"/>
    <s v="paid"/>
  </r>
  <r>
    <s v="S0090352E004"/>
    <s v="SD"/>
    <s v="Pecahan"/>
    <s v="https://drive.google.com/open?id=1hNxkeRN3RDT-LAHpvBK2iyQpmPDQMs5z"/>
    <s v="S0090352E004"/>
    <d v="2021-08-16T00:00:00"/>
    <x v="52"/>
    <n v="-673"/>
    <x v="95"/>
    <n v="0"/>
    <m/>
    <s v="Accepted"/>
    <x v="1"/>
    <s v="no"/>
    <n v="15000"/>
    <s v="paid"/>
  </r>
  <r>
    <s v="S0090352E009"/>
    <s v="SD"/>
    <s v="Pecahan"/>
    <s v="https://drive.google.com/open?id=1hDpU9Y4JCTGn89H-SdsbBDi1Z9iFtjVg"/>
    <s v="S0090352E009"/>
    <d v="2021-08-16T00:00:00"/>
    <x v="52"/>
    <n v="-673"/>
    <x v="95"/>
    <n v="0"/>
    <m/>
    <s v="Accepted"/>
    <x v="1"/>
    <s v="no"/>
    <n v="15000"/>
    <s v="paid"/>
  </r>
  <r>
    <s v="S0090352E005"/>
    <s v="SD"/>
    <s v="Pecahan"/>
    <s v="https://drive.google.com/open?id=1GCA_q9bSD3pkAZ9LGJZrNsvwYEjqpAyw"/>
    <s v="S0090352E005"/>
    <d v="2021-08-16T00:00:00"/>
    <x v="52"/>
    <n v="-673"/>
    <x v="95"/>
    <n v="0"/>
    <m/>
    <s v="Accepted"/>
    <x v="1"/>
    <s v="no"/>
    <n v="15000"/>
    <s v="paid"/>
  </r>
  <r>
    <s v="S0160093b002"/>
    <s v="SD"/>
    <s v="Pecahan"/>
    <s v="https://drive.google.com/open?id=1G-Qkr0NBrVeAkVXmmwlZnCWzRs3odQbU"/>
    <s v="S0160093b002"/>
    <d v="2021-08-16T00:00:00"/>
    <x v="52"/>
    <n v="-673"/>
    <x v="95"/>
    <n v="0"/>
    <m/>
    <s v="Accepted"/>
    <x v="1"/>
    <s v="no"/>
    <n v="15000"/>
    <s v="paid"/>
  </r>
  <r>
    <s v="S0160242E002"/>
    <s v="SD"/>
    <s v="Pecahan"/>
    <s v="https://drive.google.com/open?id=1fIlabevn2m6utZjwPZNYlSLeoDuh0KQD"/>
    <s v="S0160242E002"/>
    <d v="2021-08-16T00:00:00"/>
    <x v="52"/>
    <n v="-673"/>
    <x v="95"/>
    <n v="0"/>
    <m/>
    <s v="Accepted"/>
    <x v="1"/>
    <s v="no"/>
    <n v="15000"/>
    <s v="paid"/>
  </r>
  <r>
    <s v="V0080931P005"/>
    <s v="SD"/>
    <s v="Operasi Bilangan Pecahan"/>
    <s v="https://drive.google.com/open?id=1wvm8XlJHRdv3y2UuecAAJQvalbcXhGX3"/>
    <s v="V0080931P005"/>
    <d v="2021-08-16T00:00:00"/>
    <x v="52"/>
    <n v="-673"/>
    <x v="96"/>
    <n v="0"/>
    <m/>
    <s v="Accepted"/>
    <x v="1"/>
    <s v="no"/>
    <n v="15000"/>
    <s v="paid"/>
  </r>
  <r>
    <s v="S0291463E001"/>
    <s v="SD"/>
    <s v="Operasi Bilangan Pecahan"/>
    <s v="https://drive.google.com/open?id=1PsFjOpdZgxQtyvT1C612BJULK4rKNEKH"/>
    <s v="S0291463E001"/>
    <d v="2021-08-16T00:00:00"/>
    <x v="52"/>
    <n v="-673"/>
    <x v="96"/>
    <n v="679"/>
    <s v="Inquiry"/>
    <s v="Rejected"/>
    <x v="0"/>
    <s v="no"/>
    <n v="0"/>
    <s v="not yet"/>
  </r>
  <r>
    <s v="S0210172E001"/>
    <s v="SD"/>
    <s v="Operasi Hitung Bilangan"/>
    <s v="https://drive.google.com/open?id=1i-EqD5frKZcI3rdtaDXzk0z4dRGvHdz6"/>
    <s v="S0210172E001"/>
    <d v="2021-08-16T00:00:00"/>
    <x v="52"/>
    <n v="-673"/>
    <x v="96"/>
    <n v="0"/>
    <m/>
    <s v="Accepted"/>
    <x v="1"/>
    <s v="no"/>
    <n v="15000"/>
    <s v="paid"/>
  </r>
  <r>
    <s v="S0191261E001"/>
    <s v="SD"/>
    <s v="Pecahan"/>
    <s v="https://drive.google.com/open?id=1HWjfVcL37ZZwV3JZn2qV28tc1PSSViao"/>
    <s v="S0191261E001"/>
    <d v="2021-08-16T00:00:00"/>
    <x v="52"/>
    <n v="-673"/>
    <x v="96"/>
    <n v="0"/>
    <m/>
    <s v="Accepted"/>
    <x v="1"/>
    <s v="no"/>
    <n v="15000"/>
    <s v="paid"/>
  </r>
  <r>
    <s v="S0451541E005"/>
    <s v="SD"/>
    <s v="Pecahan"/>
    <s v="https://drive.google.com/open?id=1HtrTevlnxbl7b7JW-x3zmdoUuVjr63Im"/>
    <s v="S0451541E005"/>
    <d v="2021-08-16T00:00:00"/>
    <x v="52"/>
    <n v="-673"/>
    <x v="96"/>
    <n v="0"/>
    <m/>
    <s v="Accepted"/>
    <x v="1"/>
    <s v="no"/>
    <n v="15000"/>
    <s v="paid"/>
  </r>
  <r>
    <s v="S0331461E001"/>
    <s v="SD"/>
    <s v="Pecahan"/>
    <s v="https://drive.google.com/open?id=1hSkpyHtxAE7FqHouaEHRMcTiG3RRYGuo"/>
    <s v="S0331461E001"/>
    <d v="2021-08-16T00:00:00"/>
    <x v="52"/>
    <n v="-673"/>
    <x v="96"/>
    <n v="0"/>
    <m/>
    <s v="Accepted"/>
    <x v="1"/>
    <s v="no"/>
    <n v="15000"/>
    <s v="paid"/>
  </r>
  <r>
    <s v="S0251412E001"/>
    <s v="SD"/>
    <s v="Pecahan"/>
    <s v="https://drive.google.com/open?id=1HOVdOMmu3cx5sJQpbj25fnhu636hz65j"/>
    <s v="S0251412E001"/>
    <d v="2021-08-16T00:00:00"/>
    <x v="52"/>
    <n v="-673"/>
    <x v="96"/>
    <n v="0"/>
    <m/>
    <s v="Accepted"/>
    <x v="1"/>
    <s v="no"/>
    <n v="15000"/>
    <s v="paid"/>
  </r>
  <r>
    <s v="S0160243E001"/>
    <s v="SD"/>
    <s v="Pecahan"/>
    <s v="https://drive.google.com/open?id=1hMu9wcSyzWXpeMkho8xRe-sGi72YwXdB"/>
    <s v="S0160243E001"/>
    <d v="2021-08-16T00:00:00"/>
    <x v="52"/>
    <n v="-673"/>
    <x v="96"/>
    <n v="0"/>
    <m/>
    <s v="Accepted"/>
    <x v="1"/>
    <s v="no"/>
    <n v="15000"/>
    <s v="paid"/>
  </r>
  <r>
    <s v="S0341452E005"/>
    <s v="SD"/>
    <s v="Pecahan"/>
    <s v="https://drive.google.com/open?id=1HktoW9P_TMl0p-W3S3lUrlBhX_LRUCct"/>
    <s v="S0341452E005"/>
    <d v="2021-08-16T00:00:00"/>
    <x v="52"/>
    <n v="-673"/>
    <x v="96"/>
    <n v="0"/>
    <m/>
    <s v="Accepted"/>
    <x v="1"/>
    <s v="no"/>
    <n v="15000"/>
    <s v="paid"/>
  </r>
  <r>
    <s v="S0160142b002"/>
    <s v="SD"/>
    <s v="Pecahan"/>
    <s v="https://drive.google.com/open?id=1h82_25ObvCLeOJ-z_BJhiRYb2KoGV7cq"/>
    <s v="S0160142b002"/>
    <d v="2021-08-16T00:00:00"/>
    <x v="52"/>
    <n v="-673"/>
    <x v="96"/>
    <n v="0"/>
    <m/>
    <s v="Accepted"/>
    <x v="1"/>
    <s v="yes"/>
    <n v="18000"/>
    <s v="paid"/>
  </r>
  <r>
    <s v="S0351411E001"/>
    <s v="SD"/>
    <s v="Pecahan"/>
    <s v="https://drive.google.com/open?id=1GZYCL72fQXMLWRL9fjqYNdyiKCO7-GVF"/>
    <s v="S0351411E001"/>
    <d v="2021-08-16T00:00:00"/>
    <x v="52"/>
    <n v="-673"/>
    <x v="96"/>
    <n v="0"/>
    <m/>
    <s v="Accepted"/>
    <x v="1"/>
    <s v="no"/>
    <n v="15000"/>
    <s v="paid"/>
  </r>
  <r>
    <s v="S0451501E002"/>
    <s v="SD"/>
    <s v="Pecahan"/>
    <s v="https://drive.google.com/open?id=1GrZMpeEmRTC81b2dY6xU8bswX3rrdnEY"/>
    <s v="S0451501E002"/>
    <d v="2021-08-16T00:00:00"/>
    <x v="52"/>
    <n v="-673"/>
    <x v="96"/>
    <n v="0"/>
    <m/>
    <s v="Accepted"/>
    <x v="1"/>
    <s v="no"/>
    <n v="15000"/>
    <s v="paid"/>
  </r>
  <r>
    <s v="S0331461E003"/>
    <s v="SD"/>
    <s v="Pecahan"/>
    <s v="https://drive.google.com/open?id=1GpqMfiu1wmuPfetsz1U0xduCxJBv_TEV"/>
    <s v="S0331461E003"/>
    <d v="2021-08-16T00:00:00"/>
    <x v="52"/>
    <n v="-673"/>
    <x v="96"/>
    <n v="0"/>
    <m/>
    <s v="Accepted"/>
    <x v="1"/>
    <s v="no"/>
    <n v="15000"/>
    <s v="paid"/>
  </r>
  <r>
    <s v="S0191231E001"/>
    <s v="SD"/>
    <s v="Pecahan"/>
    <s v="https://drive.google.com/open?id=1gmlqmNCOljS6hbokqMrQ0wiTsmCNmyNF"/>
    <s v="S0191231E001"/>
    <d v="2021-08-16T00:00:00"/>
    <x v="52"/>
    <n v="-673"/>
    <x v="96"/>
    <n v="0"/>
    <m/>
    <s v="Accepted"/>
    <x v="1"/>
    <s v="no"/>
    <n v="15000"/>
    <s v="paid"/>
  </r>
  <r>
    <s v="S0210082E003"/>
    <s v="SD"/>
    <s v="Operasi Hitung Bilangan"/>
    <s v="https://drive.google.com/open?id=1gjGNjdidRDYFxL-4NkMerFw8EbNpBwuX"/>
    <s v="S0210082E003"/>
    <d v="2021-08-16T00:00:00"/>
    <x v="52"/>
    <n v="-673"/>
    <x v="96"/>
    <n v="0"/>
    <m/>
    <s v="Accepted"/>
    <x v="1"/>
    <s v="no"/>
    <n v="15000"/>
    <s v="paid"/>
  </r>
  <r>
    <s v="S0451551E001"/>
    <s v="SD"/>
    <s v="Pecahan"/>
    <s v="https://drive.google.com/open?id=1FYbGseI3Y_4XCQ8gRsB_41g3yW4RjM4v"/>
    <s v="S0451551E001"/>
    <d v="2021-08-16T00:00:00"/>
    <x v="52"/>
    <n v="-673"/>
    <x v="96"/>
    <n v="0"/>
    <m/>
    <s v="Accepted"/>
    <x v="1"/>
    <s v="no"/>
    <n v="15000"/>
    <s v="paid"/>
  </r>
  <r>
    <s v="S0341362E001"/>
    <s v="SD"/>
    <s v="Pecahan"/>
    <s v="https://drive.google.com/open?id=1fXUFyWxvkkQe48FUcChQdXZjo2j-OjjV"/>
    <s v="S0341362E001"/>
    <d v="2021-08-16T00:00:00"/>
    <x v="52"/>
    <n v="-673"/>
    <x v="96"/>
    <n v="0"/>
    <m/>
    <s v="Accepted"/>
    <x v="1"/>
    <s v="no"/>
    <n v="15000"/>
    <s v="paid"/>
  </r>
  <r>
    <s v="S0210081E005"/>
    <s v="SD"/>
    <s v="Operasi Hitung Bilangan"/>
    <s v="https://drive.google.com/open?id=1fuSiG2-PcpZL-S6Pve2QKKl_VEA4-cnI"/>
    <s v="S0210081E005"/>
    <d v="2021-08-16T00:00:00"/>
    <x v="52"/>
    <n v="-673"/>
    <x v="96"/>
    <n v="0"/>
    <m/>
    <s v="Accepted"/>
    <x v="1"/>
    <s v="no"/>
    <n v="15000"/>
    <s v="paid"/>
  </r>
  <r>
    <s v="S0191222E001"/>
    <s v="SD"/>
    <s v="Pecahan"/>
    <s v="https://drive.google.com/open?id=1fuqbNuHa0gVWE7YDINkRDSEJGn-f_7UE"/>
    <s v="S0191222E001"/>
    <d v="2021-08-16T00:00:00"/>
    <x v="52"/>
    <n v="-673"/>
    <x v="96"/>
    <n v="0"/>
    <m/>
    <s v="Accepted"/>
    <x v="1"/>
    <s v="no"/>
    <n v="15000"/>
    <s v="paid"/>
  </r>
  <r>
    <s v="S0341313E001"/>
    <s v="SD"/>
    <s v="Pecahan"/>
    <s v="https://drive.google.com/open?id=1Frzr26usyolgnTn6qXuesJ_RyTEuWANm"/>
    <s v="S0341313E001"/>
    <d v="2021-08-16T00:00:00"/>
    <x v="52"/>
    <n v="-673"/>
    <x v="96"/>
    <n v="0"/>
    <m/>
    <s v="Accepted"/>
    <x v="1"/>
    <s v="no"/>
    <n v="15000"/>
    <s v="paid"/>
  </r>
  <r>
    <s v="S0351342E003"/>
    <s v="SD"/>
    <s v="Pecahan"/>
    <s v="https://drive.google.com/open?id=1fPm182FKygrFPe12AMCMuWCMgb1AiRQ3"/>
    <s v="S0351342E003"/>
    <d v="2021-08-16T00:00:00"/>
    <x v="52"/>
    <n v="-673"/>
    <x v="96"/>
    <n v="0"/>
    <m/>
    <s v="Accepted"/>
    <x v="1"/>
    <s v="no"/>
    <n v="15000"/>
    <s v="paid"/>
  </r>
  <r>
    <s v="S0251361a002"/>
    <s v="SD"/>
    <s v="Pecahan"/>
    <s v="https://drive.google.com/open?id=1FMf85mKfcO4pQSd_jZt4VoX8GjFA0OU_"/>
    <s v="S0251361a002"/>
    <d v="2021-08-16T00:00:00"/>
    <x v="52"/>
    <n v="-673"/>
    <x v="96"/>
    <n v="0"/>
    <m/>
    <s v="Accepted"/>
    <x v="1"/>
    <s v="no"/>
    <n v="15000"/>
    <s v="paid"/>
  </r>
  <r>
    <s v="S0341281E001"/>
    <s v="SD"/>
    <s v="Pecahan"/>
    <s v="https://drive.google.com/open?id=1HP2gSTBQoMt5yf0mQqgfTiCkzYsqTrBD"/>
    <s v="S0341281E001"/>
    <d v="2021-08-16T00:00:00"/>
    <x v="53"/>
    <n v="-662"/>
    <x v="96"/>
    <n v="679"/>
    <s v="Corr"/>
    <s v="Rejected"/>
    <x v="0"/>
    <s v="no"/>
    <n v="0"/>
    <s v="not yet"/>
  </r>
  <r>
    <s v="S0351372E001"/>
    <s v="SD"/>
    <s v="Pecahan"/>
    <s v="https://drive.google.com/open?id=1hTUGt7t-HEYVWILtKqClMNibpUCXmOSE"/>
    <s v="S0351372E001"/>
    <d v="2021-08-16T00:00:00"/>
    <x v="52"/>
    <n v="-673"/>
    <x v="97"/>
    <n v="0"/>
    <m/>
    <s v="Accepted"/>
    <x v="1"/>
    <s v="no"/>
    <n v="15000"/>
    <s v="paid"/>
  </r>
  <r>
    <s v="S0451561E001"/>
    <s v="SD"/>
    <s v="Pecahan"/>
    <s v="https://drive.google.com/open?id=1Ht8_yhQ7G4TcItTlyfJiljlxdxVYnq39"/>
    <s v="S0451561E001"/>
    <d v="2021-08-16T00:00:00"/>
    <x v="52"/>
    <n v="-673"/>
    <x v="97"/>
    <n v="0"/>
    <m/>
    <s v="Accepted"/>
    <x v="1"/>
    <s v="yes"/>
    <n v="18000"/>
    <s v="paid"/>
  </r>
  <r>
    <s v="S0471871E002"/>
    <s v="SD"/>
    <s v="Pecahan"/>
    <s v="https://drive.google.com/open?id=1GlEreEbXIrCc4I8amqz95IWTYFInPF4G"/>
    <s v="S0471871E002"/>
    <d v="2021-08-16T00:00:00"/>
    <x v="52"/>
    <n v="-673"/>
    <x v="97"/>
    <n v="0"/>
    <m/>
    <s v="Accepted"/>
    <x v="1"/>
    <s v="no"/>
    <n v="15000"/>
    <s v="paid"/>
  </r>
  <r>
    <s v="S0341301a002"/>
    <s v="SD"/>
    <s v="Pecahan"/>
    <s v="https://drive.google.com/open?id=1GkdlkX24zjRkAFn1yMWo8BqpLttWJ0wJ"/>
    <s v="S0341301a002"/>
    <d v="2021-08-16T00:00:00"/>
    <x v="52"/>
    <n v="-673"/>
    <x v="97"/>
    <n v="0"/>
    <m/>
    <s v="Accepted"/>
    <x v="1"/>
    <s v="yes"/>
    <n v="18000"/>
    <s v="paid"/>
  </r>
  <r>
    <s v="S0471811E003"/>
    <s v="SD"/>
    <s v="Pecahan"/>
    <s v="https://drive.google.com/open?id=1GH0IbEnPadvLJDW0SjM9P3Ot_Qfbm0Kd"/>
    <s v="S0471811E003"/>
    <d v="2021-08-16T00:00:00"/>
    <x v="52"/>
    <n v="-673"/>
    <x v="97"/>
    <n v="0"/>
    <m/>
    <s v="Accepted"/>
    <x v="1"/>
    <s v="no"/>
    <n v="15000"/>
    <s v="paid"/>
  </r>
  <r>
    <s v="S0331411E003"/>
    <s v="SD"/>
    <s v="Pecahan"/>
    <s v="https://drive.google.com/open?id=1fOVMvwnkZVZ6QdcGo4s36lOA7rUQqsPk"/>
    <s v="S0331411E003"/>
    <d v="2021-08-16T00:00:00"/>
    <x v="52"/>
    <n v="-673"/>
    <x v="97"/>
    <n v="0"/>
    <m/>
    <s v="Accepted"/>
    <x v="1"/>
    <s v="no"/>
    <n v="15000"/>
    <s v="paid"/>
  </r>
  <r>
    <s v="S0470661E003"/>
    <s v="SD"/>
    <s v="Pecahan"/>
    <s v="https://drive.google.com/open?id=1fiMwoB4_HmItbD7QoVUMUMRcTmGnYM-T"/>
    <s v="S0470661E003"/>
    <d v="2021-08-16T00:00:00"/>
    <x v="52"/>
    <n v="-673"/>
    <x v="97"/>
    <n v="0"/>
    <m/>
    <s v="Accepted"/>
    <x v="1"/>
    <s v="yes"/>
    <n v="18000"/>
    <s v="paid"/>
  </r>
  <r>
    <s v="V0010301P014"/>
    <s v="SD"/>
    <s v="Bilangan Bulat"/>
    <s v="https://drive.google.com/open?id=1q1iv4BrcTX4y9tIvkEiCAPsvPrh9ChwB"/>
    <s v="V0010301P014"/>
    <d v="2021-08-23T00:00:00"/>
    <x v="53"/>
    <n v="-662"/>
    <x v="98"/>
    <n v="672"/>
    <s v="Corr"/>
    <s v="Rejected"/>
    <x v="0"/>
    <s v="no"/>
    <n v="0"/>
    <s v="not yet"/>
  </r>
  <r>
    <s v="S0351421E003"/>
    <s v="SD"/>
    <s v="Pecahan"/>
    <s v="https://drive.google.com/open?id=1l8YaYaH7BV5FQhvnYKlq5hjPEdwbg7rL"/>
    <s v="S0351421E003"/>
    <d v="2021-08-23T00:00:00"/>
    <x v="54"/>
    <n v="-669"/>
    <x v="99"/>
    <n v="672"/>
    <s v="Inquiry"/>
    <s v="Rejected"/>
    <x v="0"/>
    <s v="no"/>
    <n v="0"/>
    <s v="not yet"/>
  </r>
  <r>
    <s v="V0110543E011"/>
    <s v="SD"/>
    <s v="Kecepatan Dan Debit"/>
    <s v="https://drive.google.com/open?id=1oprZSK-cx_JZQrb14O03El8H158lZUC8"/>
    <s v="V0110543E011"/>
    <d v="2021-08-23T00:00:00"/>
    <x v="54"/>
    <n v="-669"/>
    <x v="100"/>
    <n v="0"/>
    <m/>
    <s v="Accepted"/>
    <x v="1"/>
    <s v="no"/>
    <n v="15000"/>
    <s v="paid"/>
  </r>
  <r>
    <s v="S0472051b002"/>
    <s v="SD"/>
    <s v="Operasi Bilangan Pecahan"/>
    <s v="https://drive.google.com/open?id=13MejtBfhKr6kEH_6vinAhUnEtE0MoEWN"/>
    <s v="S0472051b002"/>
    <d v="2021-08-23T00:00:00"/>
    <x v="54"/>
    <n v="-669"/>
    <x v="100"/>
    <n v="0"/>
    <m/>
    <s v="Accepted"/>
    <x v="1"/>
    <s v="no"/>
    <n v="15000"/>
    <s v="paid"/>
  </r>
  <r>
    <s v="V0070903E004"/>
    <s v="SD"/>
    <s v="Bangun Ruang"/>
    <s v="https://drive.google.com/open?id=1A3Qn4aXgIc1byYVOz5g2fjABzXRMB8Uk"/>
    <s v="V0070903E004"/>
    <d v="2021-08-23T00:00:00"/>
    <x v="54"/>
    <n v="-669"/>
    <x v="100"/>
    <n v="0"/>
    <m/>
    <s v="Accepted"/>
    <x v="1"/>
    <s v="no"/>
    <n v="15000"/>
    <s v="paid"/>
  </r>
  <r>
    <s v="S0010311c003"/>
    <s v="SD"/>
    <s v="Aproksimasi / Pembulatan"/>
    <s v="https://drive.google.com/open?id=1gHYgFbL6gnbj39tOTTuIpd0MJM3ILWUm"/>
    <s v="S0010311c003"/>
    <d v="2021-08-23T00:00:00"/>
    <x v="54"/>
    <n v="-669"/>
    <x v="100"/>
    <n v="0"/>
    <m/>
    <s v="Accepted"/>
    <x v="1"/>
    <s v="no"/>
    <n v="15000"/>
    <s v="paid"/>
  </r>
  <r>
    <s v="S0100391E001"/>
    <s v="SD"/>
    <s v="Aproksimasi / Pembulatan"/>
    <s v="https://drive.google.com/open?id=1E61t6Urg_FYcN6mbwkb43LqEbA1VlAA4"/>
    <s v="S0100391E001"/>
    <d v="2021-08-23T00:00:00"/>
    <x v="54"/>
    <n v="-669"/>
    <x v="100"/>
    <n v="0"/>
    <m/>
    <s v="Accepted"/>
    <x v="1"/>
    <s v="no"/>
    <n v="15000"/>
    <s v="paid"/>
  </r>
  <r>
    <s v="S0100521E007"/>
    <s v="SD"/>
    <s v="Aproksimasi / Pembulatan"/>
    <s v="https://drive.google.com/open?id=1TpofwhbFAZ_M1lBuxBeZepGmt01Er7GJ"/>
    <s v="S0100521E007"/>
    <d v="2021-08-23T00:00:00"/>
    <x v="54"/>
    <n v="-669"/>
    <x v="100"/>
    <n v="0"/>
    <m/>
    <s v="Accepted"/>
    <x v="1"/>
    <s v="no"/>
    <n v="15000"/>
    <s v="paid"/>
  </r>
  <r>
    <s v="S0130492E003"/>
    <s v="SD"/>
    <s v="Aproksimasi / Pembulatan"/>
    <s v="https://drive.google.com/open?id=1a0Ns-A86q2pTeGiGkjGJbyV2zHerkfOZ"/>
    <s v="S0130492E003"/>
    <d v="2021-08-23T00:00:00"/>
    <x v="54"/>
    <n v="-669"/>
    <x v="100"/>
    <n v="0"/>
    <m/>
    <s v="Accepted"/>
    <x v="1"/>
    <s v="no"/>
    <n v="15000"/>
    <s v="paid"/>
  </r>
  <r>
    <s v="S0340261E006"/>
    <s v="SD"/>
    <s v="Aproksimasi / Pembulatan"/>
    <s v="https://drive.google.com/open?id=1NWW9ClqSP7DAomV88snTL346HF56bYml"/>
    <s v="S0340261E006"/>
    <d v="2021-08-23T00:00:00"/>
    <x v="54"/>
    <n v="-669"/>
    <x v="100"/>
    <n v="0"/>
    <m/>
    <s v="Accepted"/>
    <x v="1"/>
    <s v="no"/>
    <n v="15000"/>
    <s v="paid"/>
  </r>
  <r>
    <s v="S0340262E002"/>
    <s v="SD"/>
    <s v="Aproksimasi / Pembulatan"/>
    <s v="https://drive.google.com/open?id=1klq7ZLwKI2mTvxx8XCHRInHSaSRYtXHL"/>
    <s v="S0340262E002"/>
    <d v="2021-08-23T00:00:00"/>
    <x v="54"/>
    <n v="-669"/>
    <x v="100"/>
    <n v="0"/>
    <m/>
    <s v="Accepted"/>
    <x v="1"/>
    <s v="no"/>
    <n v="15000"/>
    <s v="paid"/>
  </r>
  <r>
    <s v="S0350221E001"/>
    <s v="SD"/>
    <s v="Aproksimasi / Pembulatan"/>
    <s v="https://drive.google.com/open?id=12Tqkq3a70ZNQh3Nr7wSgEssrVGJIf3K6"/>
    <s v="S0350221E001"/>
    <d v="2021-08-23T00:00:00"/>
    <x v="54"/>
    <n v="-669"/>
    <x v="100"/>
    <n v="0"/>
    <m/>
    <s v="Accepted"/>
    <x v="1"/>
    <s v="no"/>
    <n v="15000"/>
    <s v="paid"/>
  </r>
  <r>
    <s v="S0350242E001"/>
    <s v="SD"/>
    <s v="Aproksimasi / Pembulatan"/>
    <s v="https://drive.google.com/open?id=1iATBCuwPCf-bdehwpJvTqiYdylG6oROJ"/>
    <s v="S0350242E001"/>
    <d v="2021-08-23T00:00:00"/>
    <x v="54"/>
    <n v="-669"/>
    <x v="100"/>
    <n v="0"/>
    <m/>
    <s v="Accepted"/>
    <x v="1"/>
    <s v="no"/>
    <n v="15000"/>
    <s v="paid"/>
  </r>
  <r>
    <s v="S0470451E019"/>
    <s v="SD"/>
    <s v="Aproksimasi / Pembulatan"/>
    <s v="https://drive.google.com/open?id=1YqD30yNBvlpEIYTS443b_H2CVEWjVQak"/>
    <s v="S0470451E019"/>
    <d v="2021-08-23T00:00:00"/>
    <x v="54"/>
    <n v="-669"/>
    <x v="100"/>
    <n v="0"/>
    <m/>
    <s v="Accepted"/>
    <x v="1"/>
    <s v="no"/>
    <n v="15000"/>
    <s v="paid"/>
  </r>
  <r>
    <s v="S0160742E005"/>
    <s v="SD"/>
    <s v="Aproksimasi / Pembulatan"/>
    <s v="https://drive.google.com/open?id=11kzxK0x1Rmjj-Vt9haz3UjTbcKGzyP35"/>
    <s v="S0160742E005"/>
    <d v="2021-08-23T00:00:00"/>
    <x v="54"/>
    <n v="-669"/>
    <x v="100"/>
    <n v="0"/>
    <m/>
    <s v="Accepted"/>
    <x v="1"/>
    <s v="no"/>
    <n v="15000"/>
    <s v="paid"/>
  </r>
  <r>
    <s v="S0160262e001"/>
    <s v="SD"/>
    <s v="Aproksimasi / Pembulatan"/>
    <s v="https://drive.google.com/open?id=19bvoFZXmPJrNKgV6ZUJaLALKlS8heDr6"/>
    <s v="S0160262e001"/>
    <d v="2021-08-23T00:00:00"/>
    <x v="54"/>
    <n v="-669"/>
    <x v="100"/>
    <n v="0"/>
    <m/>
    <s v="Accepted"/>
    <x v="1"/>
    <s v="no"/>
    <n v="15000"/>
    <s v="paid"/>
  </r>
  <r>
    <s v="S0450451E005"/>
    <s v="SD"/>
    <s v="Aproksimasi / Pembulatan"/>
    <s v="https://drive.google.com/open?id=1qtobMuwvS8kZdjRhh7Mk9Qk74M3oTtqt"/>
    <s v="S0450451E005"/>
    <d v="2021-08-23T00:00:00"/>
    <x v="54"/>
    <n v="-669"/>
    <x v="100"/>
    <n v="0"/>
    <m/>
    <s v="Accepted"/>
    <x v="1"/>
    <s v="no"/>
    <n v="15000"/>
    <s v="paid"/>
  </r>
  <r>
    <s v="S0351371E004"/>
    <s v="SD"/>
    <s v="Pecahan"/>
    <s v="https://drive.google.com/open?id=1gddrQvzfSuOsK9tH9VuA2YnpqJ_w36ZQ"/>
    <s v="S0351371E004"/>
    <d v="2021-08-23T00:00:00"/>
    <x v="53"/>
    <n v="-662"/>
    <x v="100"/>
    <n v="672"/>
    <s v="Corr"/>
    <s v="Rejected"/>
    <x v="0"/>
    <s v="no"/>
    <n v="0"/>
    <s v="not yet"/>
  </r>
  <r>
    <s v="S0510453E004"/>
    <s v="SD"/>
    <s v="Operasi Bilangan Pecahan"/>
    <s v="https://drive.google.com/open?id=1NFoSIiHC35nxMJHLyMGCXNXpPWGIvb7r"/>
    <s v="S0510453E004"/>
    <d v="2021-08-23T00:00:00"/>
    <x v="54"/>
    <n v="-669"/>
    <x v="101"/>
    <n v="672"/>
    <s v="AV + Corr"/>
    <s v="Rejected"/>
    <x v="0"/>
    <s v="no"/>
    <n v="0"/>
    <s v="not yet"/>
  </r>
  <r>
    <s v="V0140371P006"/>
    <s v="SD"/>
    <s v="Operasi Bilangan Pecahan"/>
    <s v="https://drive.google.com/open?id=1IwG7kzPrijDBrxfT6o0oFp02IvEzLpEF"/>
    <s v="V0140371P006"/>
    <d v="2021-08-23T00:00:00"/>
    <x v="50"/>
    <n v="-666"/>
    <x v="102"/>
    <n v="0"/>
    <m/>
    <s v="Accepted"/>
    <x v="0"/>
    <s v="no"/>
    <n v="15000"/>
    <s v="paid"/>
  </r>
  <r>
    <s v="S0341361d001"/>
    <s v="SD"/>
    <s v="Pecahan"/>
    <s v="https://drive.google.com/open?id=1Hg7qLMa7lp6KGCFA4lTXhNf2F3XP2XPs"/>
    <s v="S0341361d001"/>
    <d v="2021-08-23T00:00:00"/>
    <x v="50"/>
    <n v="-666"/>
    <x v="102"/>
    <n v="0"/>
    <m/>
    <s v="Accepted"/>
    <x v="0"/>
    <s v="no"/>
    <n v="15000"/>
    <s v="paid"/>
  </r>
  <r>
    <s v="S0191672E006"/>
    <s v="SD"/>
    <s v="Pecahan"/>
    <s v="https://drive.google.com/open?id=1gpPylm6QU2C6GTv63armqsLJbaNhfijC"/>
    <s v="S0191672E006"/>
    <d v="2021-08-23T00:00:00"/>
    <x v="50"/>
    <n v="-666"/>
    <x v="102"/>
    <n v="0"/>
    <m/>
    <s v="Accepted"/>
    <x v="0"/>
    <s v="no"/>
    <n v="15000"/>
    <s v="paid"/>
  </r>
  <r>
    <s v="S0571611E002"/>
    <s v="SD"/>
    <s v="Bangun Ruang Sisi Lengkung"/>
    <s v="https://drive.google.com/open?id=1ivWuY9zYfhTXjkPEFKiX72mswEWmmsTJ"/>
    <s v="S0571611E002"/>
    <d v="2021-08-23T00:00:00"/>
    <x v="54"/>
    <n v="-669"/>
    <x v="103"/>
    <n v="672"/>
    <s v="Corr"/>
    <s v="Rejected"/>
    <x v="0"/>
    <s v="no"/>
    <n v="0"/>
    <s v="not yet"/>
  </r>
  <r>
    <s v="V0110313E001"/>
    <s v="SD"/>
    <s v="Operasi Bilangan Pecahan"/>
    <s v="https://drive.google.com/open?id=1Q5JooVxzJp-omli5k8Mr1nJkxwaT2kEB"/>
    <s v="V0110313E001"/>
    <d v="2021-08-27T00:00:00"/>
    <x v="50"/>
    <n v="-666"/>
    <x v="103"/>
    <n v="0"/>
    <m/>
    <s v="Accepted"/>
    <x v="1"/>
    <s v="no"/>
    <n v="15000"/>
    <s v="paid"/>
  </r>
  <r>
    <s v="V0181482E005"/>
    <s v="SD"/>
    <s v="Operasi Bilangan Pecahan"/>
    <s v="https://drive.google.com/open?id=15yy6Ch6IIJi_5fVlpHPTdNiajdGlhMIe"/>
    <s v="V0181482E005"/>
    <d v="2021-08-27T00:00:00"/>
    <x v="50"/>
    <n v="-666"/>
    <x v="103"/>
    <n v="0"/>
    <m/>
    <s v="Accepted"/>
    <x v="1"/>
    <s v="no"/>
    <n v="15000"/>
    <s v="paid"/>
  </r>
  <r>
    <s v="S0472172E005"/>
    <s v="SD"/>
    <s v="Operasi Bilangan Pecahan"/>
    <s v="https://drive.google.com/open?id=1hE7aaPIuIZtgj9Mg3016a97LnCvh8YHX"/>
    <s v="S0472172E005"/>
    <d v="2021-08-27T00:00:00"/>
    <x v="50"/>
    <n v="-666"/>
    <x v="103"/>
    <n v="0"/>
    <m/>
    <s v="Accepted"/>
    <x v="1"/>
    <s v="no"/>
    <n v="15000"/>
    <s v="paid"/>
  </r>
  <r>
    <s v="S0210171E001"/>
    <s v="SD"/>
    <s v="Operasi Hitung Bilangan"/>
    <s v="https://drive.google.com/open?id=1QJCJLKg62nxDR0xAyaMbOiSiuP5mpAjm"/>
    <s v="S0210171E001"/>
    <d v="2021-08-27T00:00:00"/>
    <x v="50"/>
    <n v="-666"/>
    <x v="103"/>
    <n v="0"/>
    <m/>
    <s v="Accepted"/>
    <x v="1"/>
    <s v="no"/>
    <n v="15000"/>
    <s v="paid"/>
  </r>
  <r>
    <s v="S0290253E004"/>
    <s v="SD"/>
    <s v="Operasi Bilangan Pecahan"/>
    <s v="https://drive.google.com/open?id=168uQpPoRC_VVThbyZ9mwa7HlGz6jzKx6"/>
    <s v="S0290253E004"/>
    <d v="2021-08-23T00:00:00"/>
    <x v="53"/>
    <n v="-662"/>
    <x v="103"/>
    <n v="672"/>
    <s v="Corr"/>
    <s v="Rejected"/>
    <x v="0"/>
    <s v="no"/>
    <n v="0"/>
    <s v="not yet"/>
  </r>
  <r>
    <s v="V0172181P013"/>
    <s v="SD"/>
    <s v="Perpangkatan Dan Akar"/>
    <s v="https://drive.google.com/open?id=1wMz9vTnBfscj8k1zPBiBcHiA9mz-9Ia2"/>
    <s v="V0172181P013"/>
    <d v="2021-08-23T00:00:00"/>
    <x v="53"/>
    <n v="-662"/>
    <x v="103"/>
    <n v="672"/>
    <s v="Corr"/>
    <s v="Rejected"/>
    <x v="0"/>
    <s v="no"/>
    <n v="0"/>
    <s v="not yet"/>
  </r>
  <r>
    <s v="S0100552E005"/>
    <s v="SD"/>
    <s v="Aproksimasi / Pembulatan"/>
    <s v="https://drive.google.com/open?id=1LcoHc5bBIGEnubQ4v4FGPbwsuZ1DPIhV"/>
    <s v="S0100552E005"/>
    <d v="2021-08-30T00:00:00"/>
    <x v="53"/>
    <n v="-662"/>
    <x v="104"/>
    <n v="0"/>
    <m/>
    <s v="Accepted"/>
    <x v="1"/>
    <s v="no"/>
    <n v="15000"/>
    <s v="paid"/>
  </r>
  <r>
    <s v="T005G202P001"/>
    <s v="SD"/>
    <s v="Perpangkatan Dan Akar"/>
    <s v="https://drive.google.com/open?id=1ks7bPbLWEw4n8zf2-dEvoHBUZsPvGCMu"/>
    <s v="T005G202P001"/>
    <d v="2021-08-30T00:00:00"/>
    <x v="53"/>
    <n v="-662"/>
    <x v="104"/>
    <n v="0"/>
    <m/>
    <s v="Accepted"/>
    <x v="1"/>
    <s v="no"/>
    <n v="15000"/>
    <s v="paid"/>
  </r>
  <r>
    <s v="T005X601P001"/>
    <s v="SD"/>
    <s v="Bangun Ruang"/>
    <s v="https://drive.google.com/open?id=1WKou3on43OYe3mNUEbXf7gYBtrDpjstG"/>
    <s v="T005X601P001"/>
    <d v="2021-08-30T00:00:00"/>
    <x v="53"/>
    <n v="-662"/>
    <x v="104"/>
    <n v="0"/>
    <m/>
    <s v="Accepted"/>
    <x v="1"/>
    <s v="no"/>
    <n v="15000"/>
    <s v="paid"/>
  </r>
  <r>
    <s v="T005Z901P001"/>
    <s v="SD"/>
    <s v="Bangun Ruang"/>
    <s v="https://drive.google.com/open?id=1lylOUNltMQVRuzDHXyzN-xUw01FEUuPT"/>
    <s v="T005Z901P001"/>
    <d v="2021-08-30T00:00:00"/>
    <x v="53"/>
    <n v="-662"/>
    <x v="104"/>
    <n v="0"/>
    <m/>
    <s v="Accepted"/>
    <x v="1"/>
    <s v="no"/>
    <n v="15000"/>
    <s v="paid"/>
  </r>
  <r>
    <s v="T005O103P001"/>
    <s v="SD"/>
    <s v="Bangun Ruang"/>
    <s v="https://drive.google.com/open?id=1VMZLXjtw7sO2QIWJ0KFOHK-ze2mlOCMq"/>
    <s v="T005O103P001"/>
    <d v="2021-08-30T00:00:00"/>
    <x v="53"/>
    <n v="-662"/>
    <x v="104"/>
    <n v="0"/>
    <m/>
    <s v="Accepted"/>
    <x v="1"/>
    <s v="no"/>
    <n v="15000"/>
    <s v="paid"/>
  </r>
  <r>
    <s v="T0054402P001"/>
    <s v="SD"/>
    <s v="Pengumpulan Dan Penyajian Data"/>
    <s v="https://drive.google.com/open?id=1i5juA_yOLye7uwawWPP5Gi_uOkm4l9io"/>
    <s v="T0054402P001"/>
    <d v="2021-08-30T00:00:00"/>
    <x v="55"/>
    <n v="-652"/>
    <x v="104"/>
    <n v="665"/>
    <s v="Inquiry"/>
    <s v="Rejected"/>
    <x v="0"/>
    <s v="no"/>
    <n v="0"/>
    <s v="not yet"/>
  </r>
  <r>
    <s v="T0091216E001"/>
    <s v="SD"/>
    <s v="Perpangkatan Dan Akar"/>
    <s v="https://drive.google.com/open?id=15ZhxVQlyt1S1xpF211EwSsZTmsW1C6s-"/>
    <s v="T0091216E001"/>
    <d v="2021-08-30T00:00:00"/>
    <x v="53"/>
    <n v="-662"/>
    <x v="105"/>
    <n v="0"/>
    <m/>
    <s v="Accepted"/>
    <x v="1"/>
    <s v="no"/>
    <n v="15000"/>
    <s v="paid"/>
  </r>
  <r>
    <s v="T0070603P001"/>
    <s v="SD"/>
    <s v="Bangun Ruang"/>
    <s v="https://drive.google.com/open?id=1bZsFU4LxzHLuIe41n3zWaxVE3ia5cicw"/>
    <s v="T0070603P001"/>
    <d v="2021-08-30T00:00:00"/>
    <x v="53"/>
    <n v="-662"/>
    <x v="105"/>
    <n v="0"/>
    <m/>
    <s v="Accepted"/>
    <x v="1"/>
    <s v="no"/>
    <n v="15000"/>
    <s v="paid"/>
  </r>
  <r>
    <s v="T0052202P001"/>
    <s v="SD"/>
    <s v="Pengumpulan Dan Penyajian Data"/>
    <s v="https://drive.google.com/open?id=1HuNtQFXSFhVtva3zVj1qVXxzCWMQPl4v"/>
    <s v="T0052202P001"/>
    <d v="2021-08-30T00:00:00"/>
    <x v="53"/>
    <n v="-662"/>
    <x v="105"/>
    <n v="0"/>
    <m/>
    <s v="Accepted"/>
    <x v="1"/>
    <s v="no"/>
    <n v="15000"/>
    <s v="paid"/>
  </r>
  <r>
    <s v="T0055302P001"/>
    <s v="SD"/>
    <s v="Pengumpulan Dan Penyajian Data"/>
    <s v="https://drive.google.com/open?id=1ywgWokxMQKhR1utM3B1s7Qvh30S0HQ5s"/>
    <s v="T0055302P001"/>
    <d v="2021-08-30T00:00:00"/>
    <x v="53"/>
    <n v="-662"/>
    <x v="105"/>
    <n v="0"/>
    <m/>
    <s v="Accepted"/>
    <x v="1"/>
    <s v="no"/>
    <n v="15000"/>
    <s v="paid"/>
  </r>
  <r>
    <s v="T0056402P001"/>
    <s v="SD"/>
    <s v="Pengumpulan Dan Penyajian Data"/>
    <s v="https://drive.google.com/open?id=1id2IBxgG2vyYgA0Kikqfp-QopXbggvoP"/>
    <s v="T0056402P001"/>
    <d v="2021-08-30T00:00:00"/>
    <x v="53"/>
    <n v="-662"/>
    <x v="105"/>
    <n v="0"/>
    <m/>
    <s v="Accepted"/>
    <x v="1"/>
    <s v="no"/>
    <n v="15000"/>
    <s v="paid"/>
  </r>
  <r>
    <s v="S0591091E002"/>
    <s v="SD"/>
    <s v="Bangun Ruang Sisi Lengkung"/>
    <s v="https://drive.google.com/open?id=1UUWreQ_QBro69jmp2gWDhVu3Q52Ruv_g"/>
    <s v="S0591091E002"/>
    <d v="2021-08-27T00:00:00"/>
    <x v="56"/>
    <n v="-659"/>
    <x v="106"/>
    <n v="0"/>
    <m/>
    <s v="Accepted"/>
    <x v="1"/>
    <s v="yes"/>
    <n v="18000"/>
    <s v="paid"/>
  </r>
  <r>
    <s v="V0140371P013"/>
    <s v="SD"/>
    <s v="Operasi Bilangan Pecahan"/>
    <s v="https://drive.google.com/open?id=1HbNlLB6gW2AAGSOsmqGxCM-0UqkKsARU"/>
    <s v="V0140371P013"/>
    <d v="2021-08-27T00:00:00"/>
    <x v="56"/>
    <n v="-659"/>
    <x v="106"/>
    <n v="0"/>
    <m/>
    <s v="Accepted"/>
    <x v="1"/>
    <s v="yes"/>
    <n v="18000"/>
    <s v="paid"/>
  </r>
  <r>
    <s v="S0211812E005"/>
    <s v="SD"/>
    <s v="Operasi Bilangan Pecahan"/>
    <s v="https://drive.google.com/open?id=1FZoY3LkufLCreNdJu85ZCWzdonyuMWDg"/>
    <s v="S0211812E005"/>
    <d v="2021-08-27T00:00:00"/>
    <x v="56"/>
    <n v="-659"/>
    <x v="106"/>
    <n v="0"/>
    <m/>
    <s v="Accepted"/>
    <x v="1"/>
    <s v="yes"/>
    <n v="18000"/>
    <s v="paid"/>
  </r>
  <r>
    <s v="T0100297P011"/>
    <s v="SD"/>
    <s v="Perpangkatan Dan Akar"/>
    <s v="https://drive.google.com/open?id=1tRiM0giyv3z21FnV_GFtoNRf75ElbDYq"/>
    <s v="T0100297P011"/>
    <d v="2021-08-30T00:00:00"/>
    <x v="56"/>
    <n v="-659"/>
    <x v="106"/>
    <n v="0"/>
    <m/>
    <s v="Accepted"/>
    <x v="1"/>
    <s v="yes"/>
    <n v="18000"/>
    <s v="paid"/>
  </r>
  <r>
    <s v="S0292073E004"/>
    <s v="SD"/>
    <s v="Operasi Bilangan Pecahan"/>
    <s v="https://drive.google.com/open?id=1Ix8TDxkkEnuYOSrMr9BzRgAHwkBdX30Z"/>
    <s v="S0292073E004"/>
    <d v="2021-08-30T00:00:00"/>
    <x v="56"/>
    <n v="-659"/>
    <x v="106"/>
    <n v="0"/>
    <m/>
    <s v="Accepted"/>
    <x v="1"/>
    <s v="yes"/>
    <n v="18000"/>
    <s v="paid"/>
  </r>
  <r>
    <s v="T0100287P013"/>
    <s v="SD"/>
    <s v="Perpangkatan Dan Akar"/>
    <s v="https://drive.google.com/open?id=1nmEZzswI7S5bW5gtn6JbHGYZW3NJDtv8"/>
    <s v="T0100287P013"/>
    <d v="2021-09-03T00:00:00"/>
    <x v="56"/>
    <n v="-659"/>
    <x v="106"/>
    <n v="0"/>
    <m/>
    <s v="Accepted"/>
    <x v="1"/>
    <s v="no"/>
    <n v="15000"/>
    <s v="paid"/>
  </r>
  <r>
    <s v="T0100488E004"/>
    <s v="SD"/>
    <s v="Perpangkatan Dan Akar"/>
    <s v="https://drive.google.com/open?id=1gJvXHx-M5kUg22UfE_Q5APv3pCtG8_X8"/>
    <s v="T0100488E004"/>
    <d v="2021-09-03T00:00:00"/>
    <x v="56"/>
    <n v="-659"/>
    <x v="106"/>
    <n v="0"/>
    <m/>
    <s v="Accepted"/>
    <x v="1"/>
    <s v="no"/>
    <n v="15000"/>
    <s v="paid"/>
  </r>
  <r>
    <s v="T0100138P009"/>
    <s v="SD"/>
    <s v="Perpangkatan Dan Akar"/>
    <s v="https://drive.google.com/open?id=1QQYe2pBeGfxBgzbg_xCSkUBF5w-Wv26X"/>
    <s v="T0100138P009"/>
    <d v="2021-09-03T00:00:00"/>
    <x v="56"/>
    <n v="-659"/>
    <x v="106"/>
    <n v="0"/>
    <m/>
    <s v="Accepted"/>
    <x v="1"/>
    <s v="no"/>
    <n v="15000"/>
    <s v="paid"/>
  </r>
  <r>
    <s v="T0100238P010"/>
    <s v="SD"/>
    <s v="Perpangkatan Dan Akar"/>
    <s v="https://drive.google.com/open?id=1Iq6PefJf407xG-LY3O3fp-aJtIl8rX29"/>
    <s v="T0100238P010"/>
    <d v="2021-09-03T00:00:00"/>
    <x v="56"/>
    <n v="-659"/>
    <x v="106"/>
    <n v="0"/>
    <m/>
    <s v="Accepted"/>
    <x v="1"/>
    <s v="no"/>
    <n v="15000"/>
    <s v="paid"/>
  </r>
  <r>
    <s v="T0100342E006"/>
    <s v="SD"/>
    <s v="Perpangkatan Dan Akar"/>
    <s v="https://drive.google.com/open?id=1JB9KRbIoGBaPNgLVHDcsx2nAnZyj1_Iv"/>
    <s v="T0100342E006"/>
    <d v="2021-09-03T00:00:00"/>
    <x v="56"/>
    <n v="-659"/>
    <x v="106"/>
    <n v="0"/>
    <m/>
    <s v="Accepted"/>
    <x v="1"/>
    <s v="no"/>
    <n v="15000"/>
    <s v="paid"/>
  </r>
  <r>
    <s v="T0090116E001"/>
    <s v="SD"/>
    <s v="Perpangkatan Dan Akar"/>
    <s v="https://drive.google.com/open?id=185GwDb1JD4O1qnDNNYW5uv23V37A0rhx"/>
    <s v="T0090116E001"/>
    <d v="2021-09-03T00:00:00"/>
    <x v="56"/>
    <n v="-659"/>
    <x v="106"/>
    <n v="0"/>
    <m/>
    <s v="Accepted"/>
    <x v="1"/>
    <s v="no"/>
    <n v="15000"/>
    <s v="paid"/>
  </r>
  <r>
    <s v="T0090816E001"/>
    <s v="SD"/>
    <s v="Perpangkatan Dan Akar"/>
    <s v="https://drive.google.com/open?id=10iKWAjmZyl--y_Ms3peL-ynwawCnuDRv"/>
    <s v="T0090816E001"/>
    <d v="2021-09-03T00:00:00"/>
    <x v="56"/>
    <n v="-659"/>
    <x v="106"/>
    <n v="0"/>
    <m/>
    <s v="Accepted"/>
    <x v="1"/>
    <s v="no"/>
    <n v="15000"/>
    <s v="paid"/>
  </r>
  <r>
    <s v="T0092316E001"/>
    <s v="SD"/>
    <s v="Perpangkatan Dan Akar"/>
    <s v="https://drive.google.com/open?id=1CyzP2DGuiztPi8rAEpRnM14AMW5jA0eN"/>
    <s v="T0092316E001"/>
    <d v="2021-09-03T00:00:00"/>
    <x v="56"/>
    <n v="-659"/>
    <x v="106"/>
    <n v="0"/>
    <m/>
    <s v="Accepted"/>
    <x v="1"/>
    <s v="no"/>
    <n v="15000"/>
    <s v="paid"/>
  </r>
  <r>
    <s v="T0092616E001"/>
    <s v="SD"/>
    <s v="Perpangkatan Dan Akar"/>
    <s v="https://drive.google.com/open?id=1QBH79pq5qDWPsAA0E6zecWUGKtOZ5uLI"/>
    <s v="T0092616E001"/>
    <d v="2021-09-03T00:00:00"/>
    <x v="56"/>
    <n v="-659"/>
    <x v="106"/>
    <n v="0"/>
    <m/>
    <s v="Accepted"/>
    <x v="1"/>
    <s v="no"/>
    <n v="15000"/>
    <s v="paid"/>
  </r>
  <r>
    <s v="T0070403P001"/>
    <s v="SD"/>
    <s v="Bangun Ruang"/>
    <s v="https://drive.google.com/open?id=1g56G_i0RxxizLAf7V0HSLFNi8t7ZZQPo"/>
    <s v="T0070403P001"/>
    <d v="2021-09-03T00:00:00"/>
    <x v="56"/>
    <n v="-659"/>
    <x v="106"/>
    <n v="0"/>
    <m/>
    <s v="Accepted"/>
    <x v="1"/>
    <s v="no"/>
    <n v="15000"/>
    <s v="paid"/>
  </r>
  <r>
    <s v="T0077303P001"/>
    <s v="SD"/>
    <s v="Pengumpulan Dan Penyajian Data"/>
    <s v="https://drive.google.com/open?id=1bCVLXVZZGn5ux3lIFj2NRgqzyC1Y85L2"/>
    <s v="T0077303P001"/>
    <d v="2021-09-03T00:00:00"/>
    <x v="56"/>
    <n v="-659"/>
    <x v="106"/>
    <n v="661"/>
    <s v="Corr"/>
    <s v="Rejected"/>
    <x v="0"/>
    <s v="no"/>
    <n v="0"/>
    <s v="not yet"/>
  </r>
  <r>
    <s v="T005X701P001"/>
    <s v="SD"/>
    <s v="Bangun Ruang"/>
    <s v="https://drive.google.com/open?id=1TjyF_TTzOmThNvNtkF39xhOyVU0OMxWn"/>
    <s v="T005X701P001"/>
    <d v="2021-09-03T00:00:00"/>
    <x v="56"/>
    <n v="-659"/>
    <x v="106"/>
    <n v="0"/>
    <m/>
    <s v="Accepted"/>
    <x v="1"/>
    <s v="no"/>
    <n v="15000"/>
    <s v="paid"/>
  </r>
  <r>
    <s v="S0291652a001"/>
    <s v="SD"/>
    <s v="Operasi Bilangan Pecahan"/>
    <s v="https://drive.google.com/open?id=1byCUZhIMpBngNcEMM5wRcJoofOF7oK2S"/>
    <s v="S0291652a001"/>
    <d v="2021-08-23T00:00:00"/>
    <x v="57"/>
    <n v="-631"/>
    <x v="106"/>
    <n v="672"/>
    <s v="Corr"/>
    <s v="Rejected"/>
    <x v="0"/>
    <s v="yes"/>
    <n v="0"/>
    <s v="not yet"/>
  </r>
  <r>
    <s v="U0030601E006"/>
    <s v="SD"/>
    <s v="Operasi Bilangan Pecahan"/>
    <s v="https://drive.google.com/open?id=1R--3IIqvi1YkiWbUHW761_m-TX8vRn8z"/>
    <s v="U0030601E006"/>
    <d v="2021-09-04T00:00:00"/>
    <x v="56"/>
    <n v="-659"/>
    <x v="107"/>
    <n v="0"/>
    <m/>
    <s v="Accepted"/>
    <x v="1"/>
    <s v="no"/>
    <n v="15000"/>
    <s v="paid"/>
  </r>
  <r>
    <s v="S0301611E003"/>
    <s v="SD"/>
    <s v="Statistika 6"/>
    <s v="https://drive.google.com/open?id=1OpowbBUtDvP3XQGSxAIC_waoHFkgwZt8"/>
    <s v="S0301611E003"/>
    <d v="2021-09-04T00:00:00"/>
    <x v="56"/>
    <n v="-659"/>
    <x v="107"/>
    <n v="0"/>
    <m/>
    <s v="Accepted"/>
    <x v="1"/>
    <s v="no"/>
    <n v="15000"/>
    <s v="paid"/>
  </r>
  <r>
    <s v="S0301661E003"/>
    <s v="SD"/>
    <s v="Statistika 6"/>
    <s v="https://drive.google.com/open?id=10D72-ItbXn9_5eZyyhO1va39w3wnrpLj"/>
    <s v="S0301661E003"/>
    <d v="2021-09-04T00:00:00"/>
    <x v="56"/>
    <n v="-659"/>
    <x v="107"/>
    <n v="0"/>
    <m/>
    <s v="Accepted"/>
    <x v="1"/>
    <s v="no"/>
    <n v="15000"/>
    <s v="paid"/>
  </r>
  <r>
    <s v="S0301662E001"/>
    <s v="SD"/>
    <s v="Statistika 6"/>
    <s v="https://drive.google.com/open?id=1V_Tr_wlF5VdG8M6V99Xs-6TWqLOZzjY5"/>
    <s v="S0301662E001"/>
    <d v="2021-09-04T00:00:00"/>
    <x v="56"/>
    <n v="-659"/>
    <x v="107"/>
    <n v="0"/>
    <m/>
    <s v="Accepted"/>
    <x v="1"/>
    <s v="no"/>
    <n v="15000"/>
    <s v="paid"/>
  </r>
  <r>
    <s v="S0301671E001"/>
    <s v="SD"/>
    <s v="Statistika 6"/>
    <s v="https://drive.google.com/open?id=1CsdxVr1GZNjGwcuAIIzi0AajZ_iZxIj-"/>
    <s v="S0301671E001"/>
    <d v="2021-09-04T00:00:00"/>
    <x v="56"/>
    <n v="-659"/>
    <x v="107"/>
    <n v="0"/>
    <m/>
    <s v="Accepted"/>
    <x v="1"/>
    <s v="no"/>
    <n v="15000"/>
    <s v="paid"/>
  </r>
  <r>
    <s v="S0301701a001"/>
    <s v="SD"/>
    <s v="Statistika 6"/>
    <s v="https://drive.google.com/open?id=1Ntc52v8V2htq-J6s2R8cY-zaX83bg5tB"/>
    <s v="S0301701a001"/>
    <d v="2021-09-04T00:00:00"/>
    <x v="56"/>
    <n v="-659"/>
    <x v="107"/>
    <n v="0"/>
    <m/>
    <s v="Accepted"/>
    <x v="1"/>
    <s v="no"/>
    <n v="15000"/>
    <s v="paid"/>
  </r>
  <r>
    <s v="S0301701b001"/>
    <s v="SD"/>
    <s v="Statistika 6"/>
    <s v="https://drive.google.com/open?id=1Ua5Ymqm42xyNzUE8OoREoTO5N_G2CF-f"/>
    <s v="S0301701b001"/>
    <d v="2021-09-04T00:00:00"/>
    <x v="56"/>
    <n v="-659"/>
    <x v="107"/>
    <n v="0"/>
    <m/>
    <s v="Accepted"/>
    <x v="1"/>
    <s v="no"/>
    <n v="15000"/>
    <s v="paid"/>
  </r>
  <r>
    <s v="S0301711a002"/>
    <s v="SD"/>
    <s v="Statistika 6"/>
    <s v="https://drive.google.com/open?id=1bVIEffdj6zpr4mPNc0OiHJ-d2x6Dartu"/>
    <s v="S0301711a002"/>
    <d v="2021-09-04T00:00:00"/>
    <x v="56"/>
    <n v="-659"/>
    <x v="107"/>
    <n v="0"/>
    <m/>
    <s v="Accepted"/>
    <x v="1"/>
    <s v="no"/>
    <n v="15000"/>
    <s v="paid"/>
  </r>
  <r>
    <s v="U0030601E005"/>
    <s v="SD"/>
    <s v="Operasi Bilangan Pecahan"/>
    <s v="https://drive.google.com/open?id=1uSDo707T-WnEoRqx7bJgM7B6MGUYUNkP"/>
    <s v="U0030601E005"/>
    <d v="2021-09-04T00:00:00"/>
    <x v="58"/>
    <n v="-653"/>
    <x v="107"/>
    <n v="660"/>
    <s v="AV"/>
    <s v="Rejected"/>
    <x v="2"/>
    <s v="no"/>
    <n v="0"/>
    <s v="not yet"/>
  </r>
  <r>
    <s v="S0810122E005"/>
    <s v="SD"/>
    <s v="Operasi Bilangan Pecahan"/>
    <s v="https://drive.google.com/open?id=1RnDQkVojqAhyKp3OCXpQ-WhWpL7PYYGd"/>
    <s v="S0810122E005"/>
    <d v="2021-09-06T00:00:00"/>
    <x v="59"/>
    <n v="-655"/>
    <x v="108"/>
    <n v="0"/>
    <m/>
    <s v="Accepted"/>
    <x v="1"/>
    <s v="no"/>
    <n v="15000"/>
    <s v="paid"/>
  </r>
  <r>
    <s v="S0810151P006"/>
    <s v="SD"/>
    <s v="Operasi Bilangan Pecahan"/>
    <s v="https://drive.google.com/open?id=1_zNBn27vaL1j9T-ODSW2FCgEhWZdFOSQ"/>
    <s v="S0810151P006"/>
    <d v="2021-09-06T00:00:00"/>
    <x v="59"/>
    <n v="-655"/>
    <x v="108"/>
    <n v="0"/>
    <m/>
    <s v="Accepted"/>
    <x v="1"/>
    <s v="no"/>
    <n v="15000"/>
    <s v="paid"/>
  </r>
  <r>
    <s v="S0810194E001"/>
    <s v="SD"/>
    <s v="Operasi Bilangan Pecahan"/>
    <s v="https://drive.google.com/open?id=10MQnm4SXFFQxNzlcH3S5SSj6s9w-gXX6"/>
    <s v="S0810194E001"/>
    <d v="2021-09-06T00:00:00"/>
    <x v="59"/>
    <n v="-655"/>
    <x v="108"/>
    <n v="0"/>
    <m/>
    <s v="Accepted"/>
    <x v="1"/>
    <s v="no"/>
    <n v="15000"/>
    <s v="paid"/>
  </r>
  <r>
    <s v="S0810202E004"/>
    <s v="SD"/>
    <s v="Operasi Bilangan Pecahan"/>
    <s v="https://drive.google.com/open?id=1f0PP4zUnorTG5MPWpos4SVYpZ2vaCO0e"/>
    <s v="S0810202E004"/>
    <d v="2021-09-06T00:00:00"/>
    <x v="59"/>
    <n v="-655"/>
    <x v="108"/>
    <n v="0"/>
    <m/>
    <s v="Accepted"/>
    <x v="1"/>
    <s v="no"/>
    <n v="15000"/>
    <s v="paid"/>
  </r>
  <r>
    <s v="S0811441E003"/>
    <s v="SD"/>
    <s v="Bangun Ruang"/>
    <s v="https://drive.google.com/open?id=17XGN2KteDvZ1lIODrmUIXIAwhPZdmL7k"/>
    <s v="S0811441E003"/>
    <d v="2021-09-06T00:00:00"/>
    <x v="59"/>
    <n v="-655"/>
    <x v="109"/>
    <n v="0"/>
    <m/>
    <s v="Accepted"/>
    <x v="1"/>
    <s v="no"/>
    <n v="15000"/>
    <s v="paid"/>
  </r>
  <r>
    <s v="S0811601E007"/>
    <s v="SD"/>
    <s v="Bangun Ruang"/>
    <s v="https://drive.google.com/open?id=1mArfx420ACDpcrjFaEWsGtCiGT3NWRcs"/>
    <s v="S0811601E007"/>
    <d v="2021-09-06T00:00:00"/>
    <x v="59"/>
    <n v="-655"/>
    <x v="109"/>
    <n v="0"/>
    <m/>
    <s v="Accepted"/>
    <x v="1"/>
    <s v="no"/>
    <n v="15000"/>
    <s v="paid"/>
  </r>
  <r>
    <s v="T0093812E001"/>
    <s v="SD"/>
    <s v="Bangun Ruang"/>
    <s v="https://drive.google.com/open?id=1om0DKY2JMfen2mzfjywc02MyoUgLH-Ys"/>
    <s v="T0093812E001"/>
    <d v="2021-09-06T00:00:00"/>
    <x v="59"/>
    <n v="-655"/>
    <x v="109"/>
    <n v="0"/>
    <m/>
    <s v="Accepted"/>
    <x v="1"/>
    <s v="no"/>
    <n v="15000"/>
    <s v="paid"/>
  </r>
  <r>
    <s v="S0911531E002"/>
    <s v="SD"/>
    <s v="Bangun Ruang"/>
    <s v="https://drive.google.com/open?id=1fwE7oajUHXBMyGI6ZgDYcHkGEaMu61jE"/>
    <s v="S0911531E002"/>
    <d v="2021-09-06T00:00:00"/>
    <x v="59"/>
    <n v="-655"/>
    <x v="109"/>
    <n v="0"/>
    <m/>
    <s v="Accepted"/>
    <x v="1"/>
    <s v="no"/>
    <n v="15000"/>
    <s v="paid"/>
  </r>
  <r>
    <s v="T007J802P001"/>
    <s v="SD"/>
    <s v="Operasi Bilangan Pecahan"/>
    <s v="https://drive.google.com/open?id=1Dgu_OtcX_32p4KQb6VjKp0CzOA2G0ixE"/>
    <s v="T007J802P001"/>
    <d v="2021-09-06T00:00:00"/>
    <x v="59"/>
    <n v="-655"/>
    <x v="109"/>
    <n v="0"/>
    <m/>
    <s v="Accepted"/>
    <x v="1"/>
    <s v="no"/>
    <n v="15000"/>
    <s v="paid"/>
  </r>
  <r>
    <s v="S0810431P007"/>
    <s v="SD"/>
    <s v="Operasi Bilangan Pecahan"/>
    <s v="https://drive.google.com/open?id=1BzxGC7c3Gg2dGczoBmXvrj1JScFXibeq"/>
    <s v="S0810431P007"/>
    <d v="2021-09-06T00:00:00"/>
    <x v="59"/>
    <n v="-655"/>
    <x v="109"/>
    <n v="0"/>
    <m/>
    <s v="Accepted"/>
    <x v="1"/>
    <s v="no"/>
    <n v="15000"/>
    <s v="paid"/>
  </r>
  <r>
    <s v="S0810262E004"/>
    <s v="SD"/>
    <s v="Operasi Bilangan Pecahan"/>
    <s v="https://drive.google.com/open?id=13__p0KWpqGKa6DvoRb84Rrpk0FIljWBz"/>
    <s v="S0810262E004"/>
    <d v="2021-09-06T00:00:00"/>
    <x v="59"/>
    <n v="-655"/>
    <x v="109"/>
    <n v="0"/>
    <m/>
    <s v="Accepted"/>
    <x v="1"/>
    <s v="no"/>
    <n v="15000"/>
    <s v="paid"/>
  </r>
  <r>
    <s v="S0810211E001"/>
    <s v="SD"/>
    <s v="Operasi Bilangan Pecahan"/>
    <s v="https://drive.google.com/open?id=16-19rKHe1-9gyOPMJyEz0mpb7l0OVKCU"/>
    <s v="S0810211E001"/>
    <d v="2021-09-06T00:00:00"/>
    <x v="59"/>
    <n v="-655"/>
    <x v="109"/>
    <n v="0"/>
    <m/>
    <s v="Accepted"/>
    <x v="1"/>
    <s v="no"/>
    <n v="15000"/>
    <s v="paid"/>
  </r>
  <r>
    <s v="S0810231E007"/>
    <s v="SD"/>
    <s v="Operasi Bilangan Pecahan"/>
    <s v="https://drive.google.com/open?id=1bTlcrtC-MpAgy7eBz9_R29qJEw-m3n06"/>
    <s v="S0810231E007"/>
    <d v="2021-09-06T00:00:00"/>
    <x v="59"/>
    <n v="-655"/>
    <x v="109"/>
    <n v="0"/>
    <m/>
    <s v="Accepted"/>
    <x v="1"/>
    <s v="no"/>
    <n v="15000"/>
    <s v="paid"/>
  </r>
  <r>
    <s v="S0810272E001"/>
    <s v="SD"/>
    <s v="Operasi Bilangan Pecahan"/>
    <s v="https://drive.google.com/open?id=1wKtiHF8HS5vSR-xntR0A2TFIUr6i_HAr"/>
    <s v="S0810272E001"/>
    <d v="2021-09-06T00:00:00"/>
    <x v="59"/>
    <n v="-655"/>
    <x v="109"/>
    <n v="0"/>
    <m/>
    <s v="Accepted"/>
    <x v="1"/>
    <s v="no"/>
    <n v="15000"/>
    <s v="paid"/>
  </r>
  <r>
    <s v="S0810282E002"/>
    <s v="SD"/>
    <s v="Operasi Bilangan Pecahan"/>
    <s v="https://drive.google.com/open?id=1aDUtDW7GNP9RCMNpjxqsdL3hyx0Qt1m6"/>
    <s v="S0810282E002"/>
    <d v="2021-09-06T00:00:00"/>
    <x v="59"/>
    <n v="-655"/>
    <x v="109"/>
    <n v="0"/>
    <m/>
    <s v="Accepted"/>
    <x v="1"/>
    <s v="no"/>
    <n v="15000"/>
    <s v="paid"/>
  </r>
  <r>
    <s v="S0810284E002"/>
    <s v="SD"/>
    <s v="Operasi Bilangan Pecahan"/>
    <s v="https://drive.google.com/open?id=1fePDrc7MZTi7Ju82qsIM6aDgTSLr1jNN"/>
    <s v="S0810284E002"/>
    <d v="2021-09-06T00:00:00"/>
    <x v="59"/>
    <n v="-655"/>
    <x v="109"/>
    <n v="0"/>
    <m/>
    <s v="Accepted"/>
    <x v="1"/>
    <s v="no"/>
    <n v="15000"/>
    <s v="paid"/>
  </r>
  <r>
    <s v="S0810291E001"/>
    <s v="SD"/>
    <s v="Operasi Bilangan Pecahan"/>
    <s v="https://drive.google.com/open?id=1rDiDUpFZPjHw4YC6P0Vq5FIHvpmG7yKY"/>
    <s v="S0810291E001"/>
    <d v="2021-09-06T00:00:00"/>
    <x v="59"/>
    <n v="-655"/>
    <x v="109"/>
    <n v="0"/>
    <m/>
    <s v="Accepted"/>
    <x v="1"/>
    <s v="no"/>
    <n v="15000"/>
    <s v="paid"/>
  </r>
  <r>
    <s v="S0810292E004"/>
    <s v="SD"/>
    <s v="Operasi Bilangan Pecahan"/>
    <s v="https://drive.google.com/open?id=15-zy0J1mPA2jVV8O_ku_rXiCE1l3AxX2"/>
    <s v="S0810292E004"/>
    <d v="2021-09-06T00:00:00"/>
    <x v="59"/>
    <n v="-655"/>
    <x v="109"/>
    <n v="0"/>
    <m/>
    <s v="Accepted"/>
    <x v="1"/>
    <s v="no"/>
    <n v="15000"/>
    <s v="paid"/>
  </r>
  <r>
    <s v="S0810294E002"/>
    <s v="SD"/>
    <s v="Operasi Bilangan Pecahan"/>
    <s v="https://drive.google.com/open?id=107TVr7vfsykW9yIdERtRWdPnYz-DDGFR"/>
    <s v="S0810294E002"/>
    <d v="2021-09-06T00:00:00"/>
    <x v="59"/>
    <n v="-655"/>
    <x v="109"/>
    <n v="0"/>
    <m/>
    <s v="Accepted"/>
    <x v="1"/>
    <s v="no"/>
    <n v="15000"/>
    <s v="paid"/>
  </r>
  <r>
    <s v="S0810301E001"/>
    <s v="SD"/>
    <s v="Operasi Bilangan Pecahan"/>
    <s v="https://drive.google.com/open?id=19o7xPcjAOSuy6rYnjvJSFynA85rAa6m6"/>
    <s v="S0810301E001"/>
    <d v="2021-09-06T00:00:00"/>
    <x v="59"/>
    <n v="-655"/>
    <x v="109"/>
    <n v="0"/>
    <m/>
    <s v="Accepted"/>
    <x v="1"/>
    <s v="no"/>
    <n v="15000"/>
    <s v="paid"/>
  </r>
  <r>
    <s v="S0810302E004"/>
    <s v="SD"/>
    <s v="Operasi Bilangan Pecahan"/>
    <s v="https://drive.google.com/open?id=1TDKncgH6FXq3F81YfjB9ChDjkIIrRV2v"/>
    <s v="S0810302E004"/>
    <d v="2021-09-06T00:00:00"/>
    <x v="59"/>
    <n v="-655"/>
    <x v="109"/>
    <n v="0"/>
    <m/>
    <s v="Accepted"/>
    <x v="1"/>
    <s v="no"/>
    <n v="15000"/>
    <s v="paid"/>
  </r>
  <r>
    <s v="S0191672E003"/>
    <s v="SD"/>
    <s v="Pecahan"/>
    <s v="https://drive.google.com/open?id=1GFociSbMu8IueESI17hmWdj8SbphJTbq"/>
    <s v="S0191672E003"/>
    <d v="2021-08-16T00:00:00"/>
    <x v="59"/>
    <n v="-655"/>
    <x v="110"/>
    <n v="0"/>
    <m/>
    <s v="Accepted"/>
    <x v="0"/>
    <s v="no"/>
    <n v="15000"/>
    <s v="paid"/>
  </r>
  <r>
    <s v="S0810231E001"/>
    <s v="SD"/>
    <s v="Operasi Bilangan Pecahan"/>
    <s v="https://drive.google.com/open?id=1X6V3U5Yiptl_xgE4YU6V_rxivxjbtLo9"/>
    <s v="S0810231E001"/>
    <d v="2021-09-06T00:00:00"/>
    <x v="59"/>
    <n v="-655"/>
    <x v="110"/>
    <n v="0"/>
    <m/>
    <s v="Accepted"/>
    <x v="1"/>
    <s v="no"/>
    <n v="15000"/>
    <s v="paid"/>
  </r>
  <r>
    <s v="V0070501P020"/>
    <s v="SD"/>
    <s v="Bangun Ruang"/>
    <s v="https://drive.google.com/open?id=164T5VJjxWfjD8I4PDXzRhVxivX9m2197"/>
    <s v="V0070501P020"/>
    <d v="2021-08-30T00:00:00"/>
    <x v="55"/>
    <n v="-652"/>
    <x v="111"/>
    <n v="0"/>
    <m/>
    <s v="Accepted"/>
    <x v="1"/>
    <s v="no"/>
    <n v="15000"/>
    <s v="paid"/>
  </r>
  <r>
    <s v="S0301701c001"/>
    <s v="SD"/>
    <s v="Statistika 6"/>
    <s v="https://drive.google.com/open?id=1-0zA44tjXdHTO2m54yYEjMkkzOP2-sf6"/>
    <s v="S0301701c001"/>
    <d v="2021-09-04T00:00:00"/>
    <x v="55"/>
    <n v="-652"/>
    <x v="111"/>
    <n v="0"/>
    <m/>
    <s v="Accepted"/>
    <x v="1"/>
    <s v="yes"/>
    <n v="18000"/>
    <s v="paid"/>
  </r>
  <r>
    <s v="T007V702P001"/>
    <s v="SD"/>
    <s v="Operasi Bilangan Pecahan"/>
    <s v="https://drive.google.com/open?id=1IDXq5g0kra28fdZnot8lPwP1U_DG4VXW"/>
    <s v="T007V702P001"/>
    <d v="2021-09-06T00:00:00"/>
    <x v="55"/>
    <n v="-652"/>
    <x v="111"/>
    <n v="0"/>
    <m/>
    <s v="Accepted"/>
    <x v="1"/>
    <s v="yes"/>
    <n v="18000"/>
    <s v="paid"/>
  </r>
  <r>
    <s v="S0810072E002"/>
    <s v="SD"/>
    <s v="Operasi Bilangan Pecahan"/>
    <s v="https://drive.google.com/open?id=1ue2hxoeFjGMoFVzsHLNc73n8FwG_RM4e"/>
    <s v="S0810072E002"/>
    <d v="2021-09-06T00:00:00"/>
    <x v="55"/>
    <n v="-652"/>
    <x v="111"/>
    <n v="0"/>
    <m/>
    <s v="Accepted"/>
    <x v="1"/>
    <s v="yes"/>
    <n v="18000"/>
    <s v="paid"/>
  </r>
  <r>
    <s v="S0810141E003"/>
    <s v="SD"/>
    <s v="Operasi Bilangan Pecahan"/>
    <s v="https://drive.google.com/open?id=1MTlEDhetHMiYRemMm0ToveX9rUoWAEvN"/>
    <s v="S0810141E003"/>
    <d v="2021-09-06T00:00:00"/>
    <x v="55"/>
    <n v="-652"/>
    <x v="111"/>
    <n v="0"/>
    <m/>
    <s v="Accepted"/>
    <x v="1"/>
    <s v="yes"/>
    <n v="18000"/>
    <s v="paid"/>
  </r>
  <r>
    <s v="S0810162E005"/>
    <s v="SD"/>
    <s v="Operasi Bilangan Pecahan"/>
    <s v="https://drive.google.com/open?id=1ksDmmkVu08vCuFsxdTHGJRa7nlLQDxfW"/>
    <s v="S0810162E005"/>
    <d v="2021-09-06T00:00:00"/>
    <x v="55"/>
    <n v="-652"/>
    <x v="111"/>
    <n v="0"/>
    <m/>
    <s v="Accepted"/>
    <x v="1"/>
    <s v="yes"/>
    <n v="18000"/>
    <s v="paid"/>
  </r>
  <r>
    <s v="S0211801E002"/>
    <s v="SD"/>
    <s v="Operasi Bilangan Pecahan"/>
    <s v="https://drive.google.com/open?id=1bGhHwwZBBXzWEz6-7ZjgVJfA6gDKRjNZ"/>
    <s v="S0211801E002"/>
    <d v="2021-09-10T00:00:00"/>
    <x v="55"/>
    <n v="-652"/>
    <x v="111"/>
    <n v="0"/>
    <m/>
    <s v="Accepted"/>
    <x v="1"/>
    <s v="no"/>
    <n v="15000"/>
    <s v="paid"/>
  </r>
  <r>
    <s v="S0211802E002"/>
    <s v="SD"/>
    <s v="Operasi Bilangan Pecahan"/>
    <s v="https://drive.google.com/open?id=1wrf_4pU4fneKWPeBl-7zeJYSZ2iiWkzj"/>
    <s v="S0211802E002"/>
    <d v="2021-09-10T00:00:00"/>
    <x v="55"/>
    <n v="-652"/>
    <x v="111"/>
    <n v="0"/>
    <m/>
    <s v="Accepted"/>
    <x v="1"/>
    <s v="no"/>
    <n v="15000"/>
    <s v="paid"/>
  </r>
  <r>
    <s v="S0472071E005"/>
    <s v="SD"/>
    <s v="Operasi Bilangan Pecahan"/>
    <s v="https://drive.google.com/open?id=1n0wUzIfJTZaEnDLtzDqnAsxiUxyvpRN2"/>
    <s v="S0472071E005"/>
    <d v="2021-09-10T00:00:00"/>
    <x v="55"/>
    <n v="-652"/>
    <x v="111"/>
    <n v="0"/>
    <m/>
    <s v="Accepted"/>
    <x v="1"/>
    <s v="no"/>
    <n v="15000"/>
    <s v="paid"/>
  </r>
  <r>
    <s v="S0211882E010"/>
    <s v="SD"/>
    <s v="Operasi Bilangan Pecahan"/>
    <s v="https://drive.google.com/open?id=1qTDbIUxgTrkwH5mf7TlO-OjViO37ORoF"/>
    <s v="S0211882E010"/>
    <d v="2021-09-10T00:00:00"/>
    <x v="60"/>
    <n v="-648"/>
    <x v="111"/>
    <n v="654"/>
    <s v="AV + Corr"/>
    <s v="Rejected"/>
    <x v="0"/>
    <s v="yes"/>
    <n v="0"/>
    <s v="not yet"/>
  </r>
  <r>
    <s v="S0211802E001"/>
    <s v="SD"/>
    <s v="Operasi Bilangan Pecahan"/>
    <s v="https://drive.google.com/open?id=1hVoiXDuF-Izx1wfYDebI1EIoYx3Sj49J"/>
    <s v="S0211802E001"/>
    <d v="2021-09-10T00:00:00"/>
    <x v="61"/>
    <n v="-647"/>
    <x v="111"/>
    <n v="654"/>
    <s v="AV"/>
    <s v="Rejected"/>
    <x v="2"/>
    <s v="no"/>
    <n v="0"/>
    <s v="not yet"/>
  </r>
  <r>
    <s v="S0301631E001"/>
    <s v="SD"/>
    <s v="Statistika 6"/>
    <s v="https://drive.google.com/open?id=1BPqo_cG7MYrMD0FVCIG1USDiJQcswTJo"/>
    <s v="S0301631E001"/>
    <d v="2021-09-04T00:00:00"/>
    <x v="55"/>
    <n v="-652"/>
    <x v="112"/>
    <n v="0"/>
    <m/>
    <s v="Accepted"/>
    <x v="1"/>
    <s v="no"/>
    <n v="15000"/>
    <s v="paid"/>
  </r>
  <r>
    <s v="S0301631E002"/>
    <s v="SD"/>
    <s v="Statistika 6"/>
    <s v="https://drive.google.com/open?id=10dUOkg-LOmQkfv9axW-wGpDpde3U721F"/>
    <s v="S0301631E002"/>
    <d v="2021-09-04T00:00:00"/>
    <x v="55"/>
    <n v="-652"/>
    <x v="112"/>
    <n v="0"/>
    <m/>
    <s v="Accepted"/>
    <x v="1"/>
    <s v="no"/>
    <n v="15000"/>
    <s v="paid"/>
  </r>
  <r>
    <s v="S0472011b003"/>
    <s v="SD"/>
    <s v="Operasi Bilangan Pecahan"/>
    <s v="https://drive.google.com/open?id=1_Zy9YoTqxaYi8lCRnMtV0PMu6qCofKOi"/>
    <s v="S0472011b003"/>
    <d v="2021-09-10T00:00:00"/>
    <x v="60"/>
    <n v="-648"/>
    <x v="113"/>
    <n v="0"/>
    <m/>
    <s v="Accepted"/>
    <x v="1"/>
    <s v="yes"/>
    <n v="18000"/>
    <s v="paid"/>
  </r>
  <r>
    <s v="S0472011c003"/>
    <s v="SD"/>
    <s v="Operasi Bilangan Pecahan"/>
    <s v="https://drive.google.com/open?id=1VzmjnXMW8065KswBvzf9KI6dszvmlvcx"/>
    <s v="S0472011c003"/>
    <d v="2021-09-10T00:00:00"/>
    <x v="60"/>
    <n v="-648"/>
    <x v="113"/>
    <n v="0"/>
    <m/>
    <s v="Accepted"/>
    <x v="1"/>
    <s v="yes"/>
    <n v="18000"/>
    <s v="paid"/>
  </r>
  <r>
    <s v="S0211782E003"/>
    <s v="SD"/>
    <s v="Operasi Bilangan Pecahan"/>
    <s v="https://drive.google.com/open?id=12Qh41DIb3yv7RTGCAzXd5c8WNfrTWgWA"/>
    <s v="S0211782E003"/>
    <d v="2021-09-10T00:00:00"/>
    <x v="60"/>
    <n v="-648"/>
    <x v="113"/>
    <n v="0"/>
    <m/>
    <s v="Accepted"/>
    <x v="1"/>
    <s v="yes"/>
    <n v="18000"/>
    <s v="paid"/>
  </r>
  <r>
    <s v="S0211782E004"/>
    <s v="SD"/>
    <s v="Operasi Bilangan Pecahan"/>
    <s v="https://drive.google.com/open?id=1Ei7vfftn0iau2DcBY_8EZ0DIQvNcAZGl"/>
    <s v="S0211782E004"/>
    <d v="2021-09-10T00:00:00"/>
    <x v="60"/>
    <n v="-648"/>
    <x v="113"/>
    <n v="0"/>
    <m/>
    <s v="Accepted"/>
    <x v="1"/>
    <s v="yes"/>
    <n v="18000"/>
    <s v="paid"/>
  </r>
  <r>
    <s v="S0211782E006"/>
    <s v="SD"/>
    <s v="Operasi Bilangan Pecahan"/>
    <s v="https://drive.google.com/open?id=12gbpjrG7GiA8Xv1PChqsc3oMvrAoDJxs"/>
    <s v="S0211782E006"/>
    <d v="2021-09-10T00:00:00"/>
    <x v="60"/>
    <n v="-648"/>
    <x v="113"/>
    <n v="0"/>
    <m/>
    <s v="Accepted"/>
    <x v="1"/>
    <s v="yes"/>
    <n v="18000"/>
    <s v="paid"/>
  </r>
  <r>
    <s v="S0541191E002"/>
    <s v="SD"/>
    <s v="Pengumpulan Dan Penyajian Data"/>
    <s v="https://drive.google.com/open?id=1-LtmpLr4yg07MxbFgPyWc4fyUFwt2_Qy"/>
    <s v="S0541191E002"/>
    <d v="2021-09-13T00:00:00"/>
    <x v="60"/>
    <n v="-648"/>
    <x v="113"/>
    <n v="0"/>
    <m/>
    <s v="Accepted"/>
    <x v="1"/>
    <s v="no"/>
    <n v="15000"/>
    <s v="paid"/>
  </r>
  <r>
    <s v="S0541201E003"/>
    <s v="SD"/>
    <s v="Pengumpulan Dan Penyajian Data"/>
    <s v="https://drive.google.com/open?id=10Bq511hePonGL1Iu9E9-CZQElPhXURBE"/>
    <s v="S0541201E003"/>
    <d v="2021-09-13T00:00:00"/>
    <x v="60"/>
    <n v="-648"/>
    <x v="113"/>
    <n v="0"/>
    <m/>
    <s v="Accepted"/>
    <x v="1"/>
    <s v="no"/>
    <n v="15000"/>
    <s v="paid"/>
  </r>
  <r>
    <s v="S0541201E006"/>
    <s v="SD"/>
    <s v="Pengumpulan Dan Penyajian Data"/>
    <s v="https://drive.google.com/open?id=1GViuO--3Phgw4IqjaEZAwBsyvLURLyHa"/>
    <s v="S0541201E006"/>
    <d v="2021-09-13T00:00:00"/>
    <x v="60"/>
    <n v="-648"/>
    <x v="113"/>
    <n v="0"/>
    <m/>
    <s v="Accepted"/>
    <x v="1"/>
    <s v="no"/>
    <n v="15000"/>
    <s v="paid"/>
  </r>
  <r>
    <s v="S0541232E005"/>
    <s v="SD"/>
    <s v="Statistika 6"/>
    <s v="https://drive.google.com/open?id=1w0jSEl7D8oEBwrJJlRY8VjboorED9rWc"/>
    <s v="S0541232E005"/>
    <d v="2021-09-13T00:00:00"/>
    <x v="60"/>
    <n v="-648"/>
    <x v="113"/>
    <n v="0"/>
    <m/>
    <s v="Accepted"/>
    <x v="1"/>
    <s v="no"/>
    <n v="15000"/>
    <s v="paid"/>
  </r>
  <r>
    <s v="S0541281E001"/>
    <s v="SD"/>
    <s v="Pengumpulan Dan Penyajian Data"/>
    <s v="https://drive.google.com/open?id=19BjclF-vXsIbhZ8OkX4r-9O6S8Z_9zBH"/>
    <s v="S0541281E001"/>
    <d v="2021-09-13T00:00:00"/>
    <x v="60"/>
    <n v="-648"/>
    <x v="113"/>
    <n v="0"/>
    <m/>
    <s v="Accepted"/>
    <x v="1"/>
    <s v="no"/>
    <n v="15000"/>
    <s v="paid"/>
  </r>
  <r>
    <s v="S0541281E002"/>
    <s v="SD"/>
    <s v="Pengumpulan Dan Penyajian Data"/>
    <s v="https://drive.google.com/open?id=1qUWcuP1Ejq0DY3UooD2qNFFjXb0_JuPu"/>
    <s v="S0541281E002"/>
    <d v="2021-09-13T00:00:00"/>
    <x v="60"/>
    <n v="-648"/>
    <x v="113"/>
    <n v="651"/>
    <s v="Corr"/>
    <s v="Rejected"/>
    <x v="0"/>
    <s v="yes"/>
    <n v="0"/>
    <s v="not yet"/>
  </r>
  <r>
    <s v="S0541291E003"/>
    <s v="SD"/>
    <s v="Pengumpulan Dan Penyajian Data"/>
    <s v="https://drive.google.com/open?id=1myLDhxYHHW6GoJRgoTJ58sSmBtgg3WXe"/>
    <s v="S0541291E003"/>
    <d v="2021-09-13T00:00:00"/>
    <x v="60"/>
    <n v="-648"/>
    <x v="113"/>
    <n v="0"/>
    <m/>
    <s v="Accepted"/>
    <x v="1"/>
    <s v="no"/>
    <n v="15000"/>
    <s v="paid"/>
  </r>
  <r>
    <s v="S0541291E004"/>
    <s v="SD"/>
    <s v="Pengumpulan Dan Penyajian Data"/>
    <s v="https://drive.google.com/open?id=1_NaGjs4HJJT1_6khunAKUI_jkgFTYqks"/>
    <s v="S0541291E004"/>
    <d v="2021-09-13T00:00:00"/>
    <x v="60"/>
    <n v="-648"/>
    <x v="113"/>
    <n v="0"/>
    <m/>
    <s v="Accepted"/>
    <x v="1"/>
    <s v="no"/>
    <n v="15000"/>
    <s v="paid"/>
  </r>
  <r>
    <s v="S0541301E005"/>
    <s v="SD"/>
    <s v="Pengumpulan Dan Penyajian Data"/>
    <s v="https://drive.google.com/open?id=18PKxPRbkiVZyijon6LKYEQ_BFri3Hwcg"/>
    <s v="S0541301E005"/>
    <d v="2021-09-13T00:00:00"/>
    <x v="60"/>
    <n v="-648"/>
    <x v="113"/>
    <n v="0"/>
    <m/>
    <s v="Accepted"/>
    <x v="1"/>
    <s v="no"/>
    <n v="15000"/>
    <s v="paid"/>
  </r>
  <r>
    <s v="S0541301E006"/>
    <s v="SD"/>
    <s v="Pengumpulan Dan Penyajian Data"/>
    <s v="https://drive.google.com/open?id=1ULkhRbYH3s05uJpMeE6kEeaTps4Act2n"/>
    <s v="S0541301E006"/>
    <d v="2021-09-13T00:00:00"/>
    <x v="60"/>
    <n v="-648"/>
    <x v="113"/>
    <n v="0"/>
    <m/>
    <s v="Accepted"/>
    <x v="1"/>
    <s v="no"/>
    <n v="15000"/>
    <s v="paid"/>
  </r>
  <r>
    <s v="S0541311E007"/>
    <s v="SD"/>
    <s v="Pengumpulan Dan Penyajian Data"/>
    <s v="https://drive.google.com/open?id=15bCXW2WA7Nr4En-s0AmspH3XaX2j03cS"/>
    <s v="S0541311E007"/>
    <d v="2021-09-13T00:00:00"/>
    <x v="60"/>
    <n v="-648"/>
    <x v="113"/>
    <n v="0"/>
    <m/>
    <s v="Accepted"/>
    <x v="1"/>
    <s v="no"/>
    <n v="15000"/>
    <s v="paid"/>
  </r>
  <r>
    <s v="S0541311E008"/>
    <s v="SD"/>
    <s v="Pengumpulan Dan Penyajian Data"/>
    <s v="https://drive.google.com/open?id=1nRCiaRJ0D9sss_4mOCloCGyycTeB0pqh"/>
    <s v="S0541311E008"/>
    <d v="2021-09-13T00:00:00"/>
    <x v="60"/>
    <n v="-648"/>
    <x v="113"/>
    <n v="0"/>
    <m/>
    <s v="Accepted"/>
    <x v="1"/>
    <s v="no"/>
    <n v="15000"/>
    <s v="paid"/>
  </r>
  <r>
    <s v="S0541321E010"/>
    <s v="SD"/>
    <s v="Pengumpulan Dan Penyajian Data"/>
    <s v="https://drive.google.com/open?id=1ALzBG3FgCpdBiST4852Mq-c-DADhDK03"/>
    <s v="S0541321E010"/>
    <d v="2021-09-13T00:00:00"/>
    <x v="60"/>
    <n v="-648"/>
    <x v="113"/>
    <n v="0"/>
    <m/>
    <s v="Accepted"/>
    <x v="1"/>
    <s v="no"/>
    <n v="15000"/>
    <s v="paid"/>
  </r>
  <r>
    <s v="S0541331E012"/>
    <s v="SD"/>
    <s v="Pengumpulan Dan Penyajian Data"/>
    <s v="https://drive.google.com/open?id=1clf9ZDv7tQzrCJDMiAayLZdsEbzvZCXX"/>
    <s v="S0541331E012"/>
    <d v="2021-09-13T00:00:00"/>
    <x v="60"/>
    <n v="-648"/>
    <x v="113"/>
    <n v="0"/>
    <m/>
    <s v="Accepted"/>
    <x v="1"/>
    <s v="no"/>
    <n v="15000"/>
    <s v="paid"/>
  </r>
  <r>
    <s v="S0541331E013"/>
    <s v="SD"/>
    <s v="Pengumpulan Dan Penyajian Data"/>
    <s v="https://drive.google.com/open?id=18m0GLLVr3xweXFP2U5w1oitWtqUigqrC"/>
    <s v="S0541331E013"/>
    <d v="2021-09-13T00:00:00"/>
    <x v="60"/>
    <n v="-648"/>
    <x v="113"/>
    <n v="0"/>
    <m/>
    <s v="Accepted"/>
    <x v="1"/>
    <s v="no"/>
    <n v="15000"/>
    <s v="paid"/>
  </r>
  <r>
    <s v="S0541351E002"/>
    <s v="SD"/>
    <s v="Pengumpulan Dan Penyajian Data"/>
    <s v="https://drive.google.com/open?id=1J2SBzRMxGkraTsfMXPl1P5yaBI0pEHrD"/>
    <s v="S0541351E002"/>
    <d v="2021-09-13T00:00:00"/>
    <x v="60"/>
    <n v="-648"/>
    <x v="113"/>
    <n v="0"/>
    <m/>
    <s v="Accepted"/>
    <x v="1"/>
    <s v="no"/>
    <n v="15000"/>
    <s v="paid"/>
  </r>
  <r>
    <s v="V0140191P008"/>
    <s v="SD"/>
    <s v="Operasi Bilangan Pecahan"/>
    <s v="https://drive.google.com/open?id=1XyOmLl3VuNje73iy5hVUNtBpOIlMM0o-"/>
    <s v="V0140191P008"/>
    <d v="2021-08-30T00:00:00"/>
    <x v="60"/>
    <n v="-648"/>
    <x v="114"/>
    <n v="0"/>
    <m/>
    <s v="Accepted"/>
    <x v="0"/>
    <s v="yes"/>
    <n v="18000"/>
    <s v="paid"/>
  </r>
  <r>
    <s v="U0030901E002"/>
    <s v="SD"/>
    <s v="Operasi Bilangan Pecahan"/>
    <s v="https://drive.google.com/open?id=19l0ekIltQSw_tVmXqTljo6iveH2z5xiu"/>
    <s v="U0030901E002"/>
    <d v="2021-09-10T00:00:00"/>
    <x v="60"/>
    <n v="-648"/>
    <x v="114"/>
    <n v="0"/>
    <m/>
    <s v="Accepted"/>
    <x v="1"/>
    <s v="yes"/>
    <n v="18000"/>
    <s v="paid"/>
  </r>
  <r>
    <s v="S0211812E003"/>
    <s v="SD"/>
    <s v="Operasi Bilangan Pecahan"/>
    <s v="https://drive.google.com/open?id=1feCJvyiB2wLJGz6x2JpNTKhmHaZzop55"/>
    <s v="S0211812E003"/>
    <d v="2021-09-10T00:00:00"/>
    <x v="60"/>
    <n v="-648"/>
    <x v="114"/>
    <n v="0"/>
    <m/>
    <s v="Accepted"/>
    <x v="0"/>
    <s v="yes"/>
    <n v="18000"/>
    <s v="paid"/>
  </r>
  <r>
    <s v="T0290104P016"/>
    <s v="SD"/>
    <s v="Pengumpulan Dan Penyajian Data"/>
    <s v="https://drive.google.com/open?id=10cE6Fj6K0pfIWBJ16TZIbGZG8BMw8bNo"/>
    <s v="T0290104P016"/>
    <d v="2021-09-13T00:00:00"/>
    <x v="60"/>
    <n v="-648"/>
    <x v="114"/>
    <n v="0"/>
    <m/>
    <s v="Accepted"/>
    <x v="1"/>
    <s v="no"/>
    <n v="15000"/>
    <s v="paid"/>
  </r>
  <r>
    <s v="T0290605E021"/>
    <s v="SD"/>
    <s v="Pengumpulan Dan Penyajian Data"/>
    <s v="https://drive.google.com/open?id=1v6D_EQ-qZ0n5GjQMkUlZq8i8HpX-AhCD"/>
    <s v="T0290605E021"/>
    <d v="2021-09-13T00:00:00"/>
    <x v="60"/>
    <n v="-648"/>
    <x v="114"/>
    <n v="0"/>
    <m/>
    <s v="Accepted"/>
    <x v="1"/>
    <s v="no"/>
    <n v="15000"/>
    <s v="paid"/>
  </r>
  <r>
    <s v="T0290605E022"/>
    <s v="SD"/>
    <s v="Pengumpulan Dan Penyajian Data"/>
    <s v="https://drive.google.com/open?id=1Va94MndiHFqvJjuOJqpRN9QnS8qh_UVh"/>
    <s v="T0290605E022"/>
    <d v="2021-09-13T00:00:00"/>
    <x v="60"/>
    <n v="-648"/>
    <x v="114"/>
    <n v="0"/>
    <m/>
    <s v="Accepted"/>
    <x v="1"/>
    <s v="no"/>
    <n v="15000"/>
    <s v="paid"/>
  </r>
  <r>
    <s v="T0290605E023"/>
    <s v="SD"/>
    <s v="Pengumpulan Dan Penyajian Data"/>
    <s v="https://drive.google.com/open?id=1IqF5Wnrl1N0kobsO60ecjApuxaAx1E-x"/>
    <s v="T0290605E023"/>
    <d v="2021-09-13T00:00:00"/>
    <x v="60"/>
    <n v="-648"/>
    <x v="114"/>
    <n v="0"/>
    <m/>
    <s v="Accepted"/>
    <x v="1"/>
    <s v="no"/>
    <n v="15000"/>
    <s v="paid"/>
  </r>
  <r>
    <s v="T0290705E024"/>
    <s v="SD"/>
    <s v="Pengumpulan Dan Penyajian Data"/>
    <s v="https://drive.google.com/open?id=1bWY8P0btE4B1X5EKE43yLjR-qQTwES3D"/>
    <s v="T0290705E024"/>
    <d v="2021-09-13T00:00:00"/>
    <x v="60"/>
    <n v="-648"/>
    <x v="114"/>
    <n v="0"/>
    <m/>
    <s v="Accepted"/>
    <x v="1"/>
    <s v="no"/>
    <n v="15000"/>
    <s v="paid"/>
  </r>
  <r>
    <s v="S0541351E003"/>
    <s v="SD"/>
    <s v="Statistika 6"/>
    <s v="https://drive.google.com/open?id=1WgNNLBYl9iSkIuJBrMOcH5ZZtjboOIRo"/>
    <s v="S0541351E003"/>
    <d v="2021-09-13T00:00:00"/>
    <x v="60"/>
    <n v="-648"/>
    <x v="114"/>
    <n v="651"/>
    <s v="Corr"/>
    <s v="Rejected"/>
    <x v="0"/>
    <s v="yes"/>
    <n v="0"/>
    <s v="not yet"/>
  </r>
  <r>
    <s v="S0541361E001"/>
    <s v="SD"/>
    <s v="Pengumpulan Dan Penyajian Data"/>
    <s v="https://drive.google.com/open?id=1YDRebhf5qpo0gsE4d-V0moxd17yjzSI3"/>
    <s v="S0541361E001"/>
    <d v="2021-09-13T00:00:00"/>
    <x v="60"/>
    <n v="-648"/>
    <x v="114"/>
    <n v="0"/>
    <m/>
    <s v="Accepted"/>
    <x v="1"/>
    <s v="no"/>
    <n v="15000"/>
    <s v="paid"/>
  </r>
  <r>
    <s v="S0541361E002"/>
    <s v="SD"/>
    <s v="Pengumpulan Dan Penyajian Data"/>
    <s v="https://drive.google.com/open?id=1As9GAE6aX2olvmNWw0y_nw1iCawKujC1"/>
    <s v="S0541361E002"/>
    <d v="2021-09-13T00:00:00"/>
    <x v="60"/>
    <n v="-648"/>
    <x v="114"/>
    <n v="0"/>
    <m/>
    <s v="Accepted"/>
    <x v="1"/>
    <s v="no"/>
    <n v="15000"/>
    <s v="paid"/>
  </r>
  <r>
    <s v="S0541371E003"/>
    <s v="SD"/>
    <s v="Pengumpulan Dan Penyajian Data"/>
    <s v="https://drive.google.com/open?id=1Ki08rlz99m6YGWeHfbwoFYxY72OAjC5p"/>
    <s v="S0541371E003"/>
    <d v="2021-09-13T00:00:00"/>
    <x v="60"/>
    <n v="-648"/>
    <x v="114"/>
    <n v="0"/>
    <m/>
    <s v="Accepted"/>
    <x v="1"/>
    <s v="no"/>
    <n v="15000"/>
    <s v="paid"/>
  </r>
  <r>
    <s v="S0541371E004"/>
    <s v="SD"/>
    <s v="Statistika 6"/>
    <s v="https://drive.google.com/open?id=1bU6ZGaHEGwYQsmFlDaUyoFNQWVQSNATo"/>
    <s v="S0541371E004"/>
    <d v="2021-09-13T00:00:00"/>
    <x v="60"/>
    <n v="-648"/>
    <x v="114"/>
    <n v="0"/>
    <m/>
    <s v="Accepted"/>
    <x v="1"/>
    <s v="no"/>
    <n v="15000"/>
    <s v="paid"/>
  </r>
  <r>
    <s v="S0541381E006"/>
    <s v="SD"/>
    <s v="Pengumpulan Dan Penyajian Data"/>
    <s v="https://drive.google.com/open?id=1Kq-QmYhCWMWIJ8uoYTtRNAxf93DyBgx-"/>
    <s v="S0541381E006"/>
    <d v="2021-09-13T00:00:00"/>
    <x v="60"/>
    <n v="-648"/>
    <x v="114"/>
    <n v="0"/>
    <m/>
    <s v="Accepted"/>
    <x v="1"/>
    <s v="no"/>
    <n v="15000"/>
    <s v="paid"/>
  </r>
  <r>
    <s v="S0541381E007"/>
    <s v="SD"/>
    <s v="Pengumpulan Dan Penyajian Data"/>
    <s v="https://drive.google.com/open?id=1rB8jr5dUF9StprQBItGA27RQAOsOd9zw"/>
    <s v="S0541381E007"/>
    <d v="2021-09-13T00:00:00"/>
    <x v="60"/>
    <n v="-648"/>
    <x v="114"/>
    <n v="0"/>
    <m/>
    <s v="Accepted"/>
    <x v="1"/>
    <s v="no"/>
    <n v="15000"/>
    <s v="paid"/>
  </r>
  <r>
    <s v="S0541381E008"/>
    <s v="SD"/>
    <s v="Statistika 6"/>
    <s v="https://drive.google.com/open?id=1hTsgluWXnfPWAyvy9zU5v4ugJaEuZUI6"/>
    <s v="S0541381E008"/>
    <d v="2021-09-13T00:00:00"/>
    <x v="60"/>
    <n v="-648"/>
    <x v="114"/>
    <n v="0"/>
    <m/>
    <s v="Accepted"/>
    <x v="1"/>
    <s v="no"/>
    <n v="15000"/>
    <s v="paid"/>
  </r>
  <r>
    <s v="S0541381E009"/>
    <s v="SD"/>
    <s v="Statistika 6"/>
    <s v="https://drive.google.com/open?id=1kz0vMdlf5535-fRTkULDVV4sV4dx1PV9"/>
    <s v="S0541381E009"/>
    <d v="2021-09-13T00:00:00"/>
    <x v="60"/>
    <n v="-648"/>
    <x v="114"/>
    <n v="0"/>
    <m/>
    <s v="Accepted"/>
    <x v="1"/>
    <s v="no"/>
    <n v="15000"/>
    <s v="paid"/>
  </r>
  <r>
    <s v="S0541381E010"/>
    <s v="SD"/>
    <s v="Pengumpulan Dan Penyajian Data"/>
    <s v="https://drive.google.com/open?id=1uOo0vCmoCZxLZYFuXbACcQGrEhpdCymA"/>
    <s v="S0541381E010"/>
    <d v="2021-09-13T00:00:00"/>
    <x v="60"/>
    <n v="-648"/>
    <x v="114"/>
    <n v="0"/>
    <m/>
    <s v="Accepted"/>
    <x v="1"/>
    <s v="no"/>
    <n v="15000"/>
    <s v="paid"/>
  </r>
  <r>
    <s v="S0541391E011"/>
    <s v="SD"/>
    <s v="Pengumpulan Dan Penyajian Data"/>
    <s v="https://drive.google.com/open?id=1kraAH7CJTAW9zVfnm0fOxlikFGMF5yRK"/>
    <s v="S0541391E011"/>
    <d v="2021-09-13T00:00:00"/>
    <x v="60"/>
    <n v="-648"/>
    <x v="114"/>
    <n v="0"/>
    <m/>
    <s v="Accepted"/>
    <x v="1"/>
    <s v="no"/>
    <n v="15000"/>
    <s v="paid"/>
  </r>
  <r>
    <s v="S0541391E012"/>
    <s v="SD"/>
    <s v="Statistika 6"/>
    <s v="https://drive.google.com/open?id=1kQNHwkHCrwy5R-FCl_K3bWWBlZTX4z1v"/>
    <s v="S0541391E012"/>
    <d v="2021-09-13T00:00:00"/>
    <x v="60"/>
    <n v="-648"/>
    <x v="114"/>
    <n v="0"/>
    <m/>
    <s v="Accepted"/>
    <x v="1"/>
    <s v="no"/>
    <n v="15000"/>
    <s v="paid"/>
  </r>
  <r>
    <s v="S0541391E013"/>
    <s v="SD"/>
    <s v="Statistika 6"/>
    <s v="https://drive.google.com/open?id=1MjEuZdZHEc2V0ILSYVKdrPGlUa2PW1Wy"/>
    <s v="S0541391E013"/>
    <d v="2021-09-13T00:00:00"/>
    <x v="60"/>
    <n v="-648"/>
    <x v="114"/>
    <n v="0"/>
    <m/>
    <s v="Accepted"/>
    <x v="1"/>
    <s v="no"/>
    <n v="15000"/>
    <s v="paid"/>
  </r>
  <r>
    <s v="S0541391E014"/>
    <s v="SD"/>
    <s v="Statistika 6"/>
    <s v="https://drive.google.com/open?id=1G9LmVnwhozAFfrb0u92lGURzaaNn80yx"/>
    <s v="S0541391E014"/>
    <d v="2021-09-13T00:00:00"/>
    <x v="60"/>
    <n v="-648"/>
    <x v="114"/>
    <n v="0"/>
    <m/>
    <s v="Accepted"/>
    <x v="1"/>
    <s v="no"/>
    <n v="15000"/>
    <s v="paid"/>
  </r>
  <r>
    <s v="S0541401E016"/>
    <s v="SD"/>
    <s v="Statistika 6"/>
    <s v="https://drive.google.com/open?id=1ttS8kLAG1aEqW9sjqsfWhHMnhm12ElXR"/>
    <s v="S0541401E016"/>
    <d v="2021-09-13T00:00:00"/>
    <x v="60"/>
    <n v="-648"/>
    <x v="114"/>
    <n v="0"/>
    <m/>
    <s v="Accepted"/>
    <x v="1"/>
    <s v="no"/>
    <n v="15000"/>
    <s v="paid"/>
  </r>
  <r>
    <s v="S0591771E003"/>
    <s v="SD"/>
    <s v="Statistika 6"/>
    <s v="https://drive.google.com/open?id=10wkW4t5r_YyS-VG2SYIeJ3-wVOYPFqIK"/>
    <s v="S0591771E003"/>
    <d v="2021-09-15T00:00:00"/>
    <x v="62"/>
    <n v="-645"/>
    <x v="115"/>
    <n v="0"/>
    <m/>
    <s v="Accepted"/>
    <x v="1"/>
    <s v="no"/>
    <n v="15000"/>
    <s v="paid"/>
  </r>
  <r>
    <s v="S0591781E001"/>
    <s v="SD"/>
    <s v="Statistika 6"/>
    <s v="https://drive.google.com/open?id=1u_pbhJ12ecDLS3yiCPKldej_JsnfIcYL"/>
    <s v="S0591781E001"/>
    <d v="2021-09-15T00:00:00"/>
    <x v="62"/>
    <n v="-645"/>
    <x v="115"/>
    <n v="0"/>
    <m/>
    <s v="Accepted"/>
    <x v="1"/>
    <s v="no"/>
    <n v="15000"/>
    <s v="paid"/>
  </r>
  <r>
    <s v="S0591791E001"/>
    <s v="SD"/>
    <s v="Statistika 6"/>
    <s v="https://drive.google.com/open?id=1zgFZbHu4X5PfKEa3mA-feTAcD7vw4MeH"/>
    <s v="S0591791E001"/>
    <d v="2021-09-15T00:00:00"/>
    <x v="62"/>
    <n v="-645"/>
    <x v="115"/>
    <n v="0"/>
    <m/>
    <s v="Accepted"/>
    <x v="1"/>
    <s v="no"/>
    <n v="15000"/>
    <s v="paid"/>
  </r>
  <r>
    <s v="S0591792E001"/>
    <s v="SD"/>
    <s v="Statistika 6"/>
    <s v="https://drive.google.com/open?id=1abALxOK6W0VjV2PyPESdG2A4mMWmgJb3"/>
    <s v="S0591792E001"/>
    <d v="2021-09-15T00:00:00"/>
    <x v="62"/>
    <n v="-645"/>
    <x v="115"/>
    <n v="0"/>
    <m/>
    <s v="Accepted"/>
    <x v="1"/>
    <s v="no"/>
    <n v="15000"/>
    <s v="paid"/>
  </r>
  <r>
    <s v="S0591821E001"/>
    <s v="SD"/>
    <s v="Statistika 6"/>
    <s v="https://drive.google.com/open?id=18VjwZZOuWAwrX04JTgpBAiEZvjksfawA"/>
    <s v="S0591821E001"/>
    <d v="2021-09-15T00:00:00"/>
    <x v="62"/>
    <n v="-645"/>
    <x v="115"/>
    <n v="0"/>
    <m/>
    <s v="Accepted"/>
    <x v="1"/>
    <s v="no"/>
    <n v="15000"/>
    <s v="paid"/>
  </r>
  <r>
    <s v="S0591831E001"/>
    <s v="SD"/>
    <s v="Statistika 6"/>
    <s v="https://drive.google.com/open?id=12B5aY8T7VdPqGge7qLIMckaT_l0JU3tx"/>
    <s v="S0591831E001"/>
    <d v="2021-09-15T00:00:00"/>
    <x v="62"/>
    <n v="-645"/>
    <x v="115"/>
    <n v="0"/>
    <m/>
    <s v="Accepted"/>
    <x v="1"/>
    <s v="no"/>
    <n v="15000"/>
    <s v="paid"/>
  </r>
  <r>
    <s v="S0591831E002"/>
    <s v="SD"/>
    <s v="Statistika 6"/>
    <s v="https://drive.google.com/open?id=15QGuqpHQeHZpB3C0zjwS6JOo_nZ6OOap"/>
    <s v="S0591831E002"/>
    <d v="2021-09-15T00:00:00"/>
    <x v="62"/>
    <n v="-645"/>
    <x v="115"/>
    <n v="0"/>
    <m/>
    <s v="Accepted"/>
    <x v="1"/>
    <s v="no"/>
    <n v="15000"/>
    <s v="paid"/>
  </r>
  <r>
    <s v="S0591831E003"/>
    <s v="SD"/>
    <s v="Statistika 6"/>
    <s v="https://drive.google.com/open?id=1LMy3v_QLfdvzs0o8ULfe7RWJInsraofq"/>
    <s v="S0591831E003"/>
    <d v="2021-09-15T00:00:00"/>
    <x v="62"/>
    <n v="-645"/>
    <x v="115"/>
    <n v="0"/>
    <m/>
    <s v="Accepted"/>
    <x v="1"/>
    <s v="no"/>
    <n v="15000"/>
    <s v="paid"/>
  </r>
  <r>
    <s v="S0591831E004"/>
    <s v="SD"/>
    <s v="Statistika 6"/>
    <s v="https://drive.google.com/open?id=1dwTRrMMrsc3CQlC8KJHI7eNEwmE0kwFl"/>
    <s v="S0591831E004"/>
    <d v="2021-09-15T00:00:00"/>
    <x v="62"/>
    <n v="-645"/>
    <x v="115"/>
    <n v="0"/>
    <m/>
    <s v="Accepted"/>
    <x v="1"/>
    <s v="no"/>
    <n v="15000"/>
    <s v="paid"/>
  </r>
  <r>
    <s v="S0541051E002"/>
    <s v="SD"/>
    <s v="Sistem Koordinat"/>
    <s v="https://drive.google.com/open?id=19cAJp309l6xyplAluJPpyqtov9WTMNnC"/>
    <s v="S0541051E002"/>
    <d v="2021-09-17T00:00:00"/>
    <x v="62"/>
    <n v="-645"/>
    <x v="115"/>
    <n v="647"/>
    <s v="Corr"/>
    <s v="Rejected"/>
    <x v="0"/>
    <s v="no"/>
    <n v="0"/>
    <s v="not yet"/>
  </r>
  <r>
    <s v="S0541051E003"/>
    <s v="SD"/>
    <s v="Sistem Koordinat"/>
    <s v="https://drive.google.com/open?id=11oJZ8WHsOiHgpDYp1PppluizCGS5yvfJ"/>
    <s v="S0541051E003"/>
    <d v="2021-09-17T00:00:00"/>
    <x v="62"/>
    <n v="-645"/>
    <x v="115"/>
    <n v="647"/>
    <s v="Corr"/>
    <s v="Rejected"/>
    <x v="0"/>
    <s v="no"/>
    <n v="0"/>
    <s v="not yet"/>
  </r>
  <r>
    <s v="S0541071E003"/>
    <s v="SD"/>
    <s v="Sistem Koordinat"/>
    <s v="https://drive.google.com/open?id=1wZWdTLZJWkgUZSWGA98bCM5deC-sMTUo"/>
    <s v="S0541071E003"/>
    <d v="2021-09-17T00:00:00"/>
    <x v="62"/>
    <n v="-645"/>
    <x v="115"/>
    <n v="0"/>
    <m/>
    <s v="Accepted"/>
    <x v="1"/>
    <s v="no"/>
    <n v="15000"/>
    <s v="paid"/>
  </r>
  <r>
    <s v="S0541081E001"/>
    <s v="SD"/>
    <s v="Sistem Koordinat"/>
    <s v="https://drive.google.com/open?id=1JKt0AkTsd-wp2COEkQsjaf46XYCL6DCy"/>
    <s v="S0541081E001"/>
    <d v="2021-09-17T00:00:00"/>
    <x v="62"/>
    <n v="-645"/>
    <x v="115"/>
    <n v="0"/>
    <m/>
    <s v="Accepted"/>
    <x v="1"/>
    <s v="no"/>
    <n v="15000"/>
    <s v="paid"/>
  </r>
  <r>
    <s v="S0541081E002"/>
    <s v="SD"/>
    <s v="Sistem Koordinat"/>
    <s v="https://drive.google.com/open?id=1BgG200K1jr9t4cPYDSEr91kQ1hHsqnBm"/>
    <s v="S0541081E002"/>
    <d v="2021-09-17T00:00:00"/>
    <x v="62"/>
    <n v="-645"/>
    <x v="115"/>
    <n v="0"/>
    <m/>
    <s v="Accepted"/>
    <x v="1"/>
    <s v="no"/>
    <n v="15000"/>
    <s v="paid"/>
  </r>
  <r>
    <s v="S0541081E003"/>
    <s v="SD"/>
    <s v="Sistem Koordinat"/>
    <s v="https://drive.google.com/open?id=1tseenDnzxxkPT0vnSjmAXbpjx4voONfT"/>
    <s v="S0541081E003"/>
    <d v="2021-09-17T00:00:00"/>
    <x v="62"/>
    <n v="-645"/>
    <x v="115"/>
    <n v="0"/>
    <m/>
    <s v="Accepted"/>
    <x v="1"/>
    <s v="no"/>
    <n v="15000"/>
    <s v="paid"/>
  </r>
  <r>
    <s v="S0541081E004"/>
    <s v="SD"/>
    <s v="Sistem Koordinat"/>
    <s v="https://drive.google.com/open?id=1c5Bw5PNiG3GUQx5NcZrsQPQX0z3x9hGk"/>
    <s v="S0541081E004"/>
    <d v="2021-09-17T00:00:00"/>
    <x v="62"/>
    <n v="-645"/>
    <x v="115"/>
    <n v="0"/>
    <m/>
    <s v="Accepted"/>
    <x v="1"/>
    <s v="no"/>
    <n v="15000"/>
    <s v="paid"/>
  </r>
  <r>
    <s v="S0541081E005"/>
    <s v="SD"/>
    <s v="Sistem Koordinat"/>
    <s v="https://drive.google.com/open?id=1l9Yh5ztOULVcRf3ava1uzCEAXsEh244J"/>
    <s v="S0541081E005"/>
    <d v="2021-09-17T00:00:00"/>
    <x v="62"/>
    <n v="-645"/>
    <x v="115"/>
    <n v="0"/>
    <m/>
    <s v="Accepted"/>
    <x v="1"/>
    <s v="no"/>
    <n v="15000"/>
    <s v="paid"/>
  </r>
  <r>
    <s v="S0591771E004"/>
    <s v="SD"/>
    <s v="Statistika 6"/>
    <s v="https://drive.google.com/open?id=1wn5a0ERliimIEM1wctxi8OFfkT6zYpqR"/>
    <s v="S0591771E004"/>
    <d v="2021-09-15T00:00:00"/>
    <x v="57"/>
    <n v="-631"/>
    <x v="115"/>
    <n v="649"/>
    <s v="Corr"/>
    <s v="Rejected"/>
    <x v="0"/>
    <s v="no"/>
    <n v="0"/>
    <s v="not yet"/>
  </r>
  <r>
    <s v="S0541331E011"/>
    <s v="SD"/>
    <s v="Pengumpulan Dan Penyajian Data"/>
    <s v="https://drive.google.com/open?id=1HWNCTGxBXKZvpI_7yVW36pT-bw2OVVFL"/>
    <s v="S0541331E011"/>
    <d v="2021-09-13T00:00:00"/>
    <x v="62"/>
    <n v="-645"/>
    <x v="116"/>
    <n v="0"/>
    <m/>
    <s v="Accepted"/>
    <x v="1"/>
    <s v="yes"/>
    <n v="18000"/>
    <s v="paid"/>
  </r>
  <r>
    <s v="S0541341E001"/>
    <s v="SD"/>
    <s v="Statistika 6"/>
    <s v="https://drive.google.com/open?id=1SDUqy-whNHwB5F9UkR_lJ6lRqLv3ZNnG"/>
    <s v="S0541341E001"/>
    <d v="2021-09-13T00:00:00"/>
    <x v="62"/>
    <n v="-645"/>
    <x v="116"/>
    <n v="0"/>
    <m/>
    <s v="Accepted"/>
    <x v="1"/>
    <s v="yes"/>
    <n v="18000"/>
    <s v="paid"/>
  </r>
  <r>
    <s v="S0301651E001"/>
    <s v="SD"/>
    <s v="Statistika 6"/>
    <s v="https://drive.google.com/open?id=1J_fuQdG9A6YHco1T_MbIBWfZn8h2lxAu"/>
    <s v="S0301651E001"/>
    <d v="2021-09-04T00:00:00"/>
    <x v="63"/>
    <n v="-641"/>
    <x v="117"/>
    <n v="0"/>
    <m/>
    <s v="Accepted"/>
    <x v="1"/>
    <s v="no"/>
    <n v="15000"/>
    <s v="paid"/>
  </r>
  <r>
    <s v="S0591832E001"/>
    <s v="SD"/>
    <s v="Statistika 6"/>
    <s v="https://drive.google.com/open?id=1bLq7S17bndBV8-nHTjQKtQVR4cznkmfo"/>
    <s v="S0591832E001"/>
    <d v="2021-09-15T00:00:00"/>
    <x v="63"/>
    <n v="-641"/>
    <x v="117"/>
    <n v="0"/>
    <m/>
    <s v="Accepted"/>
    <x v="1"/>
    <s v="yes"/>
    <n v="18000"/>
    <s v="paid"/>
  </r>
  <r>
    <s v="S0301511E002"/>
    <s v="SD"/>
    <s v="Sistem Koordinat"/>
    <s v="https://drive.google.com/open?id=18hY3VsvayKPX-7Y31VDEFj5yYP1qyYTt"/>
    <s v="S0301511E002"/>
    <d v="2021-09-20T00:00:00"/>
    <x v="63"/>
    <n v="-641"/>
    <x v="117"/>
    <n v="0"/>
    <m/>
    <s v="Accepted"/>
    <x v="1"/>
    <s v="no"/>
    <n v="15000"/>
    <s v="paid"/>
  </r>
  <r>
    <s v="S0391151E002"/>
    <s v="SD"/>
    <s v="Sistem Koordinat"/>
    <s v="https://drive.google.com/open?id=1IEN4--vAbrgI1tVKnyj2rQxnesKe6Mil"/>
    <s v="S0391151E002"/>
    <d v="2021-09-20T00:00:00"/>
    <x v="63"/>
    <n v="-641"/>
    <x v="117"/>
    <n v="0"/>
    <m/>
    <s v="Accepted"/>
    <x v="1"/>
    <s v="no"/>
    <n v="15000"/>
    <s v="paid"/>
  </r>
  <r>
    <s v="S0472001a002"/>
    <s v="SD"/>
    <s v="Operasi Bilangan Pecahan"/>
    <s v="https://drive.google.com/open?id=11J1fJl6SDMVAQYh2oGJI0JuXh4Gxezfx"/>
    <s v="S0472001a002"/>
    <d v="2021-09-20T00:00:00"/>
    <x v="63"/>
    <n v="-641"/>
    <x v="117"/>
    <n v="0"/>
    <m/>
    <s v="Accepted"/>
    <x v="1"/>
    <s v="yes"/>
    <n v="18000"/>
    <s v="paid"/>
  </r>
  <r>
    <s v="S0551511E001"/>
    <s v="SD"/>
    <s v="Statistika"/>
    <s v="https://drive.google.com/open?id=1AVpoYt2eNqBjtg0zKZY2-EHFTrDySZyc"/>
    <s v="S0551511E001"/>
    <d v="2021-09-20T00:00:00"/>
    <x v="63"/>
    <n v="-641"/>
    <x v="117"/>
    <n v="0"/>
    <m/>
    <s v="Accepted"/>
    <x v="1"/>
    <s v="no"/>
    <n v="15000"/>
    <s v="paid"/>
  </r>
  <r>
    <s v="S0561391E009"/>
    <s v="SD"/>
    <s v="Statistika 6"/>
    <s v="https://drive.google.com/open?id=1vhtkKBk-D9CXfWFXNFxOuGl-m0Rpiee5"/>
    <s v="S0561391E009"/>
    <d v="2021-09-20T00:00:00"/>
    <x v="63"/>
    <n v="-641"/>
    <x v="117"/>
    <n v="0"/>
    <m/>
    <s v="Accepted"/>
    <x v="1"/>
    <s v="no"/>
    <n v="15000"/>
    <s v="paid"/>
  </r>
  <r>
    <s v="S0901892E002"/>
    <s v="SD"/>
    <s v="Perpangkatan Dan Akar"/>
    <s v="https://drive.google.com/open?id=1DrcoPCvNgne6xxOBWG--0r8WJ-DGcI5Y"/>
    <s v="S0901892E002"/>
    <d v="2021-09-20T00:00:00"/>
    <x v="63"/>
    <n v="-641"/>
    <x v="118"/>
    <n v="0"/>
    <m/>
    <s v="Accepted"/>
    <x v="1"/>
    <s v="no"/>
    <n v="15000"/>
    <s v="paid"/>
  </r>
  <r>
    <s v="S0840911c002"/>
    <s v="SD"/>
    <s v="Perpangkatan Dan Akar"/>
    <s v="https://drive.google.com/open?id=1Ne_ulFg7Kxsb-lfPyxWloq_QcU2N0TXw"/>
    <s v="S0840911c002"/>
    <d v="2021-09-20T00:00:00"/>
    <x v="63"/>
    <n v="-641"/>
    <x v="118"/>
    <n v="0"/>
    <m/>
    <s v="Accepted"/>
    <x v="1"/>
    <s v="no"/>
    <n v="15000"/>
    <s v="paid"/>
  </r>
  <r>
    <s v="S0861161E001"/>
    <s v="SD"/>
    <s v="Perpangkatan Dan Akar"/>
    <s v="https://drive.google.com/open?id=1hYwJRQqss7KiPL4cHiMJ7IU10J1Gshi-"/>
    <s v="S0861161E001"/>
    <d v="2021-09-20T00:00:00"/>
    <x v="63"/>
    <n v="-641"/>
    <x v="118"/>
    <n v="0"/>
    <m/>
    <s v="Accepted"/>
    <x v="1"/>
    <s v="no"/>
    <n v="15000"/>
    <s v="paid"/>
  </r>
  <r>
    <s v="S0891941E002"/>
    <s v="SD"/>
    <s v="Perpangkatan Dan Akar"/>
    <s v="https://drive.google.com/open?id=1tS-NnJtpXnlAc1aVyp3vpCaSXdBKNL5J"/>
    <s v="S0891941E002"/>
    <d v="2021-09-20T00:00:00"/>
    <x v="63"/>
    <n v="-641"/>
    <x v="118"/>
    <n v="0"/>
    <m/>
    <s v="Accepted"/>
    <x v="1"/>
    <s v="no"/>
    <n v="15000"/>
    <s v="paid"/>
  </r>
  <r>
    <s v="S0200632E002"/>
    <s v="SD"/>
    <s v="Bangun Datar"/>
    <s v="https://drive.google.com/open?id=1LSKcyZCCwTR4x-6CxvLjPRoguY6xtXsz"/>
    <s v="S0200632E002"/>
    <d v="2021-09-20T00:00:00"/>
    <x v="63"/>
    <n v="-641"/>
    <x v="119"/>
    <n v="0"/>
    <m/>
    <s v="Accepted"/>
    <x v="1"/>
    <s v="no"/>
    <n v="15000"/>
    <s v="paid"/>
  </r>
  <r>
    <s v="V0213142E005"/>
    <s v="SD"/>
    <s v="Bangun Ruang"/>
    <s v="https://drive.google.com/open?id=1ucnuFIB6y-eC8oNgxVyixU8WhV9sjHjg"/>
    <s v="V0213142E005"/>
    <d v="2021-09-22T00:00:00"/>
    <x v="63"/>
    <n v="-641"/>
    <x v="119"/>
    <n v="0"/>
    <m/>
    <s v="Accepted"/>
    <x v="1"/>
    <s v="no"/>
    <n v="15000"/>
    <s v="paid"/>
  </r>
  <r>
    <s v="T007N901P001"/>
    <s v="SD"/>
    <s v="Aproksimasi / Pembulatan"/>
    <s v="https://drive.google.com/open?id=1Fh6jbhnFGG7GoOWqQdvuk_NQP8qj4yAS"/>
    <s v="T007N901P001"/>
    <d v="2021-09-22T00:00:00"/>
    <x v="63"/>
    <n v="-641"/>
    <x v="119"/>
    <n v="0"/>
    <m/>
    <s v="Accepted"/>
    <x v="1"/>
    <s v="no"/>
    <n v="15000"/>
    <s v="paid"/>
  </r>
  <r>
    <s v="T007P701P001"/>
    <s v="SD"/>
    <s v="Aproksimasi / Pembulatan"/>
    <s v="https://drive.google.com/open?id=1yNqWHT7Rl3LYzVvUw8xIQAheyQdIr78l"/>
    <s v="T007P701P001"/>
    <d v="2021-09-22T00:00:00"/>
    <x v="63"/>
    <n v="-641"/>
    <x v="119"/>
    <n v="0"/>
    <m/>
    <s v="Accepted"/>
    <x v="1"/>
    <s v="no"/>
    <n v="15000"/>
    <s v="paid"/>
  </r>
  <r>
    <s v="T007B301P001"/>
    <s v="SD"/>
    <s v="Aproksimasi / Pembulatan"/>
    <s v="https://drive.google.com/open?id=1JJNAoc_8-dITX19JEB4jy8nMJgwdtX6R"/>
    <s v="T007B301P001"/>
    <d v="2021-09-22T00:00:00"/>
    <x v="63"/>
    <n v="-641"/>
    <x v="119"/>
    <n v="0"/>
    <m/>
    <s v="Accepted"/>
    <x v="1"/>
    <s v="no"/>
    <n v="15000"/>
    <s v="paid"/>
  </r>
  <r>
    <s v="T007C501P001"/>
    <s v="SD"/>
    <s v="Aproksimasi / Pembulatan"/>
    <s v="https://drive.google.com/open?id=1GCEutFOPrck4WufGna6030OJi7LRoFwv"/>
    <s v="T007C501P001"/>
    <d v="2021-09-22T00:00:00"/>
    <x v="63"/>
    <n v="-641"/>
    <x v="119"/>
    <n v="0"/>
    <m/>
    <s v="Accepted"/>
    <x v="1"/>
    <s v="no"/>
    <n v="15000"/>
    <s v="paid"/>
  </r>
  <r>
    <s v="T007D901P001"/>
    <s v="SD"/>
    <s v="Aproksimasi / Pembulatan"/>
    <s v="https://drive.google.com/open?id=1fxXeEyHbQJRK_wMk3PKZBikIOkqVUEFP"/>
    <s v="T007D901P001"/>
    <d v="2021-09-22T00:00:00"/>
    <x v="63"/>
    <n v="-641"/>
    <x v="119"/>
    <n v="0"/>
    <m/>
    <s v="Accepted"/>
    <x v="1"/>
    <s v="no"/>
    <n v="15000"/>
    <s v="paid"/>
  </r>
  <r>
    <s v="T007X002P001"/>
    <s v="SD"/>
    <s v="Aproksimasi / Pembulatan"/>
    <s v="https://drive.google.com/open?id=1R1JbYxJ8CDOwi5AXTKDRys8OJkaYg1wU"/>
    <s v="T007X002P001"/>
    <d v="2021-09-22T00:00:00"/>
    <x v="63"/>
    <n v="-641"/>
    <x v="119"/>
    <n v="0"/>
    <m/>
    <s v="Accepted"/>
    <x v="1"/>
    <s v="no"/>
    <n v="15000"/>
    <s v="paid"/>
  </r>
  <r>
    <s v="T0089802P001"/>
    <s v="SD"/>
    <s v="Bangun Datar"/>
    <s v="https://drive.google.com/open?id=1fKcCWixb4YI-i_JfjblLJP1vp65ACfT-"/>
    <s v="T0089802P001"/>
    <d v="2021-09-22T00:00:00"/>
    <x v="63"/>
    <n v="-641"/>
    <x v="119"/>
    <n v="0"/>
    <m/>
    <s v="Accepted"/>
    <x v="1"/>
    <s v="no"/>
    <n v="15000"/>
    <s v="paid"/>
  </r>
  <r>
    <s v="T0081101P001"/>
    <s v="SD"/>
    <s v="Bangun Datar"/>
    <s v="https://drive.google.com/open?id=1Pua_AsUk1C9Y5sm18luhnp5a8_qGddqp"/>
    <s v="T0081101P001"/>
    <d v="2021-09-22T00:00:00"/>
    <x v="63"/>
    <n v="-641"/>
    <x v="119"/>
    <n v="0"/>
    <m/>
    <s v="Accepted"/>
    <x v="1"/>
    <s v="no"/>
    <n v="15000"/>
    <s v="paid"/>
  </r>
  <r>
    <s v="T008B401P001"/>
    <s v="SD"/>
    <s v="Bangun Datar"/>
    <s v="https://drive.google.com/open?id=1qGRE_mZ0vnGDGZwv2-EBVJ6IsEv6uU1E"/>
    <s v="T008B401P001"/>
    <d v="2021-09-22T00:00:00"/>
    <x v="63"/>
    <n v="-641"/>
    <x v="119"/>
    <n v="0"/>
    <m/>
    <s v="Accepted"/>
    <x v="1"/>
    <s v="no"/>
    <n v="15000"/>
    <s v="paid"/>
  </r>
  <r>
    <s v="T008M802P001"/>
    <s v="SD"/>
    <s v="Bangun Datar"/>
    <s v="https://drive.google.com/open?id=1RmGnaiRrpwJTne7RRUlXfaiWZyAMrrRx"/>
    <s v="T008M802P001"/>
    <d v="2021-09-22T00:00:00"/>
    <x v="63"/>
    <n v="-641"/>
    <x v="119"/>
    <n v="0"/>
    <m/>
    <s v="Accepted"/>
    <x v="1"/>
    <s v="no"/>
    <n v="15000"/>
    <s v="paid"/>
  </r>
  <r>
    <s v="T008P602P001"/>
    <s v="SD"/>
    <s v="Bangun Datar"/>
    <s v="https://drive.google.com/open?id=1b6YYNrgAqOMvgjIG9EKukYnUFZC6rP28"/>
    <s v="T008P602P001"/>
    <d v="2021-09-22T00:00:00"/>
    <x v="63"/>
    <n v="-641"/>
    <x v="119"/>
    <n v="0"/>
    <m/>
    <s v="Accepted"/>
    <x v="1"/>
    <s v="no"/>
    <n v="15000"/>
    <s v="paid"/>
  </r>
  <r>
    <s v="S0541112E003"/>
    <s v="SD"/>
    <s v="Sistem Koordinat"/>
    <s v="https://drive.google.com/open?id=1CqjfRefOTOgZ4SZTpYcV3ppdYS8IxYK-"/>
    <s v="S0541112E003"/>
    <d v="2021-09-17T00:00:00"/>
    <x v="64"/>
    <n v="-638"/>
    <x v="120"/>
    <n v="0"/>
    <m/>
    <s v="Accepted"/>
    <x v="1"/>
    <s v="no"/>
    <n v="15000"/>
    <s v="paid"/>
  </r>
  <r>
    <s v="S0441941E003"/>
    <s v="SD"/>
    <s v="Sistem Koordinat"/>
    <s v="https://drive.google.com/open?id=1lBnWWxpyUtUxGXb_x6yleKeILv6lQgrv"/>
    <s v="S0441941E003"/>
    <d v="2021-09-20T00:00:00"/>
    <x v="64"/>
    <n v="-638"/>
    <x v="120"/>
    <n v="0"/>
    <m/>
    <s v="Accepted"/>
    <x v="1"/>
    <s v="yes"/>
    <n v="18000"/>
    <s v="paid"/>
  </r>
  <r>
    <s v="S0180293E001"/>
    <s v="SD"/>
    <s v="Satuan Baku"/>
    <s v="https://drive.google.com/open?id=1EeL4KjrVCvXTGQ9IfikJKqP0GtQPzpn-"/>
    <s v="S0180293E001"/>
    <d v="2021-09-20T00:00:00"/>
    <x v="64"/>
    <n v="-638"/>
    <x v="120"/>
    <n v="0"/>
    <m/>
    <s v="Accepted"/>
    <x v="1"/>
    <s v="yes"/>
    <n v="18000"/>
    <s v="paid"/>
  </r>
  <r>
    <s v="S0292041a002"/>
    <s v="SD"/>
    <s v="Operasi Bilangan Pecahan"/>
    <s v="https://drive.google.com/open?id=1ag4NQor9u-bldCJUmSjgWGlNDBVb5pLX"/>
    <s v="S0292041a002"/>
    <d v="2021-09-20T00:00:00"/>
    <x v="64"/>
    <n v="-638"/>
    <x v="120"/>
    <n v="0"/>
    <m/>
    <s v="Accepted"/>
    <x v="1"/>
    <s v="yes"/>
    <n v="18000"/>
    <s v="paid"/>
  </r>
  <r>
    <s v="S0510552E001"/>
    <s v="SD"/>
    <s v="Operasi Bilangan Pecahan"/>
    <s v="https://drive.google.com/open?id=1n4cSjO2wgBqX4S5TQLf4kq9J-rjejNBL"/>
    <s v="S0510552E001"/>
    <d v="2021-09-20T00:00:00"/>
    <x v="64"/>
    <n v="-638"/>
    <x v="120"/>
    <n v="0"/>
    <m/>
    <s v="Accepted"/>
    <x v="1"/>
    <s v="yes"/>
    <n v="18000"/>
    <s v="paid"/>
  </r>
  <r>
    <s v="S0300361E002"/>
    <s v="SD"/>
    <s v="Bangun Datar"/>
    <s v="https://drive.google.com/open?id=1fOJ3HaE9yMdzwsRP8795-CF01sk-Q4az"/>
    <s v="S0300361E002"/>
    <d v="2021-09-20T00:00:00"/>
    <x v="64"/>
    <n v="-638"/>
    <x v="120"/>
    <n v="0"/>
    <m/>
    <s v="Accepted"/>
    <x v="1"/>
    <s v="yes"/>
    <n v="18000"/>
    <s v="paid"/>
  </r>
  <r>
    <s v="V0130783E001"/>
    <s v="SD"/>
    <s v="Bangun Ruang"/>
    <s v="https://drive.google.com/open?id=1VACElBYpkV6AWBzpE1PydDdo6uLSPfKq"/>
    <s v="V0130783E001"/>
    <d v="2021-09-20T00:00:00"/>
    <x v="64"/>
    <n v="-638"/>
    <x v="120"/>
    <n v="0"/>
    <m/>
    <s v="Accepted"/>
    <x v="1"/>
    <s v="yes"/>
    <n v="18000"/>
    <s v="paid"/>
  </r>
  <r>
    <s v="S0290292a002"/>
    <s v="SD"/>
    <s v="Operasi Bilangan Pecahan"/>
    <s v="v"/>
    <s v="S0290292a002"/>
    <d v="2021-09-20T00:00:00"/>
    <x v="64"/>
    <n v="-638"/>
    <x v="120"/>
    <n v="0"/>
    <m/>
    <s v="Accepted"/>
    <x v="1"/>
    <s v="yes"/>
    <n v="18000"/>
    <s v="paid"/>
  </r>
  <r>
    <s v="V0130673E002"/>
    <s v="SD"/>
    <s v="Bangun Datar"/>
    <s v="https://drive.google.com/open?id=1oa4okxbPxByDI2o4gomCclkf9J2zdG10"/>
    <s v="V0130673E002"/>
    <d v="2021-09-20T00:00:00"/>
    <x v="64"/>
    <n v="-638"/>
    <x v="120"/>
    <n v="0"/>
    <m/>
    <s v="Accepted"/>
    <x v="1"/>
    <s v="yes"/>
    <n v="18000"/>
    <s v="paid"/>
  </r>
  <r>
    <s v="T0059601P001"/>
    <s v="SD"/>
    <s v="Operasi Bilangan Pecahan"/>
    <s v="https://drive.google.com/open?id=1nPJ0ZzmFe620gHmJlf2QuBNdObyiXvEf"/>
    <s v="T0059601P001"/>
    <d v="2021-09-20T00:00:00"/>
    <x v="64"/>
    <n v="-638"/>
    <x v="120"/>
    <n v="0"/>
    <m/>
    <s v="Accepted"/>
    <x v="1"/>
    <s v="yes"/>
    <n v="18000"/>
    <s v="paid"/>
  </r>
  <r>
    <s v="S0681241E001"/>
    <s v="SD"/>
    <s v="Statistika 6"/>
    <s v="https://drive.google.com/open?id=1lK-860nZzX_eg7BQj8p8rks0v0DtnC9U"/>
    <s v="S0681241E001"/>
    <d v="2021-09-20T00:00:00"/>
    <x v="64"/>
    <n v="-638"/>
    <x v="120"/>
    <n v="0"/>
    <m/>
    <s v="Accepted"/>
    <x v="1"/>
    <s v="yes"/>
    <n v="18000"/>
    <s v="paid"/>
  </r>
  <r>
    <s v="T008A502P001"/>
    <s v="SD"/>
    <s v="Bangun Datar"/>
    <s v="https://drive.google.com/open?id=15iX9VHnPpPcCECphYSvDzsjzFlvXllty"/>
    <s v="T008A502P001"/>
    <d v="2021-09-22T00:00:00"/>
    <x v="64"/>
    <n v="-638"/>
    <x v="120"/>
    <n v="0"/>
    <m/>
    <s v="Accepted"/>
    <x v="1"/>
    <s v="yes"/>
    <n v="18000"/>
    <s v="paid"/>
  </r>
  <r>
    <s v="S0821211E001"/>
    <s v="SD"/>
    <s v="Bangun Datar"/>
    <s v="https://drive.google.com/open?id=1KUrxcWunCVJC5rv-QniTlhEgJ5XYqDkd"/>
    <s v="S0821211E001"/>
    <d v="2021-09-24T00:00:00"/>
    <x v="64"/>
    <n v="-638"/>
    <x v="120"/>
    <n v="0"/>
    <m/>
    <s v="Accepted"/>
    <x v="1"/>
    <s v="no"/>
    <n v="15000"/>
    <s v="paid"/>
  </r>
  <r>
    <s v="S0441852c004"/>
    <s v="SD"/>
    <s v="Sistem Koordinat"/>
    <s v="https://drive.google.com/open?id=1wBzyBwkgQ6_uA6DLPv32XEKAB-lXCL5D"/>
    <s v="S0441852c004"/>
    <d v="2021-09-24T00:00:00"/>
    <x v="64"/>
    <n v="-638"/>
    <x v="120"/>
    <n v="0"/>
    <m/>
    <s v="Accepted"/>
    <x v="1"/>
    <s v="no"/>
    <n v="15000"/>
    <s v="paid"/>
  </r>
  <r>
    <s v="S0861151E014"/>
    <s v="SD"/>
    <s v="Perpangkatan Dan Akar"/>
    <s v="https://drive.google.com/open?id=1xdAlJEn9owlg0HlWdj7KqponsCMRNV03"/>
    <s v="S0861151E014"/>
    <d v="2021-09-24T00:00:00"/>
    <x v="64"/>
    <n v="-638"/>
    <x v="120"/>
    <n v="0"/>
    <m/>
    <s v="Accepted"/>
    <x v="1"/>
    <s v="no"/>
    <n v="15000"/>
    <s v="paid"/>
  </r>
  <r>
    <s v="T0300106P002"/>
    <s v="SD"/>
    <s v="Bilangan Bulat"/>
    <s v="https://drive.google.com/open?id=1ASFjAanNScVe4AwSZV3QwAAussL8SUj8"/>
    <s v="T0300106P002"/>
    <d v="2021-09-24T00:00:00"/>
    <x v="64"/>
    <n v="-638"/>
    <x v="120"/>
    <n v="0"/>
    <m/>
    <s v="Accepted"/>
    <x v="1"/>
    <s v="no"/>
    <n v="15000"/>
    <s v="paid"/>
  </r>
  <r>
    <s v="T0300501P005"/>
    <s v="SD"/>
    <s v="Bilangan Bulat"/>
    <s v="https://drive.google.com/open?id=1z03GNwbRzjcnxDaVC-W5wBbGR0iZX1ep"/>
    <s v="T0300501P005"/>
    <d v="2021-09-24T00:00:00"/>
    <x v="64"/>
    <n v="-638"/>
    <x v="120"/>
    <n v="0"/>
    <m/>
    <s v="Accepted"/>
    <x v="1"/>
    <s v="no"/>
    <n v="15000"/>
    <s v="paid"/>
  </r>
  <r>
    <s v="T0200205P013"/>
    <s v="SD"/>
    <s v="Bilangan Bulat"/>
    <s v="https://drive.google.com/open?id=1tIjwwQ2EURceD0x1vo33mNB6WJYE6RHJ"/>
    <s v="T0200205P013"/>
    <d v="2021-09-24T00:00:00"/>
    <x v="64"/>
    <n v="-638"/>
    <x v="120"/>
    <n v="0"/>
    <m/>
    <s v="Accepted"/>
    <x v="1"/>
    <s v="no"/>
    <n v="15000"/>
    <s v="paid"/>
  </r>
  <r>
    <s v="T0200203P015"/>
    <s v="SD"/>
    <s v="Bilangan Bulat"/>
    <s v="https://drive.google.com/open?id=1l6m0ry9ykIS81eUp06UsgUu5dJW1GT7Z"/>
    <s v="T0200203P015"/>
    <d v="2021-09-24T00:00:00"/>
    <x v="64"/>
    <n v="-638"/>
    <x v="120"/>
    <n v="0"/>
    <m/>
    <s v="Accepted"/>
    <x v="1"/>
    <s v="no"/>
    <n v="15000"/>
    <s v="paid"/>
  </r>
  <r>
    <s v="T0210605P031"/>
    <s v="SD"/>
    <s v="Bilangan Bulat"/>
    <s v="https://drive.google.com/open?id=1tOl78xowU49h2RbEkqvOr55ghUF9ZkyM"/>
    <s v="T0210605P031"/>
    <d v="2021-09-24T00:00:00"/>
    <x v="64"/>
    <n v="-638"/>
    <x v="120"/>
    <n v="0"/>
    <m/>
    <s v="Accepted"/>
    <x v="1"/>
    <s v="no"/>
    <n v="15000"/>
    <s v="paid"/>
  </r>
  <r>
    <s v="T0210209P003"/>
    <s v="SD"/>
    <s v="Bilangan Bulat"/>
    <s v="https://drive.google.com/open?id=1j0F2XF5mkXLvuSe_TO2649q7IgzSHx_W"/>
    <s v="T0210209P003"/>
    <d v="2021-09-24T00:00:00"/>
    <x v="64"/>
    <n v="-638"/>
    <x v="120"/>
    <n v="0"/>
    <m/>
    <s v="Accepted"/>
    <x v="1"/>
    <s v="no"/>
    <n v="15000"/>
    <s v="paid"/>
  </r>
  <r>
    <s v="T0230153P002"/>
    <s v="SD"/>
    <s v="Bilangan Bulat"/>
    <s v="https://drive.google.com/open?id=1Svgd9pWyGf-GZImXAJ_XmUjHCOaHYNds"/>
    <s v="T0230153P002"/>
    <d v="2021-09-24T00:00:00"/>
    <x v="64"/>
    <n v="-638"/>
    <x v="120"/>
    <n v="0"/>
    <m/>
    <s v="Accepted"/>
    <x v="1"/>
    <s v="no"/>
    <n v="15000"/>
    <s v="paid"/>
  </r>
  <r>
    <s v="T0230157P003"/>
    <s v="SD"/>
    <s v="Bilangan Bulat"/>
    <s v="https://drive.google.com/open?id=1riEyGBx3dJvWnjXJczLeNJYH1uWX2ATx"/>
    <s v="T0230157P003"/>
    <d v="2021-09-24T00:00:00"/>
    <x v="64"/>
    <n v="-638"/>
    <x v="120"/>
    <n v="0"/>
    <m/>
    <s v="Accepted"/>
    <x v="1"/>
    <s v="no"/>
    <n v="15000"/>
    <s v="paid"/>
  </r>
  <r>
    <s v="T0230458P013"/>
    <s v="SD"/>
    <s v="Bilangan Bulat"/>
    <s v="https://drive.google.com/open?id=1yjqOsRjMPAUZmovPp6rC_-961WhLR4RP"/>
    <s v="T0230458P013"/>
    <d v="2021-09-24T00:00:00"/>
    <x v="64"/>
    <n v="-638"/>
    <x v="120"/>
    <n v="0"/>
    <m/>
    <s v="Accepted"/>
    <x v="1"/>
    <s v="no"/>
    <n v="15000"/>
    <s v="paid"/>
  </r>
  <r>
    <s v="S0840031E005"/>
    <s v="SD"/>
    <s v="Pecahan"/>
    <s v="https://drive.google.com/open?id=14l5D-LXpRI1iBvJWrBe-kXRc-8jGTi8x"/>
    <s v="S0840031E005"/>
    <d v="2021-09-24T00:00:00"/>
    <x v="64"/>
    <n v="-638"/>
    <x v="120"/>
    <n v="0"/>
    <m/>
    <s v="Accepted"/>
    <x v="1"/>
    <s v="no"/>
    <n v="15000"/>
    <s v="paid"/>
  </r>
  <r>
    <s v="S0840061b001"/>
    <s v="SD"/>
    <s v="Pecahan"/>
    <s v="https://drive.google.com/open?id=1CBWrtxK0E-CyYkORPaMD3yGw3hGb3nMY"/>
    <s v="S0840061b001"/>
    <d v="2021-09-24T00:00:00"/>
    <x v="64"/>
    <n v="-638"/>
    <x v="120"/>
    <n v="0"/>
    <m/>
    <s v="Accepted"/>
    <x v="1"/>
    <s v="no"/>
    <n v="15000"/>
    <s v="paid"/>
  </r>
  <r>
    <s v="S0840061d001"/>
    <s v="SD"/>
    <s v="Pecahan"/>
    <s v="https://drive.google.com/open?id=1vc0o7o3QiJnZsCuuxKU3JZIVWyseFD_M"/>
    <s v="S0840061d001"/>
    <d v="2021-09-24T00:00:00"/>
    <x v="64"/>
    <n v="-638"/>
    <x v="120"/>
    <n v="0"/>
    <m/>
    <s v="Accepted"/>
    <x v="1"/>
    <s v="no"/>
    <n v="15000"/>
    <s v="paid"/>
  </r>
  <r>
    <s v="S0840061a004"/>
    <s v="SD"/>
    <s v="Pecahan"/>
    <s v="https://drive.google.com/open?id=1g-tjQ2fpK_Ptu4Dv01fLPDG4pNGLI_1V"/>
    <s v="S0840061a004"/>
    <d v="2021-09-24T00:00:00"/>
    <x v="64"/>
    <n v="-638"/>
    <x v="120"/>
    <n v="0"/>
    <m/>
    <s v="Accepted"/>
    <x v="1"/>
    <s v="no"/>
    <n v="15000"/>
    <s v="paid"/>
  </r>
  <r>
    <s v="S0840061c004"/>
    <s v="SD"/>
    <s v="Pecahan"/>
    <s v="https://drive.google.com/open?id=1r4Rg4VplwsGZ5lmvNTukKqxqGz8FQl2q"/>
    <s v="S0840061c004"/>
    <d v="2021-09-24T00:00:00"/>
    <x v="64"/>
    <n v="-638"/>
    <x v="120"/>
    <n v="0"/>
    <m/>
    <s v="Accepted"/>
    <x v="1"/>
    <s v="no"/>
    <n v="15000"/>
    <s v="paid"/>
  </r>
  <r>
    <s v="S0840061E005"/>
    <s v="SD"/>
    <s v="Pecahan"/>
    <s v="https://drive.google.com/open?id=1lifQsf74gHg4dgzm5BsqEcy1X2fZNTBO"/>
    <s v="S0840061E005"/>
    <d v="2021-09-24T00:00:00"/>
    <x v="64"/>
    <n v="-638"/>
    <x v="120"/>
    <n v="0"/>
    <m/>
    <s v="Accepted"/>
    <x v="1"/>
    <s v="no"/>
    <n v="15000"/>
    <s v="paid"/>
  </r>
  <r>
    <s v="S0840091a002"/>
    <s v="SD"/>
    <s v="Pecahan"/>
    <s v="https://drive.google.com/open?id=1CO-DmxZVBWIpsVhevWK1dCzj1FD7JqZ9"/>
    <s v="S0840091a002"/>
    <d v="2021-09-24T00:00:00"/>
    <x v="64"/>
    <n v="-638"/>
    <x v="120"/>
    <n v="0"/>
    <m/>
    <s v="Accepted"/>
    <x v="1"/>
    <s v="no"/>
    <n v="15000"/>
    <s v="paid"/>
  </r>
  <r>
    <s v="S0840091a003"/>
    <s v="SD"/>
    <s v="Pecahan"/>
    <s v="https://drive.google.com/open?id=13CgA9K6eHiwqsaghCyWngo-6DSk1G_3A"/>
    <s v="S0840091a003"/>
    <d v="2021-09-24T00:00:00"/>
    <x v="64"/>
    <n v="-638"/>
    <x v="120"/>
    <n v="0"/>
    <m/>
    <s v="Accepted"/>
    <x v="1"/>
    <s v="no"/>
    <n v="15000"/>
    <s v="paid"/>
  </r>
  <r>
    <s v="S0840091d003"/>
    <s v="SD"/>
    <s v="Pecahan"/>
    <s v="https://drive.google.com/open?id=1GtATdvgJ-ffj5KkguedVinq8qGL92SeW"/>
    <s v="S0840091d003"/>
    <d v="2021-09-24T00:00:00"/>
    <x v="64"/>
    <n v="-638"/>
    <x v="120"/>
    <n v="0"/>
    <m/>
    <s v="Accepted"/>
    <x v="1"/>
    <s v="no"/>
    <n v="15000"/>
    <s v="paid"/>
  </r>
  <r>
    <s v="S0840091c004"/>
    <s v="SD"/>
    <s v="Pecahan"/>
    <s v="https://drive.google.com/open?id=1eeFgdLgb3m-gWdE3yNIaxW2tYrfuwNOP"/>
    <s v="S0840091c004"/>
    <d v="2021-09-24T00:00:00"/>
    <x v="64"/>
    <n v="-638"/>
    <x v="120"/>
    <n v="0"/>
    <m/>
    <s v="Accepted"/>
    <x v="1"/>
    <s v="no"/>
    <n v="15000"/>
    <s v="paid"/>
  </r>
  <r>
    <s v="S0051004E012"/>
    <s v="SD"/>
    <s v="Bangun Ruang Sisi Lengkung"/>
    <s v="https://drive.google.com/open?id=1YFHsS6qxMOS4Muoto8jU_UU8pZOPvgM_"/>
    <s v="S0051004E012"/>
    <d v="2021-09-24T00:00:00"/>
    <x v="64"/>
    <n v="-638"/>
    <x v="120"/>
    <n v="0"/>
    <m/>
    <s v="Accepted"/>
    <x v="1"/>
    <s v="no"/>
    <n v="15000"/>
    <s v="paid"/>
  </r>
  <r>
    <s v="S0471922E002"/>
    <s v="SD"/>
    <s v="Operasi Bilangan Pecahan"/>
    <s v="https://drive.google.com/open?id=149y0slhH11DpezQHyW6vgBzWer8Jqjhu"/>
    <s v="S0471922E002"/>
    <d v="2021-09-24T00:00:00"/>
    <x v="64"/>
    <n v="-638"/>
    <x v="120"/>
    <n v="0"/>
    <m/>
    <s v="Accepted"/>
    <x v="1"/>
    <s v="no"/>
    <n v="15000"/>
    <s v="paid"/>
  </r>
  <r>
    <s v="T0204601P004"/>
    <s v="SD"/>
    <s v="Skala"/>
    <s v="https://drive.google.com/open?id=1-zOlu9PQ1oUrf6iz5B9oR-46kVWluvvc"/>
    <s v="T0204601P004"/>
    <d v="2021-09-24T00:00:00"/>
    <x v="65"/>
    <n v="-624"/>
    <x v="120"/>
    <n v="640"/>
    <s v="Corr"/>
    <s v="Rejected"/>
    <x v="0"/>
    <s v="no"/>
    <n v="0"/>
    <s v="not yet"/>
  </r>
  <r>
    <s v="S0491361E001"/>
    <s v="SD"/>
    <s v="Sistem Koordinat"/>
    <s v="https://drive.google.com/open?id=1fC8bcjmciR--uqJdCePHy8ZATXR4eTK2"/>
    <s v="S0491361E001"/>
    <d v="2021-09-20T00:00:00"/>
    <x v="65"/>
    <n v="-624"/>
    <x v="121"/>
    <n v="644"/>
    <s v="Inquiry"/>
    <s v="Rejected"/>
    <x v="0"/>
    <s v="no"/>
    <n v="0"/>
    <s v="not yet"/>
  </r>
  <r>
    <s v="S0520141E002"/>
    <s v="SD"/>
    <s v="Bilangan Bulat"/>
    <s v="https://drive.google.com/open?id=1ws12otnnhEom_pu2FQ8gPwEsKQhyAS_b"/>
    <s v="S0520141E002"/>
    <d v="2021-09-27T00:00:00"/>
    <x v="66"/>
    <n v="-634"/>
    <x v="122"/>
    <n v="0"/>
    <m/>
    <s v="Accepted"/>
    <x v="1"/>
    <s v="no"/>
    <n v="15000"/>
    <s v="paid"/>
  </r>
  <r>
    <s v="T019C501P001"/>
    <s v="SD"/>
    <s v="Kecepatan Dan Debit"/>
    <s v="https://drive.google.com/open?id=1V4p3cDFGRYwEaqHGaBRIs9b1nzj8f7Ce"/>
    <s v="T019C501P001"/>
    <d v="2021-09-27T00:00:00"/>
    <x v="66"/>
    <n v="-634"/>
    <x v="122"/>
    <n v="0"/>
    <m/>
    <s v="Accepted"/>
    <x v="1"/>
    <s v="no"/>
    <n v="15000"/>
    <s v="paid"/>
  </r>
  <r>
    <s v="T008M801P001"/>
    <s v="SD"/>
    <s v="Bilangan Bulat"/>
    <s v="https://drive.google.com/open?id=1T2Axn8eYaz9T3s6y4XUj8HKev1dZePvb"/>
    <s v="T008M801P001"/>
    <d v="2021-09-27T00:00:00"/>
    <x v="66"/>
    <n v="-634"/>
    <x v="122"/>
    <n v="0"/>
    <m/>
    <s v="Accepted"/>
    <x v="1"/>
    <s v="no"/>
    <n v="15000"/>
    <s v="paid"/>
  </r>
  <r>
    <s v="T006F203P001"/>
    <s v="SD"/>
    <s v="Bilangan Bulat"/>
    <s v="https://drive.google.com/open?id=1Snl-_mo_10PGVZmtuhiEcTdt4ThnrU_B"/>
    <s v="T006F203P001"/>
    <d v="2021-09-27T00:00:00"/>
    <x v="66"/>
    <n v="-634"/>
    <x v="122"/>
    <n v="0"/>
    <m/>
    <s v="Accepted"/>
    <x v="1"/>
    <s v="no"/>
    <n v="15000"/>
    <s v="paid"/>
  </r>
  <r>
    <s v="T0065405P001"/>
    <s v="SD"/>
    <s v="Bilangan Bulat"/>
    <s v="https://drive.google.com/open?id=1sJP93npVeJmgkAW3T8u7GwnW0koEu-Mx"/>
    <s v="T0065405P001"/>
    <d v="2021-09-27T00:00:00"/>
    <x v="66"/>
    <n v="-634"/>
    <x v="122"/>
    <n v="0"/>
    <m/>
    <s v="Accepted"/>
    <x v="1"/>
    <s v="no"/>
    <n v="15000"/>
    <s v="paid"/>
  </r>
  <r>
    <s v="T022O901E001"/>
    <s v="SD"/>
    <s v="Kecepatan Dan Debit"/>
    <s v="https://drive.google.com/open?id=1SDjdBKtbgAlpYlAthSdB7gQRxD2OkN8B"/>
    <s v="T022O901E001"/>
    <d v="2021-09-27T00:00:00"/>
    <x v="66"/>
    <n v="-634"/>
    <x v="122"/>
    <n v="0"/>
    <m/>
    <s v="Accepted"/>
    <x v="1"/>
    <s v="no"/>
    <n v="15000"/>
    <s v="paid"/>
  </r>
  <r>
    <s v="S0541191E001"/>
    <s v="SD"/>
    <s v="Pengumpulan Dan Penyajian Data"/>
    <s v="https://drive.google.com/open?id=1Ed9QGQe4NwT0hR4UrnpJXONUWpRJ0M2U"/>
    <s v="S0541191E001"/>
    <d v="2021-09-13T00:00:00"/>
    <x v="57"/>
    <n v="-631"/>
    <x v="123"/>
    <n v="0"/>
    <m/>
    <s v="Accepted"/>
    <x v="1"/>
    <s v="no"/>
    <n v="15000"/>
    <s v="paid"/>
  </r>
  <r>
    <s v="S0212111E002"/>
    <s v="SD"/>
    <s v="Bangun Ruang"/>
    <s v="https://drive.google.com/open?id=1845lNgJ2_cI14rH1qucpdPtHPRH1X1yJ"/>
    <s v="S0212111E002"/>
    <d v="2021-09-20T00:00:00"/>
    <x v="57"/>
    <n v="-631"/>
    <x v="123"/>
    <n v="0"/>
    <m/>
    <s v="Accepted"/>
    <x v="0"/>
    <s v="no"/>
    <n v="15000"/>
    <s v="paid"/>
  </r>
  <r>
    <s v="T007O801P001"/>
    <s v="SD"/>
    <s v="Aproksimasi / Pembulatan"/>
    <s v="https://drive.google.com/open?id=1cn1HHLk2agvLp3CHBALGldqvXr9mzNwv"/>
    <s v="T007O801P001"/>
    <d v="2021-09-24T00:00:00"/>
    <x v="57"/>
    <n v="-631"/>
    <x v="123"/>
    <n v="640"/>
    <s v="Corr"/>
    <s v="Rejected"/>
    <x v="0"/>
    <s v="yes"/>
    <n v="0"/>
    <s v="not yet"/>
  </r>
  <r>
    <s v="T007O101P001"/>
    <s v="SD"/>
    <s v="Aproksimasi / Pembulatan"/>
    <s v="https://drive.google.com/open?id=1hkcriSO3F5aEHv9CGIjFo_9QSlHGcNKD"/>
    <s v="T007O101P001"/>
    <d v="2021-09-27T00:00:00"/>
    <x v="57"/>
    <n v="-631"/>
    <x v="123"/>
    <n v="637"/>
    <s v="Corr"/>
    <s v="Rejected"/>
    <x v="0"/>
    <s v="no"/>
    <n v="0"/>
    <s v="not yet"/>
  </r>
  <r>
    <s v="T0205001P008"/>
    <s v="SD"/>
    <s v="Skala"/>
    <s v="https://drive.google.com/open?id=1jzz7gzoRwo9M-Fp3HSrlBQ4tt6ChhaAG"/>
    <s v="T0205001P008"/>
    <d v="2021-09-27T00:00:00"/>
    <x v="57"/>
    <n v="-631"/>
    <x v="123"/>
    <n v="0"/>
    <m/>
    <s v="Accepted"/>
    <x v="1"/>
    <s v="no"/>
    <n v="15000"/>
    <s v="paid"/>
  </r>
  <r>
    <s v="V0030673E001"/>
    <s v="SD"/>
    <s v="Pengumpulan Dan Penyajian Data"/>
    <s v="https://drive.google.com/open?id=1FlHqkOYyfCuFy-9iiRnJ0m4PWPWP0Ka5"/>
    <s v="V0030673E001"/>
    <d v="2021-09-27T00:00:00"/>
    <x v="57"/>
    <n v="-631"/>
    <x v="123"/>
    <n v="0"/>
    <m/>
    <s v="Accepted"/>
    <x v="1"/>
    <s v="no"/>
    <n v="15000"/>
    <s v="paid"/>
  </r>
  <r>
    <s v="T0068801P001"/>
    <s v="SD"/>
    <s v="Bilangan Bulat"/>
    <s v="https://drive.google.com/open?id=1w3CHO3P30C--5JGxb5UZL4Vleze2_m_O"/>
    <s v="T0068801P001"/>
    <d v="2021-09-27T00:00:00"/>
    <x v="57"/>
    <n v="-631"/>
    <x v="123"/>
    <n v="0"/>
    <m/>
    <s v="Accepted"/>
    <x v="1"/>
    <s v="no"/>
    <n v="15000"/>
    <s v="paid"/>
  </r>
  <r>
    <s v="T0404518E058"/>
    <s v="SD"/>
    <s v="Skala"/>
    <s v="https://drive.google.com/open?id=1UdFdSbMLsOpKDnS1ju9kbCwiXr-OOZDz"/>
    <s v="T0404518E058"/>
    <d v="2021-09-27T00:00:00"/>
    <x v="57"/>
    <n v="-631"/>
    <x v="123"/>
    <n v="0"/>
    <m/>
    <s v="Accepted"/>
    <x v="1"/>
    <s v="no"/>
    <n v="15000"/>
    <s v="paid"/>
  </r>
  <r>
    <s v="T0389601E002"/>
    <s v="SD"/>
    <s v="Kecepatan Dan Debit"/>
    <s v="https://drive.google.com/open?id=1tFhroAPc59yZzTkjr8BbfjlimDOfbCSr"/>
    <s v="T0389601E002"/>
    <d v="2021-09-27T00:00:00"/>
    <x v="57"/>
    <n v="-631"/>
    <x v="123"/>
    <n v="0"/>
    <m/>
    <s v="Accepted"/>
    <x v="1"/>
    <s v="no"/>
    <n v="15000"/>
    <s v="paid"/>
  </r>
  <r>
    <s v="V0220301P002"/>
    <s v="SD"/>
    <s v="Skala"/>
    <s v="https://drive.google.com/open?id=1suTEIps2Sway6XIzyBHI1V5b7zUiypl1"/>
    <s v="V0220301P002"/>
    <d v="2021-09-27T00:00:00"/>
    <x v="57"/>
    <n v="-631"/>
    <x v="123"/>
    <n v="0"/>
    <m/>
    <s v="Accepted"/>
    <x v="1"/>
    <s v="no"/>
    <n v="15000"/>
    <s v="paid"/>
  </r>
  <r>
    <s v="T0092003E001"/>
    <s v="SD"/>
    <s v="Kecepatan Dan Debit"/>
    <s v="https://drive.google.com/open?id=1ykQ5-urO9hmrOT31bobwcoPvkOUiXC8j"/>
    <s v="T0092003E001"/>
    <d v="2021-10-01T00:00:00"/>
    <x v="57"/>
    <n v="-631"/>
    <x v="123"/>
    <n v="0"/>
    <m/>
    <s v="Accepted"/>
    <x v="1"/>
    <s v="no"/>
    <n v="15000"/>
    <s v="paid"/>
  </r>
  <r>
    <s v="S0850981E003"/>
    <s v="SD"/>
    <s v="KPK dan FPB"/>
    <s v="https://drive.google.com/open?id=1YgAUcgLMLwfuynfB3rCiPDMjY0mpGOC7"/>
    <s v="S0850981E003"/>
    <d v="2021-10-01T00:00:00"/>
    <x v="57"/>
    <n v="-631"/>
    <x v="123"/>
    <n v="633"/>
    <s v="Corr"/>
    <s v="Rejected"/>
    <x v="0"/>
    <s v="no"/>
    <n v="0"/>
    <s v="not yet"/>
  </r>
  <r>
    <s v="S0880651P003"/>
    <s v="SD"/>
    <s v="KPK dan FPB"/>
    <s v="https://drive.google.com/open?id=1YADB_QQjDYnWECiVv9adqdFJCjWCr1ye"/>
    <s v="S0880651P003"/>
    <d v="2021-10-01T00:00:00"/>
    <x v="57"/>
    <n v="-631"/>
    <x v="123"/>
    <n v="633"/>
    <s v="Corr"/>
    <s v="Rejected"/>
    <x v="0"/>
    <s v="no"/>
    <n v="0"/>
    <s v="not yet"/>
  </r>
  <r>
    <s v="U0010291E001"/>
    <s v="SD"/>
    <s v="Pecahan"/>
    <s v="https://drive.google.com/open?id=1Xx7D319Ryg4oh029fIRqZ-6FxLCXrha3"/>
    <s v="U0010291E001"/>
    <d v="2021-10-01T00:00:00"/>
    <x v="57"/>
    <n v="-631"/>
    <x v="123"/>
    <n v="0"/>
    <m/>
    <s v="Accepted"/>
    <x v="1"/>
    <s v="no"/>
    <n v="15000"/>
    <s v="paid"/>
  </r>
  <r>
    <s v="T0170454E004"/>
    <s v="SD"/>
    <s v="Operasi Bilangan Pecahan"/>
    <s v="https://drive.google.com/open?id=1xuBVdbXYZN6drYP7a6etJ-41BOi-8ohj"/>
    <s v="T0170454E004"/>
    <d v="2021-10-01T00:00:00"/>
    <x v="57"/>
    <n v="-631"/>
    <x v="123"/>
    <n v="0"/>
    <m/>
    <s v="Accepted"/>
    <x v="1"/>
    <s v="no"/>
    <n v="15000"/>
    <s v="paid"/>
  </r>
  <r>
    <s v="U0010761E004"/>
    <s v="SD"/>
    <s v="Operasi Bilangan Pecahan"/>
    <s v="https://drive.google.com/open?id=1xpIKWHT3OjEISvNx_Fszg0gxW-D7IXfc"/>
    <s v="U0010761E004"/>
    <d v="2021-10-01T00:00:00"/>
    <x v="57"/>
    <n v="-631"/>
    <x v="123"/>
    <n v="0"/>
    <m/>
    <s v="Accepted"/>
    <x v="1"/>
    <s v="no"/>
    <n v="15000"/>
    <s v="paid"/>
  </r>
  <r>
    <s v="V0213212E004"/>
    <s v="SD"/>
    <s v="KPK dan FPB"/>
    <s v="https://drive.google.com/open?id=1xKeerG785CasUo6-5vbCUNUdDku0Mrvp"/>
    <s v="V0213212E004"/>
    <d v="2021-10-01T00:00:00"/>
    <x v="57"/>
    <n v="-631"/>
    <x v="123"/>
    <n v="0"/>
    <m/>
    <s v="Accepted"/>
    <x v="1"/>
    <s v="no"/>
    <n v="15000"/>
    <s v="paid"/>
  </r>
  <r>
    <s v="S0900693E001"/>
    <s v="SD"/>
    <s v="Operasi Bilangan Pecahan"/>
    <s v="https://drive.google.com/open?id=1XIQzeJ-1lIjUiQgQ65cAvG2aiKS_jF8j"/>
    <s v="S0900693E001"/>
    <d v="2021-10-01T00:00:00"/>
    <x v="57"/>
    <n v="-631"/>
    <x v="123"/>
    <n v="0"/>
    <m/>
    <s v="Accepted"/>
    <x v="1"/>
    <s v="no"/>
    <n v="15000"/>
    <s v="paid"/>
  </r>
  <r>
    <s v="V0213212E009"/>
    <s v="SD"/>
    <s v="KPK dan FPB"/>
    <s v="https://drive.google.com/open?id=1xhV8ESuowNwapu_oCXCqqzBS_L36HbMx"/>
    <s v="V0213212E009"/>
    <d v="2021-10-01T00:00:00"/>
    <x v="57"/>
    <n v="-631"/>
    <x v="123"/>
    <n v="0"/>
    <m/>
    <s v="Accepted"/>
    <x v="1"/>
    <s v="no"/>
    <n v="15000"/>
    <s v="paid"/>
  </r>
  <r>
    <s v="T007V302P001"/>
    <s v="SD"/>
    <s v="Aproksimasi / Pembulatan"/>
    <s v="https://drive.google.com/open?id=1DcCeWHSEpdN45gOoQzxaRlXpQmyld9Xz"/>
    <s v="T007V302P001"/>
    <d v="2021-09-22T00:00:00"/>
    <x v="65"/>
    <n v="-624"/>
    <x v="123"/>
    <n v="642"/>
    <s v="Inquiry"/>
    <s v="Rejected"/>
    <x v="0"/>
    <s v="no"/>
    <n v="0"/>
    <s v="not yet"/>
  </r>
  <r>
    <s v="T0300508P014"/>
    <s v="SD"/>
    <s v="Operasi Bilangan Pecahan"/>
    <s v="https://drive.google.com/open?id=1CwMVuybyO9vxbSazTcj1sTKccC5Hgpzh"/>
    <s v="T0300508P014"/>
    <d v="2021-09-27T00:00:00"/>
    <x v="65"/>
    <n v="-624"/>
    <x v="124"/>
    <n v="0"/>
    <m/>
    <s v="Accepted"/>
    <x v="1"/>
    <s v="yes"/>
    <n v="18000"/>
    <s v="paid"/>
  </r>
  <r>
    <s v="S0150351E002"/>
    <s v="SD"/>
    <s v="Pecahan"/>
    <s v="https://drive.google.com/open?id=16z9RgX4Jzu2uxGMzciIAwuO25VKtDiYk"/>
    <s v="S0150351E002"/>
    <d v="2021-09-27T00:00:00"/>
    <x v="65"/>
    <n v="-624"/>
    <x v="124"/>
    <n v="0"/>
    <m/>
    <s v="Accepted"/>
    <x v="1"/>
    <s v="yes"/>
    <n v="18000"/>
    <s v="paid"/>
  </r>
  <r>
    <s v="S0340582E001"/>
    <s v="SD"/>
    <s v="KPK dan FPB"/>
    <s v="https://drive.google.com/open?id=1Xxm_n9C3oWsgmldMhMLNlEhiYK8dIfeZ"/>
    <s v="S0340582E001"/>
    <d v="2021-10-04T00:00:00"/>
    <x v="65"/>
    <n v="-624"/>
    <x v="124"/>
    <n v="0"/>
    <m/>
    <s v="Accepted"/>
    <x v="1"/>
    <s v="no"/>
    <n v="15000"/>
    <s v="paid"/>
  </r>
  <r>
    <s v="S0870962E001"/>
    <s v="SD"/>
    <s v="Aproksimasi / Pembulatan"/>
    <s v="https://drive.google.com/open?id=1qekCf6zA0oBEfvM0JaSyW6mtBXg8QtI4"/>
    <s v="S0870962E001"/>
    <d v="2021-10-04T00:00:00"/>
    <x v="65"/>
    <n v="-624"/>
    <x v="124"/>
    <n v="0"/>
    <m/>
    <s v="Accepted"/>
    <x v="1"/>
    <s v="no"/>
    <n v="15000"/>
    <s v="paid"/>
  </r>
  <r>
    <s v="S0910511E003"/>
    <s v="SD"/>
    <s v="Operasi Bilangan Pecahan"/>
    <s v="https://drive.google.com/open?id=1QCtWvaFxKwqqYSfAHCcVtJdwM86EzS1G"/>
    <s v="S0910511E003"/>
    <d v="2021-10-04T00:00:00"/>
    <x v="65"/>
    <n v="-624"/>
    <x v="124"/>
    <n v="0"/>
    <m/>
    <s v="Accepted"/>
    <x v="1"/>
    <s v="no"/>
    <n v="15000"/>
    <s v="paid"/>
  </r>
  <r>
    <s v="S0880853b001"/>
    <s v="SD"/>
    <s v="Aproksimasi / Pembulatan"/>
    <s v="https://drive.google.com/open?id=1qCIbtDpi0ITimWeNwTAsGi7CXEC917x6"/>
    <s v="S0880853b001"/>
    <d v="2021-10-04T00:00:00"/>
    <x v="65"/>
    <n v="-624"/>
    <x v="124"/>
    <n v="0"/>
    <m/>
    <s v="Accepted"/>
    <x v="1"/>
    <s v="no"/>
    <n v="15000"/>
    <s v="paid"/>
  </r>
  <r>
    <s v="T008G402P001"/>
    <s v="SD"/>
    <s v="Operasi Bilangan Pecahan"/>
    <s v="https://drive.google.com/open?id=1qcC84qFQZXAV8TNQwofPkKWUlwiAQ2mI"/>
    <s v="T008G402P001"/>
    <d v="2021-10-04T00:00:00"/>
    <x v="65"/>
    <n v="-624"/>
    <x v="124"/>
    <n v="0"/>
    <m/>
    <s v="Accepted"/>
    <x v="1"/>
    <s v="no"/>
    <n v="15000"/>
    <s v="paid"/>
  </r>
  <r>
    <s v="S0860891E004"/>
    <s v="SD"/>
    <s v="Aproksimasi / Pembulatan"/>
    <s v="https://drive.google.com/open?id=1QawAG5ETFmYKTKKxfgwC5dVzNXKJ3NQ5"/>
    <s v="S0860891E004"/>
    <d v="2021-10-04T00:00:00"/>
    <x v="65"/>
    <n v="-624"/>
    <x v="124"/>
    <n v="0"/>
    <m/>
    <s v="Accepted"/>
    <x v="1"/>
    <s v="no"/>
    <n v="15000"/>
    <s v="paid"/>
  </r>
  <r>
    <s v="S0880332E003"/>
    <s v="SD"/>
    <s v="Aproksimasi / Pembulatan"/>
    <s v="https://drive.google.com/open?id=1q84JrHm6qp7tTzoRx7v75_dgIY7x-zCy"/>
    <s v="S0880332E003"/>
    <d v="2021-10-04T00:00:00"/>
    <x v="65"/>
    <n v="-624"/>
    <x v="124"/>
    <n v="0"/>
    <m/>
    <s v="Accepted"/>
    <x v="1"/>
    <s v="no"/>
    <n v="15000"/>
    <s v="paid"/>
  </r>
  <r>
    <s v="V0191402P010"/>
    <s v="SD"/>
    <s v="Perpangkatan Dan Akar"/>
    <s v="https://drive.google.com/open?id=1kl5QbVhIliXj_uK1wLGbEFjEwEdW7SD4"/>
    <s v="V0191402P010"/>
    <d v="2021-10-04T00:00:00"/>
    <x v="65"/>
    <n v="-624"/>
    <x v="125"/>
    <n v="0"/>
    <m/>
    <s v="Accepted"/>
    <x v="1"/>
    <s v="no"/>
    <n v="15000"/>
    <s v="paid"/>
  </r>
  <r>
    <s v="T038B501E004"/>
    <s v="SD"/>
    <s v="Kecepatan Dan Debit"/>
    <s v="https://drive.google.com/open?id=1VaqE9jSJekITskJHkJoi2sbdHxA3dM_d"/>
    <s v="T038B501E004"/>
    <d v="2021-10-04T00:00:00"/>
    <x v="65"/>
    <n v="-624"/>
    <x v="125"/>
    <n v="0"/>
    <m/>
    <s v="Accepted"/>
    <x v="1"/>
    <s v="no"/>
    <n v="15000"/>
    <s v="paid"/>
  </r>
  <r>
    <s v="T0170149P005"/>
    <s v="SD"/>
    <s v="Pecahan"/>
    <s v="https://drive.google.com/open?id=1yCOzeGGzEd5TfiCjSqaR889sw5OqT5S2"/>
    <s v="T0170149P005"/>
    <d v="2021-10-04T00:00:00"/>
    <x v="65"/>
    <n v="-624"/>
    <x v="125"/>
    <n v="0"/>
    <m/>
    <s v="Accepted"/>
    <x v="1"/>
    <s v="no"/>
    <n v="15000"/>
    <s v="paid"/>
  </r>
  <r>
    <s v="T008X101P001"/>
    <s v="SD"/>
    <s v="Operasi Bilangan Pecahan"/>
    <s v="https://drive.google.com/open?id=1XD8iGjltK9Wf4eJwtpH9LtQhiB6Df_2L"/>
    <s v="T008X101P001"/>
    <d v="2021-10-04T00:00:00"/>
    <x v="65"/>
    <n v="-624"/>
    <x v="125"/>
    <n v="0"/>
    <m/>
    <s v="Accepted"/>
    <x v="1"/>
    <s v="no"/>
    <n v="15000"/>
    <s v="paid"/>
  </r>
  <r>
    <s v="V0060891E007"/>
    <s v="SD"/>
    <s v="Operasi Bilangan Pecahan"/>
    <s v="https://drive.google.com/open?id=1qFdObshFi7J3fTsi5yyos2npoSHXAvB7"/>
    <s v="V0060891E007"/>
    <d v="2021-10-04T00:00:00"/>
    <x v="65"/>
    <n v="-624"/>
    <x v="125"/>
    <n v="0"/>
    <m/>
    <s v="Accepted"/>
    <x v="1"/>
    <s v="no"/>
    <n v="15000"/>
    <s v="paid"/>
  </r>
  <r>
    <s v="V0210952E006"/>
    <s v="SD"/>
    <s v="Operasi Bilangan Pecahan"/>
    <s v="https://drive.google.com/open?id=1QeLGhh0fXoL4LSWCxkBCe4fFVp4WFPxT"/>
    <s v="V0210952E006"/>
    <d v="2021-10-04T00:00:00"/>
    <x v="65"/>
    <n v="-624"/>
    <x v="125"/>
    <n v="0"/>
    <m/>
    <s v="Accepted"/>
    <x v="1"/>
    <s v="no"/>
    <n v="15000"/>
    <s v="paid"/>
  </r>
  <r>
    <s v="T0100357E004"/>
    <s v="SD"/>
    <s v="Operasi Bilangan Pecahan"/>
    <s v="https://drive.google.com/open?id=1qEg9K3cMdiOhMuUKuoAEig-GHZvKZ5f2"/>
    <s v="T0100357E004"/>
    <d v="2021-10-04T00:00:00"/>
    <x v="65"/>
    <n v="-624"/>
    <x v="125"/>
    <n v="0"/>
    <m/>
    <s v="Accepted"/>
    <x v="1"/>
    <s v="no"/>
    <n v="15000"/>
    <s v="paid"/>
  </r>
  <r>
    <s v="T0100231P015"/>
    <s v="SD"/>
    <s v="Operasi Bilangan Pecahan"/>
    <s v="https://drive.google.com/open?id=1QdM6TYMVzmqk4lXnZNoZCFS8vRhS6ep8"/>
    <s v="T0100231P015"/>
    <d v="2021-10-04T00:00:00"/>
    <x v="65"/>
    <n v="-624"/>
    <x v="125"/>
    <n v="0"/>
    <m/>
    <s v="Accepted"/>
    <x v="1"/>
    <s v="no"/>
    <n v="15000"/>
    <s v="paid"/>
  </r>
  <r>
    <s v="V0211151P019"/>
    <s v="SD"/>
    <s v="Operasi Bilangan Pecahan"/>
    <s v="https://drive.google.com/open?id=1qcBOex9MQ5QCRA0fb9KS0O8KVb1rRr-o"/>
    <s v="V0211151P019"/>
    <d v="2021-10-04T00:00:00"/>
    <x v="65"/>
    <n v="-624"/>
    <x v="125"/>
    <n v="0"/>
    <m/>
    <s v="Accepted"/>
    <x v="1"/>
    <s v="no"/>
    <n v="15000"/>
    <s v="paid"/>
  </r>
  <r>
    <s v="T0404618E073"/>
    <s v="SD"/>
    <s v="Bangun Datar"/>
    <s v="https://drive.google.com/open?id=1Q98gvYM-Xc0hiqv2aPpPSexypH9b0Qmj"/>
    <s v="T0404618E073"/>
    <d v="2021-10-04T00:00:00"/>
    <x v="65"/>
    <n v="-624"/>
    <x v="125"/>
    <n v="0"/>
    <m/>
    <s v="Accepted"/>
    <x v="1"/>
    <s v="no"/>
    <n v="15000"/>
    <s v="paid"/>
  </r>
  <r>
    <s v="T0100264P014"/>
    <s v="SD"/>
    <s v="Operasi Bilangan Pecahan"/>
    <s v="https://drive.google.com/open?id=1Q8vDNMLzuMWzVm1kXo8KEBs8y_wLsBpD"/>
    <s v="T0100264P014"/>
    <d v="2021-10-04T00:00:00"/>
    <x v="65"/>
    <n v="-624"/>
    <x v="125"/>
    <n v="0"/>
    <m/>
    <s v="Accepted"/>
    <x v="1"/>
    <s v="no"/>
    <n v="15000"/>
    <s v="paid"/>
  </r>
  <r>
    <s v="T0110424E036"/>
    <s v="SD"/>
    <s v="Operasi Bilangan Pecahan"/>
    <s v="https://drive.google.com/open?id=1Q8gk2VhAw-Z9i-9yuR5MjbtZVM__HQ8A"/>
    <s v="T0110424E036"/>
    <d v="2021-10-04T00:00:00"/>
    <x v="65"/>
    <n v="-624"/>
    <x v="125"/>
    <n v="0"/>
    <m/>
    <s v="Accepted"/>
    <x v="1"/>
    <s v="no"/>
    <n v="15000"/>
    <s v="paid"/>
  </r>
  <r>
    <s v="T0100122P006"/>
    <s v="SD"/>
    <s v="Operasi Bilangan Pecahan"/>
    <s v="https://drive.google.com/open?id=1q7D7E7wKqV3rgpbSsRsvm0RV_Frp3JpN"/>
    <s v="T0100122P006"/>
    <d v="2021-10-04T00:00:00"/>
    <x v="65"/>
    <n v="-624"/>
    <x v="125"/>
    <n v="0"/>
    <m/>
    <s v="Accepted"/>
    <x v="1"/>
    <s v="no"/>
    <n v="15000"/>
    <s v="paid"/>
  </r>
  <r>
    <s v="T01002A1P022"/>
    <s v="SD"/>
    <s v="Operasi Bilangan Pecahan"/>
    <s v="https://drive.google.com/open?id=1q7bz8DL-hc2my8nZ49aQXSgx5iylnivc"/>
    <s v="T01002A1P022"/>
    <d v="2021-10-04T00:00:00"/>
    <x v="65"/>
    <n v="-624"/>
    <x v="125"/>
    <n v="0"/>
    <m/>
    <s v="Accepted"/>
    <x v="1"/>
    <s v="no"/>
    <n v="15000"/>
    <s v="paid"/>
  </r>
  <r>
    <s v="S0301711b002"/>
    <s v="SD"/>
    <s v="Statistika 6"/>
    <s v="https://drive.google.com/open?id=1d73fyh4U9VvyibAlLWNfvU0SNg8-ITc8"/>
    <s v="S0301711b002"/>
    <d v="2021-09-04T00:00:00"/>
    <x v="65"/>
    <n v="-624"/>
    <x v="126"/>
    <n v="0"/>
    <m/>
    <s v="Accepted"/>
    <x v="2"/>
    <s v="no"/>
    <n v="15000"/>
    <s v="paid"/>
  </r>
  <r>
    <s v="S0451471E002"/>
    <s v="SD"/>
    <s v="Pecahan"/>
    <s v="https://drive.google.com/open?id=1RdzdakSb8pEBPSyharkecbYnYGkTwnEq"/>
    <s v="S0451471E002"/>
    <d v="2021-09-20T00:00:00"/>
    <x v="65"/>
    <n v="-624"/>
    <x v="126"/>
    <n v="0"/>
    <m/>
    <s v="Accepted"/>
    <x v="0"/>
    <s v="no"/>
    <n v="15000"/>
    <s v="paid"/>
  </r>
  <r>
    <s v="S0010322E001"/>
    <s v="SD"/>
    <s v="Aproksimasi / Pembulatan"/>
    <s v="https://drive.google.com/open?id=1Rk2tp4l4uieQ7_n2Pc76ZODZLkCZDbPl"/>
    <s v="S0010322E001"/>
    <d v="2021-09-20T00:00:00"/>
    <x v="65"/>
    <n v="-624"/>
    <x v="126"/>
    <n v="0"/>
    <m/>
    <s v="Accepted"/>
    <x v="0"/>
    <s v="yes"/>
    <n v="18000"/>
    <s v="paid"/>
  </r>
  <r>
    <s v="S0100432E011"/>
    <s v="SD"/>
    <s v="Aproksimasi / Pembulatan"/>
    <s v="https://drive.google.com/open?id=1NzFWrhWUd0CLedacX23keS_lzHgh-qPb"/>
    <s v="S0100432E011"/>
    <d v="2021-09-20T00:00:00"/>
    <x v="65"/>
    <n v="-624"/>
    <x v="126"/>
    <n v="0"/>
    <m/>
    <s v="Accepted"/>
    <x v="0"/>
    <s v="no"/>
    <n v="15000"/>
    <s v="paid"/>
  </r>
  <r>
    <s v="S0110411E002"/>
    <s v="SD"/>
    <s v="Aproksimasi / Pembulatan"/>
    <s v="https://drive.google.com/open?id=1CqhKYcPd4apaT-qp6HGNs21FgMYic0Tv"/>
    <s v="S0110411E002"/>
    <d v="2021-09-20T00:00:00"/>
    <x v="65"/>
    <n v="-624"/>
    <x v="126"/>
    <n v="0"/>
    <m/>
    <s v="Accepted"/>
    <x v="0"/>
    <s v="no"/>
    <n v="15000"/>
    <s v="paid"/>
  </r>
  <r>
    <s v="S0261641E005"/>
    <s v="SD"/>
    <s v="Bangun Datar"/>
    <s v="https://drive.google.com/open?id=1bQswanMAQJfUJi9gJDVacIsLfA6zvXTe"/>
    <s v="S0261641E005"/>
    <d v="2021-10-04T00:00:00"/>
    <x v="65"/>
    <n v="-624"/>
    <x v="126"/>
    <n v="0"/>
    <m/>
    <s v="Accepted"/>
    <x v="0"/>
    <s v="no"/>
    <n v="15000"/>
    <s v="paid"/>
  </r>
  <r>
    <s v="S0100562E001"/>
    <s v="SD"/>
    <s v="Aproksimasi / Pembulatan"/>
    <s v="https://drive.google.com/open?id=1GqWaZwVWM8yGCzhR9yNhP1Rdb6kFObG7"/>
    <s v="S0100562E001"/>
    <d v="2021-10-04T00:00:00"/>
    <x v="65"/>
    <n v="-624"/>
    <x v="126"/>
    <n v="0"/>
    <m/>
    <s v="Accepted"/>
    <x v="0"/>
    <s v="no"/>
    <n v="15000"/>
    <s v="paid"/>
  </r>
  <r>
    <s v="S0442341P029"/>
    <s v="SD"/>
    <s v="Sistem Koordinat"/>
    <s v="https://drive.google.com/open?id=1DtW4N5SyDvofa_brqLy2mJzRoQ2TQEUT"/>
    <s v="S0442341P029"/>
    <d v="2021-10-04T00:00:00"/>
    <x v="65"/>
    <n v="-624"/>
    <x v="126"/>
    <n v="0"/>
    <m/>
    <s v="Accepted"/>
    <x v="0"/>
    <s v="no"/>
    <n v="15000"/>
    <s v="paid"/>
  </r>
  <r>
    <s v="S0910541E001"/>
    <s v="SD"/>
    <s v="Operasi Bilangan Pecahan"/>
    <s v="https://drive.google.com/open?id=1Q9Djlrwz6C7B3FIiIGNa_tObnhtqKbXT"/>
    <s v="S0910541E001"/>
    <d v="2021-10-04T00:00:00"/>
    <x v="65"/>
    <n v="-624"/>
    <x v="126"/>
    <n v="0"/>
    <m/>
    <s v="Accepted"/>
    <x v="1"/>
    <s v="yes"/>
    <n v="18000"/>
    <s v="paid"/>
  </r>
  <r>
    <s v="S0581921E004"/>
    <s v="SD"/>
    <s v="Pengumpulan Dan Penyajian Data"/>
    <s v="https://drive.google.com/open?id=1kUIp-onCXWBJ8JLKoZs9sUp4M3ORDxcd"/>
    <s v="S0581921E004"/>
    <d v="2021-09-20T00:00:00"/>
    <x v="65"/>
    <n v="-624"/>
    <x v="127"/>
    <n v="0"/>
    <m/>
    <s v="Accepted"/>
    <x v="0"/>
    <s v="yes"/>
    <n v="18000"/>
    <s v="paid"/>
  </r>
  <r>
    <s v="T0230558P020"/>
    <s v="SD"/>
    <s v="Bilangan Bulat"/>
    <s v="https://drive.google.com/open?id=1xgh3ZisPaVIF5Z7SrlhhdzoXqw0EgE-d"/>
    <s v="T0230558P020"/>
    <d v="2021-09-24T00:00:00"/>
    <x v="65"/>
    <n v="-624"/>
    <x v="127"/>
    <n v="0"/>
    <m/>
    <s v="Accepted"/>
    <x v="0"/>
    <s v="no"/>
    <n v="15000"/>
    <s v="paid"/>
  </r>
  <r>
    <s v="S0840091b001"/>
    <s v="SD"/>
    <s v="Pecahan"/>
    <s v="https://drive.google.com/open?id=1D1sBnjyLTjrzxfIWUWxXklagTaD1sJkH"/>
    <s v="S0840091b001"/>
    <d v="2021-09-24T00:00:00"/>
    <x v="65"/>
    <n v="-624"/>
    <x v="127"/>
    <n v="0"/>
    <m/>
    <s v="Accepted"/>
    <x v="0"/>
    <s v="no"/>
    <n v="15000"/>
    <s v="paid"/>
  </r>
  <r>
    <s v="T0100333E002"/>
    <s v="SD"/>
    <s v="Operasi Bilangan Pecahan"/>
    <s v="https://drive.google.com/open?id=1qe-FPitlFDCkPLp4g6cFkwMB83g-XGOQ"/>
    <s v="T0100333E002"/>
    <d v="2021-10-04T00:00:00"/>
    <x v="65"/>
    <n v="-624"/>
    <x v="127"/>
    <n v="0"/>
    <m/>
    <s v="Accepted"/>
    <x v="1"/>
    <s v="no"/>
    <n v="15000"/>
    <s v="paid"/>
  </r>
  <r>
    <s v="T0100180P006"/>
    <s v="SD"/>
    <s v="Bilangan Bulat"/>
    <s v="https://drive.google.com/open?id=1viJ8A7n5Iu1anqyTsqBbEh4M_v_qq_yw"/>
    <s v="T0100180P006"/>
    <d v="2021-09-27T00:00:00"/>
    <x v="67"/>
    <n v="-620"/>
    <x v="127"/>
    <n v="0"/>
    <m/>
    <s v="Accepted"/>
    <x v="0"/>
    <s v="no"/>
    <n v="15000"/>
    <s v="paid"/>
  </r>
  <r>
    <s v="S0830382E001"/>
    <s v="SD"/>
    <s v="Bilangan Bulat"/>
    <s v="https://drive.google.com/open?id=1TsJwtTljHQtMBjx6mUaLMkGhVVrgNb_s"/>
    <s v="S0830382E001"/>
    <d v="2021-09-27T00:00:00"/>
    <x v="67"/>
    <n v="-620"/>
    <x v="127"/>
    <n v="0"/>
    <m/>
    <s v="Accepted"/>
    <x v="0"/>
    <s v="no"/>
    <n v="15000"/>
    <s v="paid"/>
  </r>
  <r>
    <s v="T006B203P001"/>
    <s v="SD"/>
    <s v="Bangun Ruang"/>
    <s v="https://drive.google.com/open?id=1tTaSgU_NyWfZR5ytLOpiviElrQ_PBkHu"/>
    <s v="T006B203P001"/>
    <d v="2021-10-11T00:00:00"/>
    <x v="68"/>
    <n v="-617"/>
    <x v="128"/>
    <n v="623"/>
    <s v="Inquiry"/>
    <s v="Rejected"/>
    <x v="0"/>
    <s v="no"/>
    <n v="0"/>
    <s v="not yet"/>
  </r>
  <r>
    <s v="S0541321E009"/>
    <s v="SD"/>
    <s v="Pengumpulan Dan Penyajian Data"/>
    <s v="https://drive.google.com/open?id=1kWpuoy7SXb7BTW0Ws2Ctvqx7uMqaOuu2"/>
    <s v="S0541321E009"/>
    <d v="2021-09-13T00:00:00"/>
    <x v="68"/>
    <n v="-617"/>
    <x v="129"/>
    <n v="0"/>
    <m/>
    <s v="Accepted"/>
    <x v="1"/>
    <s v="yes"/>
    <n v="18000"/>
    <s v="paid"/>
  </r>
  <r>
    <s v="T0300421E005"/>
    <s v="SD"/>
    <s v="Operasi Bilangan Pecahan"/>
    <s v="https://drive.google.com/open?id=1jsqMaRzNjrornXgfnMsSSlOeWTzAw_rO"/>
    <s v="T0300421E005"/>
    <d v="2021-10-04T00:00:00"/>
    <x v="68"/>
    <n v="-617"/>
    <x v="129"/>
    <n v="0"/>
    <m/>
    <s v="Accepted"/>
    <x v="1"/>
    <s v="yes"/>
    <n v="18000"/>
    <s v="paid"/>
  </r>
  <r>
    <s v="V0220301P001"/>
    <s v="SD"/>
    <s v="Skala"/>
    <s v="https://drive.google.com/open?id=1QH8sshWUgHH6p379PCTMMd3s7l3cbhSP"/>
    <s v="V0220301P001"/>
    <d v="2021-10-04T00:00:00"/>
    <x v="68"/>
    <n v="-617"/>
    <x v="129"/>
    <n v="0"/>
    <m/>
    <s v="Accepted"/>
    <x v="1"/>
    <s v="yes"/>
    <n v="18000"/>
    <s v="paid"/>
  </r>
  <r>
    <s v="S0581911E001"/>
    <s v="SD"/>
    <s v="Pengumpulan Dan Penyajian Data"/>
    <s v="https://drive.google.com/open?id=1QY20Gl0GtPnwzdwypYtkiJQj9ClkE4ju"/>
    <s v="S0581911E001"/>
    <d v="2021-10-11T00:00:00"/>
    <x v="68"/>
    <n v="-617"/>
    <x v="129"/>
    <n v="623"/>
    <s v="QC"/>
    <s v="Rejected"/>
    <x v="0"/>
    <s v="no"/>
    <n v="0"/>
    <s v="not yet"/>
  </r>
  <r>
    <s v="S0840911b002"/>
    <s v="SD"/>
    <s v="Perpangkatan Dan Akar"/>
    <s v="https://drive.google.com/open?id=1rnHhL_upBcdi5pg231YfGfptqOuE_W-K"/>
    <s v="S0840911b002"/>
    <d v="2021-10-11T00:00:00"/>
    <x v="68"/>
    <n v="-617"/>
    <x v="129"/>
    <n v="0"/>
    <m/>
    <s v="Accepted"/>
    <x v="1"/>
    <s v="no"/>
    <n v="15000"/>
    <s v="not yet"/>
  </r>
  <r>
    <s v="T007M002P001"/>
    <s v="SD"/>
    <s v="Aproksimasi / Pembulatan"/>
    <s v="https://drive.google.com/open?id=1PFquUT6pho40KeLLjQYD7CbCa2j7QlLH"/>
    <s v="T007M002P001"/>
    <d v="2021-10-11T00:00:00"/>
    <x v="68"/>
    <n v="-617"/>
    <x v="129"/>
    <n v="0"/>
    <m/>
    <s v="Accepted"/>
    <x v="1"/>
    <s v="no"/>
    <n v="15000"/>
    <s v="not yet"/>
  </r>
  <r>
    <s v="T0230151P002"/>
    <s v="SD"/>
    <s v="Bilangan Bulat"/>
    <s v="https://drive.google.com/open?id=1SljbDyAGEvmPaD7yTCLZCbxV99mpKGhp"/>
    <s v="T0230151P002"/>
    <d v="2021-10-11T00:00:00"/>
    <x v="68"/>
    <n v="-617"/>
    <x v="129"/>
    <n v="0"/>
    <m/>
    <s v="Accepted"/>
    <x v="1"/>
    <s v="no"/>
    <n v="15000"/>
    <s v="not yet"/>
  </r>
  <r>
    <s v="T0300120P004"/>
    <s v="SD"/>
    <s v="Operasi Bilangan Pecahan"/>
    <s v="https://drive.google.com/open?id=1yWqVT1Pxz-kGJQfDvmV77R6L9DpY3bh7"/>
    <s v="T0300120P004"/>
    <d v="2021-10-11T00:00:00"/>
    <x v="68"/>
    <n v="-617"/>
    <x v="129"/>
    <n v="0"/>
    <m/>
    <s v="Accepted"/>
    <x v="1"/>
    <s v="no"/>
    <n v="15000"/>
    <s v="not yet"/>
  </r>
  <r>
    <s v="T0403012E013"/>
    <s v="SD"/>
    <s v="Kecepatan Dan Debit"/>
    <s v="https://drive.google.com/open?id=1wW1CXfho_CNblAbw00i81fVNRrPJlXEB"/>
    <s v="T0403012E013"/>
    <d v="2021-10-11T00:00:00"/>
    <x v="68"/>
    <n v="-617"/>
    <x v="129"/>
    <n v="0"/>
    <m/>
    <s v="Accepted"/>
    <x v="1"/>
    <s v="no"/>
    <n v="15000"/>
    <s v="not yet"/>
  </r>
  <r>
    <s v="T01003A4P032"/>
    <s v="SD"/>
    <s v="Skala"/>
    <s v="https://drive.google.com/open?id=1yn_qc3Po_qCWY3-HUVfShy9bqt0dOe5H"/>
    <s v="T01003A4P032"/>
    <d v="2021-10-11T00:00:00"/>
    <x v="68"/>
    <n v="-617"/>
    <x v="129"/>
    <n v="0"/>
    <m/>
    <s v="Accepted"/>
    <x v="1"/>
    <s v="no"/>
    <n v="15000"/>
    <s v="not yet"/>
  </r>
  <r>
    <s v="T0080401P001"/>
    <s v="SD"/>
    <s v="Kecepatan Dan Debit"/>
    <s v="https://drive.google.com/open?id=1YDixv1bFXs04IZE5CaDqhRwKR1_iZlVE"/>
    <s v="T0080401P001"/>
    <d v="2021-10-11T00:00:00"/>
    <x v="68"/>
    <n v="-617"/>
    <x v="129"/>
    <n v="0"/>
    <m/>
    <s v="Accepted"/>
    <x v="1"/>
    <s v="no"/>
    <n v="15000"/>
    <s v="not yet"/>
  </r>
  <r>
    <s v="T0290321E005"/>
    <s v="SD"/>
    <s v="Skala"/>
    <s v="https://drive.google.com/open?id=1UsJuJ9vvB09LVU-hbXurMCFVOBkrKYHM"/>
    <s v="T0290321E005"/>
    <d v="2021-09-27T00:00:00"/>
    <x v="69"/>
    <n v="-610"/>
    <x v="130"/>
    <n v="637"/>
    <s v="QC"/>
    <s v="Rejected"/>
    <x v="2"/>
    <s v="no"/>
    <n v="0"/>
    <s v="not yet"/>
  </r>
  <r>
    <s v="S0411222E003"/>
    <s v="SD"/>
    <s v="Pengumpulan Dan Penyajian Data"/>
    <s v="https://drive.google.com/open?id=1Y9qnZho1us4sxulPW5nWWjvywgdYEcQJ"/>
    <s v="S0411222E003"/>
    <d v="2021-10-04T00:00:00"/>
    <x v="69"/>
    <n v="-610"/>
    <x v="130"/>
    <n v="630"/>
    <s v="QC"/>
    <s v="Rejected"/>
    <x v="0"/>
    <s v="yes"/>
    <n v="0"/>
    <s v="not yet"/>
  </r>
  <r>
    <s v="S0780151P001"/>
    <s v="SD"/>
    <s v="Operasi Bilangan Pecahan"/>
    <s v="https://drive.google.com/open?id=1qAKy9d8nz8XtHuQ2il9Kb5eGwSiNOJHh"/>
    <s v="S0780151P001"/>
    <d v="2021-10-04T00:00:00"/>
    <x v="69"/>
    <n v="-610"/>
    <x v="130"/>
    <n v="630"/>
    <s v="QC"/>
    <s v="Rejected"/>
    <x v="0"/>
    <s v="no"/>
    <n v="0"/>
    <s v="not yet"/>
  </r>
  <r>
    <s v="S0841541E011"/>
    <s v="SD"/>
    <s v="Aproksimasi / Pembulatan"/>
    <s v="https://drive.google.com/open?id=1q74ZMNFA_nnoAIjxYScBa9Wy5deB2qbB"/>
    <s v="S0841541E011"/>
    <d v="2021-10-04T00:00:00"/>
    <x v="69"/>
    <n v="-610"/>
    <x v="130"/>
    <n v="630"/>
    <s v="QC"/>
    <s v="Rejected"/>
    <x v="0"/>
    <s v="no"/>
    <n v="0"/>
    <s v="not yet"/>
  </r>
  <r>
    <s v="S0840081E001"/>
    <s v="SD"/>
    <s v="Pecahan"/>
    <s v="https://drive.google.com/open?id=1trrWGnGp78CLIjq7NvESV7SVWsdKPfwo"/>
    <s v="S0840081E001"/>
    <d v="2021-10-11T00:00:00"/>
    <x v="69"/>
    <n v="-610"/>
    <x v="130"/>
    <n v="623"/>
    <s v="QC"/>
    <s v="Rejected"/>
    <x v="0"/>
    <s v="yes"/>
    <n v="0"/>
    <s v="not yet"/>
  </r>
  <r>
    <s v="S0490781E004"/>
    <s v="SD"/>
    <s v="Pengumpulan Dan Penyajian Data"/>
    <s v="https://drive.google.com/open?id=113ZZVeXv2JGyABW92TOCdYxqo22WUx8b"/>
    <s v="S0490781E004"/>
    <d v="2021-10-11T00:00:00"/>
    <x v="69"/>
    <n v="-610"/>
    <x v="130"/>
    <n v="0"/>
    <m/>
    <s v="Accepted"/>
    <x v="0"/>
    <s v="yes"/>
    <n v="18000"/>
    <s v="not yet"/>
  </r>
  <r>
    <s v="M2400881E001"/>
    <s v="SMA"/>
    <s v="Program Linear"/>
    <s v="https://drive.google.com/open?id=1DSk6ltXo5oozVC1PRnyVQJGTxATmGKUE"/>
    <s v="M2400881E001"/>
    <d v="2020-10-09T00:00:00"/>
    <x v="70"/>
    <n v="-983"/>
    <x v="131"/>
    <n v="990"/>
    <m/>
    <s v="Not Submitted"/>
    <x v="1"/>
    <s v="yes"/>
    <n v="0"/>
    <s v="not yet"/>
  </r>
  <r>
    <s v="B0035541E002"/>
    <s v="SMA"/>
    <s v="Program Linear"/>
    <s v="https://drive.google.com/open?id=1CCRs94a-rtWAvr1Yh_cLf55UnLeRxwNh"/>
    <s v="B0035541E002"/>
    <d v="2020-10-20T00:00:00"/>
    <x v="0"/>
    <n v="-972"/>
    <x v="131"/>
    <n v="979"/>
    <m/>
    <s v="Not Submitted"/>
    <x v="1"/>
    <s v="no"/>
    <n v="0"/>
    <s v="not yet"/>
  </r>
  <r>
    <s v="C0040011P002"/>
    <s v="SMA"/>
    <s v="Persamaan Trigonometri"/>
    <s v="https://drive.google.com/open?id=1XkRVCsz4y-TLz5q8IW8S52ldLCcHyQpi"/>
    <s v="C0040011P002"/>
    <d v="2020-10-20T00:00:00"/>
    <x v="0"/>
    <n v="-972"/>
    <x v="131"/>
    <n v="979"/>
    <m/>
    <s v="Not Submitted"/>
    <x v="1"/>
    <s v="no"/>
    <n v="0"/>
    <s v="not yet"/>
  </r>
  <r>
    <s v="C0040011P005"/>
    <s v="SMA"/>
    <s v="Persamaan Trigonometri"/>
    <s v="https://drive.google.com/open?id=1P38DKmKoe7lQUgI0doEZqealGfvTbiyi"/>
    <s v="C0040011P005"/>
    <d v="2020-10-20T00:00:00"/>
    <x v="0"/>
    <n v="-972"/>
    <x v="131"/>
    <n v="979"/>
    <m/>
    <s v="Not Submitted"/>
    <x v="0"/>
    <s v="no"/>
    <n v="0"/>
    <s v="not yet"/>
  </r>
  <r>
    <s v="C0040021P006"/>
    <s v="SMA"/>
    <s v="Persamaan Trigonometri"/>
    <s v="https://drive.google.com/open?id=11SLotIkVuJxjJQreq6nfgY2OyN3CyY7e"/>
    <s v="C0040021P006"/>
    <d v="2020-10-20T00:00:00"/>
    <x v="0"/>
    <n v="-972"/>
    <x v="131"/>
    <n v="979"/>
    <m/>
    <s v="Not Submitted"/>
    <x v="1"/>
    <s v="no"/>
    <n v="0"/>
    <s v="not yet"/>
  </r>
  <r>
    <s v="C0040021P007"/>
    <s v="SMA"/>
    <s v="Persamaan Trigonometri"/>
    <s v="https://drive.google.com/open?id=1WxeI--uJGRjMQd6QgjR1DaarxZvLJkgI"/>
    <s v="C0040021P007"/>
    <d v="2020-10-20T00:00:00"/>
    <x v="0"/>
    <n v="-972"/>
    <x v="131"/>
    <n v="979"/>
    <m/>
    <s v="Not Submitted"/>
    <x v="1"/>
    <s v="yes"/>
    <n v="0"/>
    <s v="not yet"/>
  </r>
  <r>
    <s v="M1872382E002"/>
    <s v="SMA"/>
    <s v="Integral"/>
    <s v="https://drive.google.com/open?id=1LYhxHLD3eHxFIQ1ws0Kz9Ui7Lg241V5x"/>
    <s v="M1872382E002"/>
    <d v="2020-12-07T00:00:00"/>
    <x v="71"/>
    <n v="-924"/>
    <x v="131"/>
    <n v="931"/>
    <m/>
    <s v="Not Submitted"/>
    <x v="1"/>
    <s v="no"/>
    <n v="0"/>
    <s v="not yet"/>
  </r>
  <r>
    <s v="M1800764E002"/>
    <s v="SMA"/>
    <s v="Peluang Wajib"/>
    <s v="https://drive.google.com/open?id=1QiLfV6OpqYz0qb-GmNI_zCC5VIz3H2gg"/>
    <s v="M1800764E002"/>
    <d v="2020-12-18T00:00:00"/>
    <x v="72"/>
    <n v="-913"/>
    <x v="131"/>
    <n v="920"/>
    <m/>
    <s v="Not Submitted"/>
    <x v="0"/>
    <s v="no"/>
    <n v="0"/>
    <s v="not yet"/>
  </r>
  <r>
    <s v="B0056903E004"/>
    <s v="SMA"/>
    <s v="Logika Matematika"/>
    <s v="https://drive.google.com/open?id=1gPH2W6HBVnyRnz0U7xUfJ0Tu7yNVg4hD"/>
    <s v="B0056903E004"/>
    <d v="2021-03-09T00:00:00"/>
    <x v="23"/>
    <n v="-832"/>
    <x v="131"/>
    <n v="839"/>
    <m/>
    <s v="Not Submitted"/>
    <x v="1"/>
    <s v="yes"/>
    <n v="0"/>
    <s v="not yet"/>
  </r>
  <r>
    <s v="B0098041E002"/>
    <s v="SMA"/>
    <s v="Trigonometri"/>
    <s v="https://drive.google.com/open?id=1H9s4bzRXfihVsz5zpQPSMnUMVtsMuN-N"/>
    <s v="B0098041E002"/>
    <d v="2021-05-10T00:00:00"/>
    <x v="38"/>
    <n v="-770"/>
    <x v="131"/>
    <n v="777"/>
    <s v="Inquiry"/>
    <s v="Rejected"/>
    <x v="0"/>
    <s v="no"/>
    <n v="0"/>
    <s v="not yet"/>
  </r>
  <r>
    <s v="B0098251E002"/>
    <s v="SMA"/>
    <s v="Trigonometri"/>
    <s v="https://drive.google.com/open?id=1p9Upgrb-b40Pbh6fVgHM1lxG_ICjPznK"/>
    <s v="B0098251E002"/>
    <d v="2021-05-10T00:00:00"/>
    <x v="38"/>
    <n v="-770"/>
    <x v="131"/>
    <n v="777"/>
    <m/>
    <s v="Not Submitted"/>
    <x v="1"/>
    <s v="no"/>
    <n v="0"/>
    <s v="not yet"/>
  </r>
  <r>
    <s v="S0041382E003"/>
    <s v="SD"/>
    <s v="Statistika 6"/>
    <s v="https://drive.google.com/open?id=1XvUKFf0jynZpTYMaZLI5VgrKpYH-sLgU"/>
    <s v="S0041382E003"/>
    <d v="2021-06-18T00:00:00"/>
    <x v="41"/>
    <n v="-732"/>
    <x v="131"/>
    <n v="738"/>
    <s v="Corr"/>
    <s v="Rejected"/>
    <x v="0"/>
    <s v="no"/>
    <n v="0"/>
    <s v="not yet"/>
  </r>
  <r>
    <s v="S0401451E002"/>
    <s v="SD"/>
    <s v="Kesebangunan Dan Simetri"/>
    <s v="https://drive.google.com/open?id=1JkQPUIi7MVI-LApHe1vgIC7u6rbHYSAd"/>
    <s v="S0401451E002"/>
    <d v="2021-06-18T00:00:00"/>
    <x v="41"/>
    <n v="-732"/>
    <x v="131"/>
    <n v="738"/>
    <s v="Corr"/>
    <s v="Rejected"/>
    <x v="0"/>
    <s v="no"/>
    <n v="0"/>
    <s v="not yet"/>
  </r>
  <r>
    <s v="S0041211P014"/>
    <s v="SD"/>
    <s v="Bangun Ruang Sisi Lengkung"/>
    <s v="https://drive.google.com/open?id=1TSloVj-dflFYS_RQXP90gFk3LPlnWXPQ"/>
    <s v="S0041211P014"/>
    <d v="2021-07-05T00:00:00"/>
    <x v="45"/>
    <n v="-715"/>
    <x v="131"/>
    <n v="721"/>
    <m/>
    <s v="Not Submitted"/>
    <x v="1"/>
    <s v="no"/>
    <n v="0"/>
    <s v="not yet"/>
  </r>
  <r>
    <s v="S0041211P015"/>
    <s v="SD"/>
    <s v="Bangun Ruang Sisi Lengkung"/>
    <s v="https://drive.google.com/open?id=1q6XqNyanzGrRr2Mn44ch6fMyvgUcEO8n"/>
    <s v="S0041211P015"/>
    <d v="2021-07-05T00:00:00"/>
    <x v="45"/>
    <n v="-715"/>
    <x v="131"/>
    <n v="721"/>
    <m/>
    <s v="Not Submitted"/>
    <x v="1"/>
    <s v="no"/>
    <n v="0"/>
    <s v="not yet"/>
  </r>
  <r>
    <s v="S0081061E001"/>
    <s v="SD"/>
    <s v="Bangun Ruang Sisi Lengkung"/>
    <s v="https://drive.google.com/open?id=1yXx9VjXMK7ezewPC8vU8W8K9bNmuQg-r"/>
    <s v="S0081061E001"/>
    <d v="2021-07-05T00:00:00"/>
    <x v="45"/>
    <n v="-715"/>
    <x v="131"/>
    <n v="721"/>
    <m/>
    <s v="Not Submitted"/>
    <x v="1"/>
    <s v="no"/>
    <n v="0"/>
    <s v="not yet"/>
  </r>
  <r>
    <s v="S0510741E001"/>
    <s v="SD"/>
    <s v="Bangun Datar"/>
    <s v="https://drive.google.com/open?id=1A6yyeWnN7sX0w7cuC8pQIUqPkAJ-Ap1B"/>
    <s v="S0510741E001"/>
    <d v="2021-07-05T00:00:00"/>
    <x v="45"/>
    <n v="-715"/>
    <x v="131"/>
    <n v="721"/>
    <m/>
    <s v="Not Submitted"/>
    <x v="1"/>
    <s v="no"/>
    <n v="0"/>
    <s v="not yet"/>
  </r>
  <r>
    <s v="S0510741E002"/>
    <s v="SD"/>
    <s v="Bangun Datar"/>
    <s v="https://drive.google.com/open?id=1xBhGxExJrnE1xerG7QXsOZI-vS2F_ny5"/>
    <s v="S0510741E002"/>
    <d v="2021-07-05T00:00:00"/>
    <x v="45"/>
    <n v="-715"/>
    <x v="131"/>
    <n v="721"/>
    <m/>
    <s v="Not Submitted"/>
    <x v="1"/>
    <s v="no"/>
    <n v="0"/>
    <s v="not yet"/>
  </r>
  <r>
    <s v="S0501221E029"/>
    <s v="SD"/>
    <s v="Bangun Datar"/>
    <s v="https://drive.google.com/open?id=1B9aeuJExZTYH3gHN6IEqeeeUV-b8-rcX"/>
    <s v="S0501221E029"/>
    <d v="2021-07-05T00:00:00"/>
    <x v="45"/>
    <n v="-715"/>
    <x v="131"/>
    <n v="721"/>
    <m/>
    <s v="Not Submitted"/>
    <x v="1"/>
    <s v="no"/>
    <n v="0"/>
    <s v="not yet"/>
  </r>
  <r>
    <s v="S0510981E020"/>
    <s v="SD"/>
    <s v="Bangun Ruang"/>
    <s v="https://drive.google.com/open?id=1QZFEHy0GEzPi_AxKEADTOeQ2E6AfPgZg"/>
    <s v="S0510981E020"/>
    <d v="2021-07-05T00:00:00"/>
    <x v="45"/>
    <n v="-715"/>
    <x v="131"/>
    <n v="721"/>
    <m/>
    <s v="Not Submitted"/>
    <x v="1"/>
    <s v="no"/>
    <n v="0"/>
    <s v="not yet"/>
  </r>
  <r>
    <s v="S0511001E015"/>
    <s v="SD"/>
    <s v="Bangun Ruang"/>
    <s v="https://drive.google.com/open?id=1yKvaB2jpHmpwFzlANWKYVsKd26KQvjij"/>
    <s v="S0511001E015"/>
    <d v="2021-07-05T00:00:00"/>
    <x v="45"/>
    <n v="-715"/>
    <x v="131"/>
    <n v="721"/>
    <m/>
    <s v="Not Submitted"/>
    <x v="1"/>
    <s v="no"/>
    <n v="0"/>
    <s v="not yet"/>
  </r>
  <r>
    <s v="S0511022E042"/>
    <s v="SD"/>
    <s v="Bangun Ruang"/>
    <s v="https://drive.google.com/open?id=1-z8e6TdGaM2phDpnGTB47MGhLFjufSRU"/>
    <s v="S0511022E042"/>
    <d v="2021-07-05T00:00:00"/>
    <x v="45"/>
    <n v="-715"/>
    <x v="131"/>
    <n v="721"/>
    <m/>
    <s v="Not Submitted"/>
    <x v="1"/>
    <s v="no"/>
    <n v="0"/>
    <s v="not yet"/>
  </r>
  <r>
    <s v="S0501131E002"/>
    <s v="SD"/>
    <s v="Bangun Ruang"/>
    <s v="https://drive.google.com/open?id=1Ta3MxbYNBEN0fLUFIn9BN79S66YxedbF"/>
    <s v="S0501131E002"/>
    <d v="2021-07-05T00:00:00"/>
    <x v="45"/>
    <n v="-715"/>
    <x v="131"/>
    <n v="721"/>
    <m/>
    <s v="Not Submitted"/>
    <x v="1"/>
    <s v="no"/>
    <n v="0"/>
    <s v="not yet"/>
  </r>
  <r>
    <s v="S0501211E022"/>
    <s v="SD"/>
    <s v="Bangun Ruang"/>
    <s v="https://drive.google.com/open?id=1i_81EPAA19xoFtzh3MIjhgzneLP_zPEM"/>
    <s v="S0501211E022"/>
    <d v="2021-07-05T00:00:00"/>
    <x v="45"/>
    <n v="-715"/>
    <x v="131"/>
    <n v="721"/>
    <m/>
    <s v="Not Submitted"/>
    <x v="1"/>
    <s v="no"/>
    <n v="0"/>
    <s v="not yet"/>
  </r>
  <r>
    <s v="S0501221E030"/>
    <s v="SD"/>
    <s v="Bangun Ruang"/>
    <s v="https://drive.google.com/open?id=1-f8v2F2gUEGnvw6lAugaUSp9MR1g5CFv"/>
    <s v="S0501221E030"/>
    <d v="2021-07-05T00:00:00"/>
    <x v="45"/>
    <n v="-715"/>
    <x v="131"/>
    <n v="721"/>
    <m/>
    <s v="Not Submitted"/>
    <x v="1"/>
    <s v="no"/>
    <n v="0"/>
    <s v="not yet"/>
  </r>
  <r>
    <s v="S0501221E031"/>
    <s v="SD"/>
    <s v="Bangun Ruang"/>
    <s v="https://drive.google.com/open?id=1HBJjADanacTFbCVqkOTR4S4B-0QLZPQi"/>
    <s v="S0501221E031"/>
    <d v="2021-07-05T00:00:00"/>
    <x v="45"/>
    <n v="-715"/>
    <x v="131"/>
    <n v="721"/>
    <m/>
    <s v="Not Submitted"/>
    <x v="1"/>
    <s v="no"/>
    <n v="0"/>
    <s v="not yet"/>
  </r>
  <r>
    <s v="S0501231E032"/>
    <s v="SD"/>
    <s v="Bangun Ruang"/>
    <s v="https://drive.google.com/open?id=18YfsS_it6OgPaVbQFEtM6I62CJj75KO8"/>
    <s v="S0501231E032"/>
    <d v="2021-07-05T00:00:00"/>
    <x v="45"/>
    <n v="-715"/>
    <x v="131"/>
    <n v="721"/>
    <m/>
    <s v="Not Submitted"/>
    <x v="1"/>
    <s v="no"/>
    <n v="0"/>
    <s v="not yet"/>
  </r>
  <r>
    <s v="S0061541E001"/>
    <s v="SD"/>
    <s v="Bangun Ruang"/>
    <s v="https://drive.google.com/open?id=11Esml-vY7ocnFByyQxMB2o3ffVLQ-YWO"/>
    <s v="S0061541E001"/>
    <d v="2021-07-12T00:00:00"/>
    <x v="46"/>
    <n v="-708"/>
    <x v="131"/>
    <n v="714"/>
    <m/>
    <s v="Not Submitted"/>
    <x v="1"/>
    <s v="no"/>
    <n v="0"/>
    <s v="not yet"/>
  </r>
  <r>
    <s v="S0070961E005"/>
    <s v="SD"/>
    <s v="Lingkaran"/>
    <s v="https://drive.google.com/open?id=1jatU8nmvmCv6afrYEO2HkwbGt8rbR5we"/>
    <s v="S0070961E005"/>
    <d v="2021-07-12T00:00:00"/>
    <x v="46"/>
    <n v="-708"/>
    <x v="131"/>
    <n v="714"/>
    <m/>
    <s v="Not Submitted"/>
    <x v="1"/>
    <s v="no"/>
    <n v="0"/>
    <s v="not yet"/>
  </r>
  <r>
    <s v="S0040843E005"/>
    <s v="SD"/>
    <s v="Lingkaran"/>
    <s v="https://drive.google.com/open?id=1nG2JjFV8-Qx3J7g2-znofqBbvp9Kt1t_"/>
    <s v="S0040843E005"/>
    <d v="2021-07-12T00:00:00"/>
    <x v="46"/>
    <n v="-708"/>
    <x v="131"/>
    <n v="714"/>
    <m/>
    <s v="Not Submitted"/>
    <x v="1"/>
    <s v="no"/>
    <n v="0"/>
    <s v="not yet"/>
  </r>
  <r>
    <s v="S0040841E002"/>
    <s v="SD"/>
    <s v="Lingkaran"/>
    <s v="https://drive.google.com/open?id=1Mqj8kMgriJdtADLj3iNZIh23SRfacxWi"/>
    <s v="S0040841E002"/>
    <d v="2021-07-12T00:00:00"/>
    <x v="46"/>
    <n v="-708"/>
    <x v="131"/>
    <n v="714"/>
    <m/>
    <s v="Not Submitted"/>
    <x v="1"/>
    <s v="no"/>
    <n v="0"/>
    <s v="not yet"/>
  </r>
  <r>
    <s v="S0060831E003"/>
    <s v="SD"/>
    <s v="Operasi Bilangan Pecahan"/>
    <s v="https://drive.google.com/open?id=1ZjqWYmAR3NKSWRBzyR1ooooYGBDMu1oa"/>
    <s v="S0060831E003"/>
    <d v="2021-07-12T00:00:00"/>
    <x v="46"/>
    <n v="-708"/>
    <x v="131"/>
    <n v="714"/>
    <m/>
    <s v="Not Submitted"/>
    <x v="1"/>
    <s v="no"/>
    <n v="0"/>
    <s v="not yet"/>
  </r>
  <r>
    <s v="S0101211E003"/>
    <s v="SD"/>
    <s v="Kecepatan Dan Debit"/>
    <s v="https://drive.google.com/open?id=13FOIJIFjemqOhz0FmL5YRsSzMc4Ah9vm"/>
    <s v="S0101211E003"/>
    <d v="2021-07-12T00:00:00"/>
    <x v="46"/>
    <n v="-708"/>
    <x v="131"/>
    <n v="714"/>
    <m/>
    <s v="Not Submitted"/>
    <x v="1"/>
    <s v="no"/>
    <n v="0"/>
    <s v="not yet"/>
  </r>
  <r>
    <s v="S0140331E001"/>
    <s v="SD"/>
    <s v="Kecepatan Dan Debit"/>
    <s v="https://drive.google.com/open?id=1lD4wSN91_mbk8vyl088-gDLB7aU8UQWO"/>
    <s v="S0140331E001"/>
    <d v="2021-07-12T00:00:00"/>
    <x v="46"/>
    <n v="-708"/>
    <x v="131"/>
    <n v="714"/>
    <m/>
    <s v="Not Submitted"/>
    <x v="1"/>
    <s v="no"/>
    <n v="0"/>
    <s v="not yet"/>
  </r>
  <r>
    <s v="S0130662E004"/>
    <s v="SD"/>
    <s v="KPK dan FPB"/>
    <s v="https://drive.google.com/open?id=1aPMTZo3VPhG31qkOMncUTCvVo0oVFrUN"/>
    <s v="S0130662E004"/>
    <d v="2021-07-12T00:00:00"/>
    <x v="46"/>
    <n v="-708"/>
    <x v="131"/>
    <n v="714"/>
    <m/>
    <s v="Not Submitted"/>
    <x v="1"/>
    <s v="no"/>
    <n v="0"/>
    <s v="not yet"/>
  </r>
  <r>
    <s v="S0130662E003"/>
    <s v="SD"/>
    <s v="KPK dan FPB"/>
    <s v="https://drive.google.com/open?id=1JViXzqnc3qZSD-gt4KYlm6cH0cGIBTzN"/>
    <s v="S0130662E003"/>
    <d v="2021-07-12T00:00:00"/>
    <x v="46"/>
    <n v="-708"/>
    <x v="131"/>
    <n v="714"/>
    <m/>
    <s v="Not Submitted"/>
    <x v="1"/>
    <s v="no"/>
    <n v="0"/>
    <s v="not yet"/>
  </r>
  <r>
    <s v="S0130721E002"/>
    <s v="SD"/>
    <s v="KPK dan FPB"/>
    <s v="https://drive.google.com/open?id=1GZt4Rv2Qb0I8dfXj9zICWMpqu4gBd1pg"/>
    <s v="S0130721E002"/>
    <d v="2021-07-12T00:00:00"/>
    <x v="46"/>
    <n v="-708"/>
    <x v="131"/>
    <n v="714"/>
    <m/>
    <s v="Not Submitted"/>
    <x v="1"/>
    <s v="no"/>
    <n v="0"/>
    <s v="not yet"/>
  </r>
  <r>
    <s v="S0130732E005"/>
    <s v="SD"/>
    <s v="KPK dan FPB"/>
    <s v="https://drive.google.com/open?id=1uIbe2_nIlrs5XNIKSKZDYiz-Ns7T9J82"/>
    <s v="S0130732E005"/>
    <d v="2021-07-12T00:00:00"/>
    <x v="46"/>
    <n v="-708"/>
    <x v="131"/>
    <n v="714"/>
    <m/>
    <s v="Not Submitted"/>
    <x v="1"/>
    <s v="no"/>
    <n v="0"/>
    <s v="not yet"/>
  </r>
  <r>
    <s v="S0130744E002"/>
    <s v="SD"/>
    <s v="KPK dan FPB"/>
    <s v="https://drive.google.com/open?id=10Xd0IAXXhpy3NZUC96HU5Ytx6E5cDQtR"/>
    <s v="S0130744E002"/>
    <d v="2021-07-12T00:00:00"/>
    <x v="46"/>
    <n v="-708"/>
    <x v="131"/>
    <n v="714"/>
    <m/>
    <s v="Not Submitted"/>
    <x v="1"/>
    <s v="no"/>
    <n v="0"/>
    <s v="not yet"/>
  </r>
  <r>
    <s v="S0370412E001"/>
    <s v="SD"/>
    <s v="KPK dan FPB"/>
    <s v="https://drive.google.com/open?id=1q_nbFqUY15C37i7cA7OJzJllmi6tFgw2"/>
    <s v="S0370412E001"/>
    <d v="2021-07-12T00:00:00"/>
    <x v="46"/>
    <n v="-708"/>
    <x v="131"/>
    <n v="714"/>
    <m/>
    <s v="Not Submitted"/>
    <x v="1"/>
    <s v="no"/>
    <n v="0"/>
    <s v="not yet"/>
  </r>
  <r>
    <s v="S0370412E002"/>
    <s v="SD"/>
    <s v="KPK dan FPB"/>
    <s v="https://drive.google.com/open?id=1R6kyIwXIiZYLcjYXCgIuO9fgKuzZyK39"/>
    <s v="S0370412E002"/>
    <d v="2021-07-12T00:00:00"/>
    <x v="46"/>
    <n v="-708"/>
    <x v="131"/>
    <n v="714"/>
    <m/>
    <s v="Not Submitted"/>
    <x v="1"/>
    <s v="no"/>
    <n v="0"/>
    <s v="not yet"/>
  </r>
  <r>
    <s v="S0220212E009"/>
    <s v="SD"/>
    <s v="Kecepatan Dan Debit"/>
    <s v="https://drive.google.com/open?id=1_DhHKZfVWhiB7nEmmQTksngkWV7K2sgQ"/>
    <s v="S0220212E009"/>
    <d v="2021-07-12T00:00:00"/>
    <x v="46"/>
    <n v="-708"/>
    <x v="131"/>
    <n v="714"/>
    <m/>
    <s v="Not Submitted"/>
    <x v="1"/>
    <s v="no"/>
    <n v="0"/>
    <s v="not yet"/>
  </r>
  <r>
    <s v="S0220231c003"/>
    <s v="SD"/>
    <s v="Kecepatan Dan Debit"/>
    <s v="https://drive.google.com/open?id=1eNn_xbG8UbG5IYgPbyhULuiLBA5C9y6z"/>
    <s v="S0220231c003"/>
    <d v="2021-07-12T00:00:00"/>
    <x v="46"/>
    <n v="-708"/>
    <x v="131"/>
    <n v="714"/>
    <m/>
    <s v="Not Submitted"/>
    <x v="1"/>
    <s v="no"/>
    <n v="0"/>
    <s v="not yet"/>
  </r>
  <r>
    <s v="S0130731P002"/>
    <s v="SD"/>
    <s v="KPK dan FPB"/>
    <s v="https://drive.google.com/open?id=1eenMBPJqMIliUoX3cOhyUZzOo-hWLJHV"/>
    <s v="S0130731P002"/>
    <d v="2021-07-12T00:00:00"/>
    <x v="46"/>
    <n v="-708"/>
    <x v="131"/>
    <n v="714"/>
    <m/>
    <s v="Not Submitted"/>
    <x v="1"/>
    <s v="no"/>
    <n v="0"/>
    <s v="not yet"/>
  </r>
  <r>
    <s v="S0171423E002"/>
    <s v="SD"/>
    <s v="KPK dan FPB"/>
    <s v="https://drive.google.com/open?id=1nAcA6rK1G7zm1DsXJjFVH1_M6yoDhQCb"/>
    <s v="S0171423E002"/>
    <d v="2021-07-12T00:00:00"/>
    <x v="46"/>
    <n v="-708"/>
    <x v="131"/>
    <n v="714"/>
    <m/>
    <s v="Not Submitted"/>
    <x v="1"/>
    <s v="no"/>
    <n v="0"/>
    <s v="not yet"/>
  </r>
  <r>
    <s v="S0130691E005"/>
    <s v="SD"/>
    <s v="KPK dan FPB"/>
    <s v="https://drive.google.com/open?id=1L5ABPLTY-5AoDrZKVXRHNkLG_QvTDyTq"/>
    <s v="S0130691E005"/>
    <d v="2021-07-12T00:00:00"/>
    <x v="46"/>
    <n v="-708"/>
    <x v="131"/>
    <n v="714"/>
    <m/>
    <s v="Not Submitted"/>
    <x v="1"/>
    <s v="no"/>
    <n v="0"/>
    <s v="not yet"/>
  </r>
  <r>
    <s v="S0140321E004"/>
    <s v="SD"/>
    <s v="Kecepatan Dan Debit"/>
    <s v="https://drive.google.com/open?id=1QQFIMfakuxAp_ray5o2R10YzFCT-52Rd"/>
    <s v="S0140321E004"/>
    <d v="2021-07-19T00:00:00"/>
    <x v="47"/>
    <n v="-701"/>
    <x v="131"/>
    <n v="707"/>
    <s v="AV"/>
    <s v="Rejected"/>
    <x v="0"/>
    <s v="no"/>
    <n v="0"/>
    <s v="not yet"/>
  </r>
  <r>
    <s v="S0380861E002"/>
    <s v="SD"/>
    <s v="Pecahan"/>
    <s v="https://drive.google.com/open?id=1jtb_PlGiM6ZQxTm64khGP11RwTBba9xM"/>
    <s v="S0380861E002"/>
    <d v="2021-07-19T00:00:00"/>
    <x v="47"/>
    <n v="-701"/>
    <x v="131"/>
    <n v="707"/>
    <m/>
    <s v="Not Submitted"/>
    <x v="1"/>
    <s v="no"/>
    <n v="0"/>
    <s v="not yet"/>
  </r>
  <r>
    <s v="S0380861E003"/>
    <s v="SD"/>
    <s v="Pecahan"/>
    <s v="https://drive.google.com/open?id=1KFzAG1C0cl9IvHDA67_dwc--G3cY69b1"/>
    <s v="S0380861E003"/>
    <d v="2021-07-19T00:00:00"/>
    <x v="47"/>
    <n v="-701"/>
    <x v="131"/>
    <n v="707"/>
    <m/>
    <s v="Not Submitted"/>
    <x v="1"/>
    <s v="no"/>
    <n v="0"/>
    <s v="not yet"/>
  </r>
  <r>
    <s v="S0380861E004"/>
    <s v="SD"/>
    <s v="Pecahan"/>
    <s v="https://drive.google.com/open?id=1L5Yc50t-7RjZarzkCZCL9p-Zat7h9k-w"/>
    <s v="S0380861E004"/>
    <d v="2021-07-19T00:00:00"/>
    <x v="47"/>
    <n v="-701"/>
    <x v="131"/>
    <n v="707"/>
    <m/>
    <s v="Not Submitted"/>
    <x v="1"/>
    <s v="no"/>
    <n v="0"/>
    <s v="not yet"/>
  </r>
  <r>
    <s v="S0380861E007"/>
    <s v="SD"/>
    <s v="Pecahan"/>
    <s v="https://drive.google.com/open?id=1Kq0vkv7U8GmUCSTHxvJHKR5R46G_-oCI"/>
    <s v="S0380861E007"/>
    <d v="2021-07-19T00:00:00"/>
    <x v="47"/>
    <n v="-701"/>
    <x v="131"/>
    <n v="707"/>
    <m/>
    <s v="Not Submitted"/>
    <x v="1"/>
    <s v="no"/>
    <n v="0"/>
    <s v="not yet"/>
  </r>
  <r>
    <s v="S0380881E001"/>
    <s v="SD"/>
    <s v="Pecahan"/>
    <s v="https://drive.google.com/open?id=13qNnMnkQvsSbwJ2_PnkH7jXc0kvt7OkH"/>
    <s v="S0380881E001"/>
    <d v="2021-07-19T00:00:00"/>
    <x v="47"/>
    <n v="-701"/>
    <x v="131"/>
    <n v="707"/>
    <m/>
    <s v="Not Submitted"/>
    <x v="1"/>
    <s v="no"/>
    <n v="0"/>
    <s v="not yet"/>
  </r>
  <r>
    <s v="S0380881E005"/>
    <s v="SD"/>
    <s v="Pecahan"/>
    <s v="https://drive.google.com/open?id=191_hmXRjnmAGKyAotlk5kst8U-__WscS"/>
    <s v="S0380881E005"/>
    <d v="2021-07-19T00:00:00"/>
    <x v="47"/>
    <n v="-701"/>
    <x v="131"/>
    <n v="707"/>
    <m/>
    <s v="Not Submitted"/>
    <x v="1"/>
    <s v="no"/>
    <n v="0"/>
    <s v="not yet"/>
  </r>
  <r>
    <s v="S0380971E002"/>
    <s v="SD"/>
    <s v="Operasi Bilangan Pecahan"/>
    <s v="https://drive.google.com/open?id=1-IE7PLwrd14YV7qy7JLrKz1XqoR_s91q"/>
    <s v="S0380971E002"/>
    <d v="2021-07-19T00:00:00"/>
    <x v="47"/>
    <n v="-701"/>
    <x v="131"/>
    <n v="707"/>
    <m/>
    <s v="Not Submitted"/>
    <x v="1"/>
    <s v="no"/>
    <n v="0"/>
    <s v="not yet"/>
  </r>
  <r>
    <s v="S0380991E004"/>
    <s v="SD"/>
    <s v="Operasi Bilangan Pecahan"/>
    <s v="https://drive.google.com/open?id=13byNGlgkySXHO5z3-sR4EegYqd6pjRy0"/>
    <s v="S0380991E004"/>
    <d v="2021-07-19T00:00:00"/>
    <x v="47"/>
    <n v="-701"/>
    <x v="131"/>
    <n v="707"/>
    <m/>
    <s v="Not Submitted"/>
    <x v="1"/>
    <s v="no"/>
    <n v="0"/>
    <s v="not yet"/>
  </r>
  <r>
    <s v="S0380992E002"/>
    <s v="SD"/>
    <s v="Operasi Bilangan Pecahan"/>
    <s v="https://drive.google.com/open?id=1YzjtOACgQCjycbumysl05BW6cUZDr7uQ"/>
    <s v="S0380992E002"/>
    <d v="2021-07-19T00:00:00"/>
    <x v="47"/>
    <n v="-701"/>
    <x v="131"/>
    <n v="707"/>
    <m/>
    <s v="Not Submitted"/>
    <x v="1"/>
    <s v="no"/>
    <n v="0"/>
    <s v="not yet"/>
  </r>
  <r>
    <s v="S0381001E001"/>
    <s v="SD"/>
    <s v="Operasi Bilangan Pecahan"/>
    <s v="https://drive.google.com/open?id=1q-TVDQ16Zigd9e7WPVFDhFJ4n-15_wt0"/>
    <s v="S0381001E001"/>
    <d v="2021-07-19T00:00:00"/>
    <x v="47"/>
    <n v="-701"/>
    <x v="131"/>
    <n v="707"/>
    <m/>
    <s v="Not Submitted"/>
    <x v="1"/>
    <s v="no"/>
    <n v="0"/>
    <s v="not yet"/>
  </r>
  <r>
    <s v="S0381001E002"/>
    <s v="SD"/>
    <s v="Operasi Bilangan Pecahan"/>
    <s v="https://drive.google.com/open?id=1jjM8LOzSAK0_yFGiSmswpEDUYxJbqgcO"/>
    <s v="S0381001E002"/>
    <d v="2021-07-19T00:00:00"/>
    <x v="47"/>
    <n v="-701"/>
    <x v="131"/>
    <n v="707"/>
    <m/>
    <s v="Not Submitted"/>
    <x v="1"/>
    <s v="no"/>
    <n v="0"/>
    <s v="not yet"/>
  </r>
  <r>
    <s v="S0381001E003"/>
    <s v="SD"/>
    <s v="Operasi Bilangan Pecahan"/>
    <s v="https://drive.google.com/open?id=1RmUvhLnLTMAx3NvChyndzbANHNY_jvLe"/>
    <s v="S0381001E003"/>
    <d v="2021-07-19T00:00:00"/>
    <x v="47"/>
    <n v="-701"/>
    <x v="131"/>
    <n v="707"/>
    <m/>
    <s v="Not Submitted"/>
    <x v="1"/>
    <s v="no"/>
    <n v="0"/>
    <s v="not yet"/>
  </r>
  <r>
    <s v="S0381001E004"/>
    <s v="SD"/>
    <s v="Operasi Bilangan Pecahan"/>
    <s v="https://drive.google.com/open?id=1ezJqPaZcD7L2n3gIZP3L_JamIBOCEQRr"/>
    <s v="S0381001E004"/>
    <d v="2021-07-19T00:00:00"/>
    <x v="47"/>
    <n v="-701"/>
    <x v="131"/>
    <n v="707"/>
    <m/>
    <s v="Not Submitted"/>
    <x v="1"/>
    <s v="no"/>
    <n v="0"/>
    <s v="not yet"/>
  </r>
  <r>
    <s v="S0381001E005"/>
    <s v="SD"/>
    <s v="Operasi Bilangan Pecahan"/>
    <s v="https://drive.google.com/open?id=1GYvDdsWSXXYOKlpJCiTODHTmOQdzyGvn"/>
    <s v="S0381001E005"/>
    <d v="2021-07-19T00:00:00"/>
    <x v="47"/>
    <n v="-701"/>
    <x v="131"/>
    <n v="707"/>
    <m/>
    <s v="Not Submitted"/>
    <x v="1"/>
    <s v="no"/>
    <n v="0"/>
    <s v="not yet"/>
  </r>
  <r>
    <s v="S0381001E006"/>
    <s v="SD"/>
    <s v="Operasi Bilangan Pecahan"/>
    <s v="https://drive.google.com/open?id=1pIm-Fw6iKOAd2aZSTm0CDz-6YT5mwFTg"/>
    <s v="S0381001E006"/>
    <d v="2021-07-19T00:00:00"/>
    <x v="47"/>
    <n v="-701"/>
    <x v="131"/>
    <n v="707"/>
    <m/>
    <s v="Not Submitted"/>
    <x v="1"/>
    <s v="no"/>
    <n v="0"/>
    <s v="not yet"/>
  </r>
  <r>
    <s v="S0381001E008"/>
    <s v="SD"/>
    <s v="Operasi Bilangan Pecahan"/>
    <s v="https://drive.google.com/open?id=1v6ZfN8T22CEF6UeyAuPOSlZwviIDAUsa"/>
    <s v="S0381001E008"/>
    <d v="2021-07-19T00:00:00"/>
    <x v="47"/>
    <n v="-701"/>
    <x v="131"/>
    <n v="707"/>
    <m/>
    <s v="Not Submitted"/>
    <x v="1"/>
    <s v="no"/>
    <n v="0"/>
    <s v="not yet"/>
  </r>
  <r>
    <s v="S0381001E009"/>
    <s v="SD"/>
    <s v="Operasi Bilangan Pecahan"/>
    <s v="https://drive.google.com/open?id=1NvUJNEVpNOSuTymQx39r1QoFgT-YaY9I"/>
    <s v="S0381001E009"/>
    <d v="2021-07-19T00:00:00"/>
    <x v="47"/>
    <n v="-701"/>
    <x v="131"/>
    <n v="707"/>
    <m/>
    <s v="Not Submitted"/>
    <x v="1"/>
    <s v="no"/>
    <n v="0"/>
    <s v="not yet"/>
  </r>
  <r>
    <s v="S0381001E010"/>
    <s v="SD"/>
    <s v="Operasi Bilangan Pecahan"/>
    <s v="https://drive.google.com/open?id=1adZF5HBBAfdERifvbvA1BBgsy1xPMNnh"/>
    <s v="S0381001E010"/>
    <d v="2021-07-19T00:00:00"/>
    <x v="47"/>
    <n v="-701"/>
    <x v="131"/>
    <n v="707"/>
    <m/>
    <s v="Not Submitted"/>
    <x v="1"/>
    <s v="no"/>
    <n v="0"/>
    <s v="not yet"/>
  </r>
  <r>
    <s v="S0381001E011"/>
    <s v="SD"/>
    <s v="Operasi Bilangan Pecahan"/>
    <s v="https://drive.google.com/open?id=1Mi1j3SFUJpGqeERp9x4bQsAizP1PQdXS"/>
    <s v="S0381001E011"/>
    <d v="2021-07-19T00:00:00"/>
    <x v="47"/>
    <n v="-701"/>
    <x v="131"/>
    <n v="707"/>
    <m/>
    <s v="Not Submitted"/>
    <x v="1"/>
    <s v="no"/>
    <n v="0"/>
    <s v="not yet"/>
  </r>
  <r>
    <s v="S0381031E001"/>
    <s v="SD"/>
    <s v="Pecahan"/>
    <s v="https://drive.google.com/open?id=1glKkf1TRfp-jGK7HjcXI5_IiWG40Yipv"/>
    <s v="S0381031E001"/>
    <d v="2021-07-19T00:00:00"/>
    <x v="47"/>
    <n v="-701"/>
    <x v="131"/>
    <n v="707"/>
    <m/>
    <s v="Not Submitted"/>
    <x v="1"/>
    <s v="no"/>
    <n v="0"/>
    <s v="not yet"/>
  </r>
  <r>
    <s v="S0381031E002"/>
    <s v="SD"/>
    <s v="Pecahan"/>
    <s v="https://drive.google.com/open?id=13tsQlK6J9zRO1j6EADVcpkbYRYukQk9C"/>
    <s v="S0381031E002"/>
    <d v="2021-07-19T00:00:00"/>
    <x v="47"/>
    <n v="-701"/>
    <x v="131"/>
    <n v="707"/>
    <m/>
    <s v="Not Submitted"/>
    <x v="1"/>
    <s v="no"/>
    <n v="0"/>
    <s v="not yet"/>
  </r>
  <r>
    <s v="S0381031E003"/>
    <s v="SD"/>
    <s v="Pecahan"/>
    <s v="https://drive.google.com/open?id=128RncTS2xyFzpEXlki8slOa_x3ryfwyE"/>
    <s v="S0381031E003"/>
    <d v="2021-07-19T00:00:00"/>
    <x v="47"/>
    <n v="-701"/>
    <x v="131"/>
    <n v="707"/>
    <m/>
    <s v="Not Submitted"/>
    <x v="1"/>
    <s v="no"/>
    <n v="0"/>
    <s v="not yet"/>
  </r>
  <r>
    <s v="S0381031E005"/>
    <s v="SD"/>
    <s v="Pecahan"/>
    <s v="https://drive.google.com/open?id=1uioMPRqlssex_DyQfTvK0ax-AwD-tLoK"/>
    <s v="S0381031E005"/>
    <d v="2021-07-19T00:00:00"/>
    <x v="47"/>
    <n v="-701"/>
    <x v="131"/>
    <n v="707"/>
    <m/>
    <s v="Not Submitted"/>
    <x v="1"/>
    <s v="no"/>
    <n v="0"/>
    <s v="not yet"/>
  </r>
  <r>
    <s v="S0381031E006"/>
    <s v="SD"/>
    <s v="Pecahan"/>
    <s v="https://drive.google.com/open?id=1GCagG0oCz8GRn1WkHwyovXNbgKM5TiYf"/>
    <s v="S0381031E006"/>
    <d v="2021-07-19T00:00:00"/>
    <x v="47"/>
    <n v="-701"/>
    <x v="131"/>
    <n v="707"/>
    <m/>
    <s v="Not Submitted"/>
    <x v="1"/>
    <s v="no"/>
    <n v="0"/>
    <s v="not yet"/>
  </r>
  <r>
    <s v="S0381031E007"/>
    <s v="SD"/>
    <s v="Pecahan"/>
    <s v="https://drive.google.com/open?id=1h2_Bi8az12CoPl3_kWgLR2wVG0B6qEBl"/>
    <s v="S0381031E007"/>
    <d v="2021-07-19T00:00:00"/>
    <x v="47"/>
    <n v="-701"/>
    <x v="131"/>
    <n v="707"/>
    <m/>
    <s v="Not Submitted"/>
    <x v="1"/>
    <s v="no"/>
    <n v="0"/>
    <s v="not yet"/>
  </r>
  <r>
    <s v="S0381042E003"/>
    <s v="SD"/>
    <s v="Pecahan"/>
    <s v="https://drive.google.com/open?id=1u1LJRkD_HSxzeicH351LZV0vhfBbY3MU"/>
    <s v="S0381042E003"/>
    <d v="2021-07-19T00:00:00"/>
    <x v="47"/>
    <n v="-701"/>
    <x v="131"/>
    <n v="707"/>
    <m/>
    <s v="Not Submitted"/>
    <x v="1"/>
    <s v="no"/>
    <n v="0"/>
    <s v="not yet"/>
  </r>
  <r>
    <s v="S0381051E001"/>
    <s v="SD"/>
    <s v="Pecahan"/>
    <s v="https://drive.google.com/open?id=1mJoDIQKrutlZ7wFa1VEo1PR2hfHwygF4"/>
    <s v="S0381051E001"/>
    <d v="2021-07-19T00:00:00"/>
    <x v="47"/>
    <n v="-701"/>
    <x v="131"/>
    <n v="707"/>
    <m/>
    <s v="Not Submitted"/>
    <x v="1"/>
    <s v="no"/>
    <n v="0"/>
    <s v="not yet"/>
  </r>
  <r>
    <s v="S0381051E004"/>
    <s v="SD"/>
    <s v="Pecahan"/>
    <s v="https://drive.google.com/open?id=1vMNU1Po4VVWtGixYIewpLDg1vQMQkrrL"/>
    <s v="S0381051E004"/>
    <d v="2021-07-19T00:00:00"/>
    <x v="47"/>
    <n v="-701"/>
    <x v="131"/>
    <n v="707"/>
    <m/>
    <s v="Not Submitted"/>
    <x v="1"/>
    <s v="no"/>
    <n v="0"/>
    <s v="not yet"/>
  </r>
  <r>
    <s v="S0381051E006"/>
    <s v="SD"/>
    <s v="Pecahan"/>
    <s v="https://drive.google.com/open?id=1m-K59Zpebxz8wduMq12HhJkIFDHpk8x7"/>
    <s v="S0381051E006"/>
    <d v="2021-07-19T00:00:00"/>
    <x v="47"/>
    <n v="-701"/>
    <x v="131"/>
    <n v="707"/>
    <m/>
    <s v="Not Submitted"/>
    <x v="1"/>
    <s v="no"/>
    <n v="0"/>
    <s v="not yet"/>
  </r>
  <r>
    <s v="S0381051E007"/>
    <s v="SD"/>
    <s v="Pecahan"/>
    <s v="https://drive.google.com/open?id=1qT77b_ZVrrvVbvlccnmiH07qtAQUKSYT"/>
    <s v="S0381051E007"/>
    <d v="2021-07-19T00:00:00"/>
    <x v="47"/>
    <n v="-701"/>
    <x v="131"/>
    <n v="707"/>
    <m/>
    <s v="Not Submitted"/>
    <x v="1"/>
    <s v="no"/>
    <n v="0"/>
    <s v="not yet"/>
  </r>
  <r>
    <s v="S0381051E012"/>
    <s v="SD"/>
    <s v="Operasi Bilangan Pecahan"/>
    <s v="https://drive.google.com/open?id=1jr2iFfH4IBZjL6oX_LFghnjGtp2qmZV1"/>
    <s v="S0381051E012"/>
    <d v="2021-07-19T00:00:00"/>
    <x v="47"/>
    <n v="-701"/>
    <x v="131"/>
    <n v="707"/>
    <m/>
    <s v="Not Submitted"/>
    <x v="1"/>
    <s v="no"/>
    <n v="0"/>
    <s v="not yet"/>
  </r>
  <r>
    <s v="S0381051E013"/>
    <s v="SD"/>
    <s v="Operasi Bilangan Pecahan"/>
    <s v="https://drive.google.com/open?id=1xtksi4q2_4WbZ-7US1e-PFHk4Tpb8CMz"/>
    <s v="S0381051E013"/>
    <d v="2021-07-19T00:00:00"/>
    <x v="47"/>
    <n v="-701"/>
    <x v="131"/>
    <n v="707"/>
    <m/>
    <s v="Not Submitted"/>
    <x v="1"/>
    <s v="no"/>
    <n v="0"/>
    <s v="not yet"/>
  </r>
  <r>
    <s v="S0381331P007"/>
    <s v="SD"/>
    <s v="Operasi Bilangan Pecahan"/>
    <s v="https://drive.google.com/open?id=1DeiBhYWQM1iNyxBN_G6abYmdmBQG7VAy"/>
    <s v="S0381331P007"/>
    <d v="2021-07-19T00:00:00"/>
    <x v="47"/>
    <n v="-701"/>
    <x v="131"/>
    <n v="707"/>
    <m/>
    <s v="Not Submitted"/>
    <x v="1"/>
    <s v="no"/>
    <n v="0"/>
    <s v="not yet"/>
  </r>
  <r>
    <s v="S0150351E001"/>
    <s v="SD"/>
    <s v="Pecahan"/>
    <s v="https://drive.google.com/open?id=1ipEJghnxzlr628jwU8FgdqA3Y0ADd8NI"/>
    <s v="S0150351E001"/>
    <d v="2021-08-02T00:00:00"/>
    <x v="49"/>
    <n v="-687"/>
    <x v="131"/>
    <n v="693"/>
    <m/>
    <s v="Not Submitted"/>
    <x v="1"/>
    <s v="no"/>
    <n v="0"/>
    <s v="not yet"/>
  </r>
  <r>
    <s v="S0410432E004"/>
    <s v="SD"/>
    <s v="Bangun Ruang Sisi Lengkung"/>
    <s v="https://drive.google.com/open?id=1VNSDr-N5UN_C30FXNAGtTYDlfzXipGPN"/>
    <s v="S0410432E004"/>
    <d v="2021-08-02T00:00:00"/>
    <x v="49"/>
    <n v="-687"/>
    <x v="131"/>
    <n v="693"/>
    <m/>
    <s v="Not Submitted"/>
    <x v="1"/>
    <s v="no"/>
    <n v="0"/>
    <s v="not yet"/>
  </r>
  <r>
    <s v="S0571882E019"/>
    <s v="SD"/>
    <s v="Bangun Ruang Sisi Lengkung"/>
    <s v="https://drive.google.com/open?id=1lJ9rlR3o2E3eXyd4mANSokS83N63kP0o"/>
    <s v="S0571882E019"/>
    <d v="2021-08-02T00:00:00"/>
    <x v="49"/>
    <n v="-687"/>
    <x v="131"/>
    <n v="693"/>
    <m/>
    <s v="Not Submitted"/>
    <x v="1"/>
    <s v="no"/>
    <n v="0"/>
    <s v="not yet"/>
  </r>
  <r>
    <s v="V0150852E009"/>
    <s v="SD"/>
    <s v="Skala"/>
    <s v="https://drive.google.com/open?id=1Ukl5-YKr1QvaG4SZQyTKqEg7kF6_JJnp"/>
    <s v="V0150852E009"/>
    <d v="2021-08-16T00:00:00"/>
    <x v="52"/>
    <n v="-673"/>
    <x v="131"/>
    <n v="679"/>
    <m/>
    <s v="Not Submitted"/>
    <x v="1"/>
    <s v="no"/>
    <n v="0"/>
    <s v="not yet"/>
  </r>
  <r>
    <s v="S0341292E002"/>
    <s v="SD"/>
    <s v="Pecahan"/>
    <s v="https://drive.google.com/open?id=1hDOJOS2Yx9Z0VQ1Q_gIl_TOUgL_WrExs"/>
    <s v="S0341292E002"/>
    <d v="2021-08-16T00:00:00"/>
    <x v="52"/>
    <n v="-673"/>
    <x v="131"/>
    <n v="679"/>
    <m/>
    <s v="Not Submitted"/>
    <x v="1"/>
    <s v="no"/>
    <n v="0"/>
    <s v="not yet"/>
  </r>
  <r>
    <s v="S0191282E002"/>
    <s v="SD"/>
    <s v="Pecahan"/>
    <s v="https://drive.google.com/open?id=1Gxakr8bUbgktqnQNHI1EjSi8tpCxdAl9"/>
    <s v="S0191282E002"/>
    <d v="2021-08-16T00:00:00"/>
    <x v="52"/>
    <n v="-673"/>
    <x v="131"/>
    <n v="679"/>
    <m/>
    <s v="Not Submitted"/>
    <x v="1"/>
    <s v="no"/>
    <n v="0"/>
    <s v="not yet"/>
  </r>
  <r>
    <s v="S0370401E005"/>
    <s v="SD"/>
    <s v="KPK dan FPB"/>
    <s v="https://drive.google.com/open?id=1goESmWnD36zVPXvjQ4sxLMmBcaPLox_w"/>
    <s v="S0370401E005"/>
    <d v="2021-08-23T00:00:00"/>
    <x v="54"/>
    <n v="-669"/>
    <x v="131"/>
    <n v="672"/>
    <m/>
    <s v="Not Submitted"/>
    <x v="1"/>
    <s v="no"/>
    <n v="0"/>
    <s v="not yet"/>
  </r>
  <r>
    <s v="V0140202E003"/>
    <s v="SD"/>
    <s v="Operasi Bilangan Pecahan"/>
    <s v="https://drive.google.com/open?id=1bjfDKSeX5vpDdDVTyhyH2tL5_NKQKNhG"/>
    <s v="V0140202E003"/>
    <d v="2021-08-23T00:00:00"/>
    <x v="54"/>
    <n v="-669"/>
    <x v="131"/>
    <n v="672"/>
    <m/>
    <s v="Not Submitted"/>
    <x v="1"/>
    <s v="no"/>
    <n v="0"/>
    <s v="not yet"/>
  </r>
  <r>
    <s v="V0130601P013"/>
    <s v="SD"/>
    <s v="Bangun Datar"/>
    <s v="https://drive.google.com/open?id=15K9PmA2RY8P4HlkGtwD_c6hJ-zRIp_rO"/>
    <s v="V0130601P013"/>
    <d v="2021-08-23T00:00:00"/>
    <x v="54"/>
    <n v="-669"/>
    <x v="131"/>
    <n v="672"/>
    <m/>
    <s v="Not Submitted"/>
    <x v="1"/>
    <s v="no"/>
    <n v="0"/>
    <s v="not yet"/>
  </r>
  <r>
    <s v="V0130783E005"/>
    <s v="SD"/>
    <s v="Bangun Ruang"/>
    <s v="https://drive.google.com/open?id=1ocL4oTYN4xbmYD6I--u5UTswYujzKoR-"/>
    <s v="V0130783E005"/>
    <d v="2021-08-23T00:00:00"/>
    <x v="54"/>
    <n v="-669"/>
    <x v="131"/>
    <n v="672"/>
    <m/>
    <s v="Not Submitted"/>
    <x v="1"/>
    <s v="no"/>
    <n v="0"/>
    <s v="not yet"/>
  </r>
  <r>
    <s v="S0170292E001"/>
    <s v="SD"/>
    <s v="Aproksimasi / Pembulatan"/>
    <s v="https://drive.google.com/open?id=1HmPFDzs7nOT0c4g0Lt-YaDRK6RLSbCkT"/>
    <s v="S0170292E001"/>
    <d v="2021-08-23T00:00:00"/>
    <x v="54"/>
    <n v="-669"/>
    <x v="131"/>
    <n v="672"/>
    <m/>
    <s v="Not Submitted"/>
    <x v="1"/>
    <s v="no"/>
    <n v="0"/>
    <s v="not yet"/>
  </r>
  <r>
    <s v="S0350272E005"/>
    <s v="SD"/>
    <s v="Aproksimasi / Pembulatan"/>
    <s v="https://drive.google.com/open?id=1pGZdhVJdjep9lilFM9Pg0pt9CmUTXciy"/>
    <s v="S0350272E005"/>
    <d v="2021-08-23T00:00:00"/>
    <x v="54"/>
    <n v="-669"/>
    <x v="131"/>
    <n v="672"/>
    <m/>
    <s v="Not Submitted"/>
    <x v="1"/>
    <s v="no"/>
    <n v="0"/>
    <s v="not yet"/>
  </r>
  <r>
    <s v="S0150737E001"/>
    <s v="SD"/>
    <s v="Bangun Ruang Sisi Lengkung"/>
    <s v="https://drive.google.com/open?id=19xXnCmb4jGcAXvy7f6QV_CifOKKDr-w1"/>
    <s v="S0150737E001"/>
    <d v="2021-08-27T00:00:00"/>
    <x v="50"/>
    <n v="-666"/>
    <x v="131"/>
    <n v="668"/>
    <m/>
    <s v="Not Submitted"/>
    <x v="1"/>
    <s v="no"/>
    <n v="0"/>
    <s v="not yet"/>
  </r>
  <r>
    <s v="S0300392E001"/>
    <s v="SD"/>
    <s v="Bangun Datar"/>
    <s v="https://drive.google.com/open?id=1-bOH8bkYrEleJoZ8RbDnhDUMxkv6zByX"/>
    <s v="S0300392E001"/>
    <d v="2021-08-27T00:00:00"/>
    <x v="50"/>
    <n v="-666"/>
    <x v="131"/>
    <n v="668"/>
    <m/>
    <s v="Not Submitted"/>
    <x v="1"/>
    <s v="no"/>
    <n v="0"/>
    <s v="not yet"/>
  </r>
  <r>
    <s v="S0580102E001"/>
    <s v="SD"/>
    <s v="Operasi Bilangan Pecahan"/>
    <s v="https://drive.google.com/open?id=1IYDICNs1J2M0xeBisvqg8N2_cA814Ydd"/>
    <s v="S0580102E001"/>
    <d v="2021-08-27T00:00:00"/>
    <x v="50"/>
    <n v="-666"/>
    <x v="131"/>
    <n v="668"/>
    <m/>
    <s v="Not Submitted"/>
    <x v="1"/>
    <s v="no"/>
    <n v="0"/>
    <s v="not yet"/>
  </r>
  <r>
    <s v="V0130103E005"/>
    <s v="SD"/>
    <s v="Bilangan Bulat"/>
    <s v="https://drive.google.com/open?id=1EyN9kkkLMz28e6HruJaIykkfWtITgj-n"/>
    <s v="V0130103E005"/>
    <d v="2021-08-27T00:00:00"/>
    <x v="50"/>
    <n v="-666"/>
    <x v="131"/>
    <n v="668"/>
    <m/>
    <s v="Not Submitted"/>
    <x v="1"/>
    <s v="no"/>
    <n v="0"/>
    <s v="not yet"/>
  </r>
  <r>
    <s v="S0291362E006"/>
    <s v="SD"/>
    <s v="Operasi Bilangan Pecahan"/>
    <s v="https://drive.google.com/open?id=1oSlaLQAbksTerPYIMti5zL1X7rXaYaRu"/>
    <s v="S0291362E006"/>
    <d v="2021-08-27T00:00:00"/>
    <x v="50"/>
    <n v="-666"/>
    <x v="131"/>
    <n v="668"/>
    <s v="AV + Corr"/>
    <s v="Rejected"/>
    <x v="0"/>
    <s v="no"/>
    <n v="0"/>
    <s v="not yet"/>
  </r>
  <r>
    <s v="S0510501E002"/>
    <s v="SD"/>
    <s v="Operasi Bilangan Pecahan"/>
    <s v="https://drive.google.com/open?id=1DsjHh4PQaA-__pOz6o_FP8wWF27VYzCU"/>
    <s v="S0510501E002"/>
    <d v="2021-08-27T00:00:00"/>
    <x v="50"/>
    <n v="-666"/>
    <x v="131"/>
    <n v="668"/>
    <s v="AV + Corr"/>
    <s v="Rejected"/>
    <x v="0"/>
    <s v="no"/>
    <n v="0"/>
    <s v="not yet"/>
  </r>
  <r>
    <s v="S0151151P025"/>
    <s v="SD"/>
    <s v="Bangun Ruang Sisi Lengkung"/>
    <s v="https://drive.google.com/open?id=1-xqwJOwr9EIH3RMZyoKvYaE-R8EvG_Hz"/>
    <s v="S0151151P025"/>
    <d v="2021-08-27T00:00:00"/>
    <x v="50"/>
    <n v="-666"/>
    <x v="131"/>
    <n v="668"/>
    <s v="Corr"/>
    <s v="Rejected"/>
    <x v="0"/>
    <s v="no"/>
    <n v="0"/>
    <s v="not yet"/>
  </r>
  <r>
    <s v="S0150874E001"/>
    <s v="SD"/>
    <s v="Bangun Ruang Sisi Lengkung"/>
    <s v="https://drive.google.com/open?id=1zB_RapXD0eK04e6p4PRSvfEWeNLbbNbE"/>
    <s v="S0150874E001"/>
    <d v="2021-08-30T00:00:00"/>
    <x v="53"/>
    <n v="-662"/>
    <x v="131"/>
    <n v="665"/>
    <m/>
    <s v="Not Submitted"/>
    <x v="1"/>
    <s v="no"/>
    <n v="0"/>
    <s v="not yet"/>
  </r>
  <r>
    <s v="S0400761E001"/>
    <s v="SD"/>
    <s v="Bangun Datar"/>
    <s v="https://drive.google.com/open?id=1hEQXa63ipsz-XHsSq7BiqeCdvXUe7-yp"/>
    <s v="S0400761E001"/>
    <d v="2021-08-30T00:00:00"/>
    <x v="53"/>
    <n v="-662"/>
    <x v="131"/>
    <n v="665"/>
    <m/>
    <s v="Not Submitted"/>
    <x v="1"/>
    <s v="no"/>
    <n v="0"/>
    <s v="not yet"/>
  </r>
  <r>
    <s v="T0055601P001"/>
    <s v="SD"/>
    <s v="Perpangkatan Dan Akar"/>
    <s v="https://drive.google.com/open?id=1L2f0Ruo1690uy9Htpx1ZLFb7gKDzSuiK"/>
    <s v="T0055601P001"/>
    <d v="2021-08-30T00:00:00"/>
    <x v="53"/>
    <n v="-662"/>
    <x v="131"/>
    <n v="665"/>
    <m/>
    <s v="Not Submitted"/>
    <x v="1"/>
    <s v="no"/>
    <n v="0"/>
    <s v="not yet"/>
  </r>
  <r>
    <s v="T005J703P001"/>
    <s v="SD"/>
    <s v="Bangun Ruang"/>
    <s v="https://drive.google.com/open?id=129w5dSHWER5RY68ZoZSFCnO-_QVKoIoj"/>
    <s v="T005J703P001"/>
    <d v="2021-08-30T00:00:00"/>
    <x v="53"/>
    <n v="-662"/>
    <x v="131"/>
    <n v="665"/>
    <m/>
    <s v="Not Submitted"/>
    <x v="1"/>
    <s v="no"/>
    <n v="0"/>
    <s v="not yet"/>
  </r>
  <r>
    <s v="T005P903P001"/>
    <s v="SD"/>
    <s v="Bangun Ruang"/>
    <s v="https://drive.google.com/open?id=1rWJoipApGeSt1C1tHqkfPKldr127yKdi"/>
    <s v="T005P903P001"/>
    <d v="2021-08-30T00:00:00"/>
    <x v="53"/>
    <n v="-662"/>
    <x v="131"/>
    <n v="665"/>
    <m/>
    <s v="Not Submitted"/>
    <x v="1"/>
    <s v="no"/>
    <n v="0"/>
    <s v="not yet"/>
  </r>
  <r>
    <s v="T0090616E001"/>
    <s v="SD"/>
    <s v="Perpangkatan Dan Akar"/>
    <s v="https://drive.google.com/open?id=17wlUta69JANuel18k55qDa-UgDcj5ayc"/>
    <s v="T0090616E001"/>
    <d v="2021-09-03T00:00:00"/>
    <x v="56"/>
    <n v="-659"/>
    <x v="131"/>
    <n v="661"/>
    <s v="Corr"/>
    <s v="Rejected"/>
    <x v="0"/>
    <s v="no"/>
    <n v="0"/>
    <s v="not yet"/>
  </r>
  <r>
    <s v="T007L003P001"/>
    <s v="SD"/>
    <s v="Statistika 6"/>
    <s v="https://drive.google.com/open?id=1aNLpcH1ZXiCDAXTikOPhEOSQ1T1jL4C6"/>
    <s v="T007L003P001"/>
    <d v="2021-09-03T00:00:00"/>
    <x v="56"/>
    <n v="-659"/>
    <x v="131"/>
    <n v="661"/>
    <m/>
    <s v="Not Submitted"/>
    <x v="1"/>
    <s v="no"/>
    <n v="0"/>
    <s v="not yet"/>
  </r>
  <r>
    <s v="S0301681E001"/>
    <s v="SD"/>
    <s v="Statistika 6"/>
    <s v="https://drive.google.com/open?id=1DMJjpJYxmUqtCju1vSAc5Ke3auI1C65H"/>
    <s v="S0301681E001"/>
    <d v="2021-09-04T00:00:00"/>
    <x v="56"/>
    <n v="-659"/>
    <x v="131"/>
    <n v="660"/>
    <m/>
    <s v="Not Submitted"/>
    <x v="1"/>
    <s v="no"/>
    <n v="0"/>
    <s v="not yet"/>
  </r>
  <r>
    <s v="V0130893E005"/>
    <s v="SD"/>
    <s v="Bangun Ruang"/>
    <s v="https://drive.google.com/open?id=1AC4qSW5ULuEUlFzTHpmJbrr1Xqumnd5f"/>
    <s v="V0130893E005"/>
    <d v="2021-09-06T00:00:00"/>
    <x v="59"/>
    <n v="-655"/>
    <x v="131"/>
    <n v="658"/>
    <m/>
    <s v="Not Submitted"/>
    <x v="1"/>
    <s v="no"/>
    <n v="0"/>
    <s v="not yet"/>
  </r>
  <r>
    <s v="T006X101P001"/>
    <s v="SD"/>
    <s v="Bangun Ruang"/>
    <s v="https://drive.google.com/open?id=1K5poCG5WprqIcSYhN7iseVkKIXUHh5On"/>
    <s v="T006X101P001"/>
    <d v="2021-09-06T00:00:00"/>
    <x v="59"/>
    <n v="-655"/>
    <x v="131"/>
    <n v="658"/>
    <m/>
    <s v="Not Submitted"/>
    <x v="1"/>
    <s v="no"/>
    <n v="0"/>
    <s v="not yet"/>
  </r>
  <r>
    <s v="S0811681E005"/>
    <s v="SD"/>
    <s v="Bangun Ruang"/>
    <s v="https://drive.google.com/open?id=1cwfX7NwgX0vNjUg5ToGrdIvF_zXq7y1l"/>
    <s v="S0811681E005"/>
    <d v="2021-09-06T00:00:00"/>
    <x v="59"/>
    <n v="-655"/>
    <x v="131"/>
    <n v="658"/>
    <m/>
    <s v="Not Submitted"/>
    <x v="1"/>
    <s v="no"/>
    <n v="0"/>
    <s v="not yet"/>
  </r>
  <r>
    <s v="S0301641E003"/>
    <s v="SD"/>
    <s v="Statistika 6"/>
    <s v="https://drive.google.com/open?id=1T3ObbF7qAcvCb_-r6t5Jay45bEw6ygBl"/>
    <s v="S0301641E003"/>
    <d v="2021-09-04T00:00:00"/>
    <x v="55"/>
    <n v="-652"/>
    <x v="131"/>
    <n v="660"/>
    <m/>
    <s v="Not Submitted"/>
    <x v="1"/>
    <s v="no"/>
    <n v="0"/>
    <s v="not yet"/>
  </r>
  <r>
    <s v="S0301651E002"/>
    <s v="SD"/>
    <s v="Statistika 6"/>
    <s v="https://drive.google.com/open?id=1xpk6b56myh24Q8-urjPB6AGkD6pw8XhZ"/>
    <s v="S0301651E002"/>
    <d v="2021-09-04T00:00:00"/>
    <x v="55"/>
    <n v="-652"/>
    <x v="131"/>
    <n v="660"/>
    <m/>
    <s v="Not Submitted"/>
    <x v="1"/>
    <s v="no"/>
    <n v="0"/>
    <s v="not yet"/>
  </r>
  <r>
    <s v="T007J903P001"/>
    <s v="SD"/>
    <s v="Operasi Bilangan Pecahan"/>
    <s v="https://drive.google.com/open?id=1hRzvdPv_Vl8MkGzDsyUXRlzVaDG0vnin"/>
    <s v="T007J903P001"/>
    <d v="2021-09-10T00:00:00"/>
    <x v="55"/>
    <n v="-652"/>
    <x v="131"/>
    <n v="654"/>
    <m/>
    <s v="Not Submitted"/>
    <x v="1"/>
    <s v="no"/>
    <n v="0"/>
    <s v="not yet"/>
  </r>
  <r>
    <s v="S0571771E004"/>
    <s v="SD"/>
    <s v="Bangun Ruang Sisi Lengkung"/>
    <s v="https://drive.google.com/open?id=1yrbmDydq-vU_NQWPpsg6Tx32Y2lW5h64"/>
    <s v="S0571771E004"/>
    <d v="2021-09-06T00:00:00"/>
    <x v="73"/>
    <n v="-651"/>
    <x v="131"/>
    <n v="658"/>
    <m/>
    <s v="Not Submitted"/>
    <x v="1"/>
    <s v="no"/>
    <n v="0"/>
    <s v="not yet"/>
  </r>
  <r>
    <s v="S0472021E001"/>
    <s v="SD"/>
    <s v="Operasi Bilangan Pecahan"/>
    <s v="https://drive.google.com/open?id=1v7Rvhto9TRLbtZ1wjiCJ_otSj827PxUa"/>
    <s v="S0472021E001"/>
    <d v="2021-09-10T00:00:00"/>
    <x v="60"/>
    <n v="-648"/>
    <x v="131"/>
    <n v="654"/>
    <s v="AV + Corr"/>
    <s v="Rejected"/>
    <x v="0"/>
    <s v="no"/>
    <n v="0"/>
    <s v="not yet"/>
  </r>
  <r>
    <s v="T0290104P019"/>
    <s v="SD"/>
    <s v="Pengumpulan Dan Penyajian Data"/>
    <s v="https://drive.google.com/open?id=1meuyLU08IZX97Ww11mXd_lwGBg47sulE"/>
    <s v="T0290104P019"/>
    <d v="2021-09-13T00:00:00"/>
    <x v="60"/>
    <n v="-648"/>
    <x v="131"/>
    <n v="651"/>
    <m/>
    <s v="Not Submitted"/>
    <x v="1"/>
    <s v="no"/>
    <n v="0"/>
    <s v="not yet"/>
  </r>
  <r>
    <s v="T0290104P020"/>
    <s v="SD"/>
    <s v="Pengumpulan Dan Penyajian Data"/>
    <s v="https://drive.google.com/open?id=1b-N1bcZhjgB43KMSlAUokGGnIL0v_YZB"/>
    <s v="T0290104P020"/>
    <d v="2021-09-13T00:00:00"/>
    <x v="60"/>
    <n v="-648"/>
    <x v="131"/>
    <n v="651"/>
    <m/>
    <s v="Not Submitted"/>
    <x v="1"/>
    <s v="no"/>
    <n v="0"/>
    <s v="not yet"/>
  </r>
  <r>
    <s v="S0541201E004"/>
    <s v="SD"/>
    <s v="Pengumpulan Dan Penyajian Data"/>
    <s v="https://drive.google.com/open?id=1VLIKCkMpe7fNApN66xtScuSHGWbKvCEQ"/>
    <s v="S0541201E004"/>
    <d v="2021-09-13T00:00:00"/>
    <x v="60"/>
    <n v="-648"/>
    <x v="131"/>
    <n v="651"/>
    <m/>
    <s v="Not Submitted"/>
    <x v="1"/>
    <s v="no"/>
    <n v="0"/>
    <s v="not yet"/>
  </r>
  <r>
    <s v="S0541201E005"/>
    <s v="SD"/>
    <s v="Pengumpulan Dan Penyajian Data"/>
    <s v="https://drive.google.com/open?id=1W2-OEtl_R_hZKUm6uctDdyFDWCFFddw3"/>
    <s v="S0541201E005"/>
    <d v="2021-09-13T00:00:00"/>
    <x v="60"/>
    <n v="-648"/>
    <x v="131"/>
    <n v="651"/>
    <m/>
    <s v="Not Submitted"/>
    <x v="1"/>
    <s v="no"/>
    <n v="0"/>
    <s v="not yet"/>
  </r>
  <r>
    <s v="S0541101E001"/>
    <s v="SD"/>
    <s v="Sistem Koordinat"/>
    <s v="https://drive.google.com/open?id=1I_n0n_bWmCBXlfjDWLWfpnXVpY1pgotQ"/>
    <s v="S0541101E001"/>
    <d v="2021-09-17T00:00:00"/>
    <x v="62"/>
    <n v="-645"/>
    <x v="131"/>
    <n v="647"/>
    <m/>
    <s v="Not Submitted"/>
    <x v="1"/>
    <s v="no"/>
    <n v="0"/>
    <s v="not yet"/>
  </r>
  <r>
    <s v="S0591831E005"/>
    <s v="SD"/>
    <s v="Statistika 6"/>
    <s v="https://drive.google.com/open?id=1WS8Lfxoipp4jdw9TpAirFonu5kCZU-CC"/>
    <s v="S0591831E005"/>
    <d v="2021-09-15T00:00:00"/>
    <x v="74"/>
    <n v="-642"/>
    <x v="131"/>
    <n v="649"/>
    <m/>
    <s v="Not Submitted"/>
    <x v="1"/>
    <s v="no"/>
    <n v="0"/>
    <s v="not yet"/>
  </r>
  <r>
    <s v="S0380522E003"/>
    <s v="SD"/>
    <s v="Bangun Datar"/>
    <s v="https://drive.google.com/open?id=1oNYs6O3jb33JTNQuXEGZDSx-yyGzaPfC"/>
    <s v="S0380522E003"/>
    <d v="2021-07-19T00:00:00"/>
    <x v="63"/>
    <n v="-641"/>
    <x v="131"/>
    <n v="707"/>
    <s v="Corr"/>
    <s v="Rejected"/>
    <x v="0"/>
    <s v="no"/>
    <n v="0"/>
    <s v="not yet"/>
  </r>
  <r>
    <s v="T007K103P001"/>
    <s v="SD"/>
    <s v="Operasi Bilangan Pecahan"/>
    <s v="https://drive.google.com/open?id=15qjvfhotXkDIfFJcFSuH5geMH9_DUJOF"/>
    <s v="T007K103P001"/>
    <d v="2021-09-10T00:00:00"/>
    <x v="63"/>
    <n v="-641"/>
    <x v="131"/>
    <n v="654"/>
    <m/>
    <s v="Not Submitted"/>
    <x v="1"/>
    <s v="no"/>
    <n v="0"/>
    <s v="not yet"/>
  </r>
  <r>
    <s v="S0902041f027"/>
    <s v="SD"/>
    <s v="Perpangkatan Dan Akar"/>
    <s v="https://drive.google.com/open?id=1DeC4sPo2sBRw2hXTyMHsvmps7ScbOiYS"/>
    <s v="S0902041f027"/>
    <d v="2021-09-20T00:00:00"/>
    <x v="63"/>
    <n v="-641"/>
    <x v="131"/>
    <n v="644"/>
    <m/>
    <s v="Not Submitted"/>
    <x v="1"/>
    <s v="no"/>
    <n v="0"/>
    <s v="not yet"/>
  </r>
  <r>
    <s v="V0170351P024"/>
    <s v="SD"/>
    <s v="Kecepatan Dan Debit"/>
    <s v="https://drive.google.com/open?id=1O9RUhGQKS_DF9jKri_dna-b_A6Fvsxcr"/>
    <s v="V0170351P024"/>
    <d v="2021-09-20T00:00:00"/>
    <x v="63"/>
    <n v="-641"/>
    <x v="131"/>
    <n v="644"/>
    <s v="AV + Corr"/>
    <s v="Rejected"/>
    <x v="0"/>
    <s v="no"/>
    <n v="0"/>
    <s v="not yet"/>
  </r>
  <r>
    <s v="S0150344E004"/>
    <s v="SD"/>
    <s v="Pecahan"/>
    <s v="https://drive.google.com/open?id=1vVvr9LBeZ5fwESExAMUybVr4D7ixezwv"/>
    <s v="S0150344E004"/>
    <d v="2021-09-20T00:00:00"/>
    <x v="63"/>
    <n v="-641"/>
    <x v="131"/>
    <n v="644"/>
    <s v="Corr"/>
    <s v="Rejected"/>
    <x v="0"/>
    <s v="no"/>
    <n v="0"/>
    <s v="not yet"/>
  </r>
  <r>
    <s v="S0150804E001"/>
    <s v="SD"/>
    <s v="Bangun Ruang Sisi Lengkung"/>
    <s v="https://drive.google.com/open?id=1Dn2coNPjBziI70iBKHK5r5f7PWNUB9-E"/>
    <s v="S0150804E001"/>
    <d v="2021-09-20T00:00:00"/>
    <x v="63"/>
    <n v="-641"/>
    <x v="131"/>
    <n v="644"/>
    <m/>
    <s v="Not Submitted"/>
    <x v="1"/>
    <s v="no"/>
    <n v="0"/>
    <s v="not yet"/>
  </r>
  <r>
    <s v="S0291021E002"/>
    <s v="SD"/>
    <s v="Bangun Datar"/>
    <s v="https://drive.google.com/open?id=1g-DIJ74vEIzAXFvcUvqSguclQhk8A_KU"/>
    <s v="S0291021E002"/>
    <d v="2021-09-20T00:00:00"/>
    <x v="63"/>
    <n v="-641"/>
    <x v="131"/>
    <n v="644"/>
    <s v="Corr"/>
    <s v="Rejected"/>
    <x v="0"/>
    <s v="no"/>
    <n v="0"/>
    <s v="not yet"/>
  </r>
  <r>
    <s v="V0110253e003"/>
    <s v="SD"/>
    <s v="Operasi Bilangan Pecahan"/>
    <s v="https://drive.google.com/open?id=1h0IyuohmehAW7pDp4tQpmqfbpss2f_XC"/>
    <s v="V0110253e003"/>
    <d v="2021-09-20T00:00:00"/>
    <x v="63"/>
    <n v="-641"/>
    <x v="131"/>
    <n v="644"/>
    <s v="AV"/>
    <s v="Rejected"/>
    <x v="0"/>
    <s v="no"/>
    <n v="0"/>
    <s v="not yet"/>
  </r>
  <r>
    <s v="S0292722E013"/>
    <s v="SD"/>
    <s v="Operasi Bilangan Pecahan"/>
    <s v="https://drive.google.com/open?id=1Cas-8Z8LhUqMwubRLNh-7yywTMrdJhv7"/>
    <s v="S0292722E013"/>
    <d v="2021-09-20T00:00:00"/>
    <x v="63"/>
    <n v="-641"/>
    <x v="131"/>
    <n v="644"/>
    <s v="Corr"/>
    <s v="Rejected"/>
    <x v="0"/>
    <s v="no"/>
    <n v="0"/>
    <s v="not yet"/>
  </r>
  <r>
    <s v="S0550432E004"/>
    <s v="SD"/>
    <s v="Operasi Bilangan Pecahan"/>
    <s v="https://drive.google.com/open?id=1jb6Ie7DElXEkBN-IaeIywBu4uZ-8GZQf"/>
    <s v="S0550432E004"/>
    <d v="2021-09-20T00:00:00"/>
    <x v="63"/>
    <n v="-641"/>
    <x v="131"/>
    <n v="644"/>
    <s v="Corr"/>
    <s v="Rejected"/>
    <x v="0"/>
    <s v="no"/>
    <n v="0"/>
    <s v="not yet"/>
  </r>
  <r>
    <s v="S0251351c001"/>
    <s v="SD"/>
    <s v="Pecahan"/>
    <s v="https://drive.google.com/open?id=1d38BfTdJSQt2nT6dOF4imBrHvIJk7STY"/>
    <s v="S0251351c001"/>
    <d v="2021-09-20T00:00:00"/>
    <x v="63"/>
    <n v="-641"/>
    <x v="131"/>
    <n v="644"/>
    <s v="Corr"/>
    <s v="Rejected"/>
    <x v="0"/>
    <s v="no"/>
    <n v="0"/>
    <s v="not yet"/>
  </r>
  <r>
    <s v="S0340952E001"/>
    <s v="SD"/>
    <s v="Bangun Datar"/>
    <s v="https://drive.google.com/open?id=1v_AjruG8gXguguPF-ej3es9aZBPRb38k"/>
    <s v="S0340952E001"/>
    <d v="2021-09-20T00:00:00"/>
    <x v="63"/>
    <n v="-641"/>
    <x v="131"/>
    <n v="644"/>
    <s v="Corr"/>
    <s v="Rejected"/>
    <x v="0"/>
    <s v="no"/>
    <n v="0"/>
    <s v="not yet"/>
  </r>
  <r>
    <s v="S0150851E002"/>
    <s v="SD"/>
    <s v="Bangun Ruang Sisi Lengkung"/>
    <s v="https://drive.google.com/open?id=1ExhI5METy_ORUCT49Dswcp3_mnWTLBc6"/>
    <s v="S0150851E002"/>
    <d v="2021-09-20T00:00:00"/>
    <x v="63"/>
    <n v="-641"/>
    <x v="131"/>
    <n v="644"/>
    <m/>
    <s v="Not Submitted"/>
    <x v="1"/>
    <s v="no"/>
    <n v="0"/>
    <s v="not yet"/>
  </r>
  <r>
    <s v="S0150701E001"/>
    <s v="SD"/>
    <s v="Bangun Ruang Sisi Lengkung"/>
    <s v="https://drive.google.com/open?id=1dLrjyryRvom25A5847rS6OHM85VRDRcC"/>
    <s v="S0150701E001"/>
    <d v="2021-09-20T00:00:00"/>
    <x v="63"/>
    <n v="-641"/>
    <x v="131"/>
    <n v="644"/>
    <s v="Corr"/>
    <s v="Rejected"/>
    <x v="0"/>
    <s v="no"/>
    <n v="0"/>
    <s v="not yet"/>
  </r>
  <r>
    <s v="V0140212E004"/>
    <s v="SD"/>
    <s v="Operasi Bilangan Pecahan"/>
    <s v="https://drive.google.com/open?id=1tCcvBUNCuVaY9AKYsRGgyuwMNadCxoL1"/>
    <s v="V0140212E004"/>
    <d v="2021-09-20T00:00:00"/>
    <x v="63"/>
    <n v="-641"/>
    <x v="131"/>
    <n v="644"/>
    <m/>
    <s v="Not Submitted"/>
    <x v="1"/>
    <s v="no"/>
    <n v="0"/>
    <s v="not yet"/>
  </r>
  <r>
    <s v="V0172181P016"/>
    <s v="SD"/>
    <s v="Kecepatan Dan Debit"/>
    <s v="https://drive.google.com/open?id=16ae5W5MTnlCoDUtBq4SZRNbPXIX_YiFV"/>
    <s v="V0172181P016"/>
    <d v="2021-09-20T00:00:00"/>
    <x v="63"/>
    <n v="-641"/>
    <x v="131"/>
    <n v="644"/>
    <m/>
    <s v="Not Submitted"/>
    <x v="1"/>
    <s v="no"/>
    <n v="0"/>
    <s v="not yet"/>
  </r>
  <r>
    <s v="V0040592E007"/>
    <s v="SD"/>
    <s v="Statistika 6"/>
    <s v="https://drive.google.com/open?id=1CTa6NMXG7AUGYIohAuz6le-_ll5zxTpW"/>
    <s v="V0040592E007"/>
    <d v="2021-09-20T00:00:00"/>
    <x v="63"/>
    <n v="-641"/>
    <x v="131"/>
    <n v="644"/>
    <s v="Corr"/>
    <s v="Rejected"/>
    <x v="0"/>
    <s v="no"/>
    <n v="0"/>
    <s v="not yet"/>
  </r>
  <r>
    <s v="T007S502P001"/>
    <s v="SD"/>
    <s v="Aproksimasi / Pembulatan"/>
    <s v="https://drive.google.com/open?id=1wEsMntYqpjTNH0xI8xX7P6R-XAaLYKLv"/>
    <s v="T007S502P001"/>
    <d v="2021-09-22T00:00:00"/>
    <x v="63"/>
    <n v="-641"/>
    <x v="131"/>
    <n v="642"/>
    <m/>
    <s v="Not Submitted"/>
    <x v="1"/>
    <s v="no"/>
    <n v="0"/>
    <s v="not yet"/>
  </r>
  <r>
    <s v="T0082402P001"/>
    <s v="SD"/>
    <s v="Bangun Datar"/>
    <s v="https://drive.google.com/open?id=1QT-iFKASK9MRWqKSk2zl9Ega4V7dPIA0"/>
    <s v="T0082402P001"/>
    <d v="2021-09-22T00:00:00"/>
    <x v="63"/>
    <n v="-641"/>
    <x v="131"/>
    <n v="642"/>
    <m/>
    <s v="Not Submitted"/>
    <x v="1"/>
    <s v="no"/>
    <n v="0"/>
    <s v="not yet"/>
  </r>
  <r>
    <s v="T008E702P001"/>
    <s v="SD"/>
    <s v="Bangun Datar"/>
    <s v="https://drive.google.com/open?id=1DsokRCvPAxcTNSr1os1CYknIUzVcHLOp"/>
    <s v="T008E702P001"/>
    <d v="2021-09-22T00:00:00"/>
    <x v="63"/>
    <n v="-641"/>
    <x v="131"/>
    <n v="642"/>
    <m/>
    <s v="Not Submitted"/>
    <x v="1"/>
    <s v="no"/>
    <n v="0"/>
    <s v="not yet"/>
  </r>
  <r>
    <s v="T008E902P001"/>
    <s v="SD"/>
    <s v="Bangun Datar"/>
    <s v="https://drive.google.com/open?id=1U8VZEiV130j5G4Yq3kIhCvVjRIvypDgH"/>
    <s v="T008E902P001"/>
    <d v="2021-09-22T00:00:00"/>
    <x v="63"/>
    <n v="-641"/>
    <x v="131"/>
    <n v="642"/>
    <m/>
    <s v="Not Submitted"/>
    <x v="1"/>
    <s v="no"/>
    <n v="0"/>
    <s v="not yet"/>
  </r>
  <r>
    <s v="T0082601P001"/>
    <s v="SD"/>
    <s v="Bangun Datar"/>
    <s v="https://drive.google.com/open?id=1j1rlQJ5ZysPzzaWLjUcvEkb_V9aZKV2g"/>
    <s v="T0082601P001"/>
    <d v="2021-09-22T00:00:00"/>
    <x v="63"/>
    <n v="-641"/>
    <x v="131"/>
    <n v="642"/>
    <m/>
    <s v="Not Submitted"/>
    <x v="1"/>
    <s v="no"/>
    <n v="0"/>
    <s v="not yet"/>
  </r>
  <r>
    <s v="T0083701P001"/>
    <s v="SD"/>
    <s v="Bangun Datar"/>
    <s v="https://drive.google.com/open?id=1rrvLkwcJG1XQJwau230GtR_Sx6c7DOez"/>
    <s v="T0083701P001"/>
    <d v="2021-09-22T00:00:00"/>
    <x v="63"/>
    <n v="-641"/>
    <x v="131"/>
    <n v="642"/>
    <m/>
    <s v="Not Submitted"/>
    <x v="1"/>
    <s v="no"/>
    <n v="0"/>
    <s v="not yet"/>
  </r>
  <r>
    <s v="T0088201P001"/>
    <s v="SD"/>
    <s v="Bangun Datar"/>
    <s v="https://drive.google.com/open?id=1iXMYy844G7cSDeJc4surzbE7PMCREtWS"/>
    <s v="T0088201P001"/>
    <d v="2021-09-22T00:00:00"/>
    <x v="63"/>
    <n v="-641"/>
    <x v="131"/>
    <n v="642"/>
    <m/>
    <s v="Not Submitted"/>
    <x v="1"/>
    <s v="no"/>
    <n v="0"/>
    <s v="not yet"/>
  </r>
  <r>
    <s v="T008C001P001"/>
    <s v="SD"/>
    <s v="Bangun Datar"/>
    <s v="https://drive.google.com/open?id=1XbJFOfCpSSrF0_c5uNJ8kNcuC8ceA_JX"/>
    <s v="T008C001P001"/>
    <d v="2021-09-22T00:00:00"/>
    <x v="63"/>
    <n v="-641"/>
    <x v="131"/>
    <n v="642"/>
    <m/>
    <s v="Not Submitted"/>
    <x v="1"/>
    <s v="no"/>
    <n v="0"/>
    <s v="not yet"/>
  </r>
  <r>
    <s v="T008U102P001"/>
    <s v="SD"/>
    <s v="Bangun Datar"/>
    <s v="https://drive.google.com/open?id=1FXOnuq4KwLtrzTVhOGDyre3L6z_LMjYv"/>
    <s v="T008U102P001"/>
    <d v="2021-09-22T00:00:00"/>
    <x v="63"/>
    <n v="-641"/>
    <x v="131"/>
    <n v="642"/>
    <m/>
    <s v="Not Submitted"/>
    <x v="1"/>
    <s v="no"/>
    <n v="0"/>
    <s v="not yet"/>
  </r>
  <r>
    <s v="T008Y102P001"/>
    <s v="SD"/>
    <s v="Bangun Datar"/>
    <s v="https://drive.google.com/open?id=1ENILm-uHFyQJo83s1FUwlSjs96HAR50x"/>
    <s v="T008Y102P001"/>
    <d v="2021-09-22T00:00:00"/>
    <x v="63"/>
    <n v="-641"/>
    <x v="131"/>
    <n v="642"/>
    <m/>
    <s v="Not Submitted"/>
    <x v="1"/>
    <s v="no"/>
    <n v="0"/>
    <s v="not yet"/>
  </r>
  <r>
    <s v="T0082203P001"/>
    <s v="SD"/>
    <s v="Bangun Datar"/>
    <s v="https://drive.google.com/open?id=1-IxwLXYstg3DhKAKi3E-Bkpoi6Hg-jbl"/>
    <s v="T0082203P001"/>
    <d v="2021-09-22T00:00:00"/>
    <x v="63"/>
    <n v="-641"/>
    <x v="131"/>
    <n v="642"/>
    <m/>
    <s v="Not Submitted"/>
    <x v="1"/>
    <s v="no"/>
    <n v="0"/>
    <s v="not yet"/>
  </r>
  <r>
    <s v="T008A501P001"/>
    <s v="SD"/>
    <s v="Bangun Datar"/>
    <s v="https://drive.google.com/open?id=1eSV73c4hr2lm22Ck14q3L2azut3Ci504"/>
    <s v="T008A501P001"/>
    <d v="2021-09-24T00:00:00"/>
    <x v="57"/>
    <n v="-631"/>
    <x v="131"/>
    <n v="640"/>
    <m/>
    <s v="Not Submitted"/>
    <x v="1"/>
    <s v="no"/>
    <n v="0"/>
    <s v="not yet"/>
  </r>
  <r>
    <s v="T0230158P005"/>
    <s v="SD"/>
    <s v="Bilangan Bulat"/>
    <s v="https://drive.google.com/open?id=1x562bydb7pOJ8b_fX1LUKJjBUau7ALfp"/>
    <s v="T0230158P005"/>
    <d v="2021-09-24T00:00:00"/>
    <x v="57"/>
    <n v="-631"/>
    <x v="131"/>
    <n v="640"/>
    <m/>
    <s v="Not Submitted"/>
    <x v="1"/>
    <s v="no"/>
    <n v="0"/>
    <s v="not yet"/>
  </r>
  <r>
    <s v="S0290093E003"/>
    <s v="SD"/>
    <s v="Sistem Koordinat"/>
    <s v="https://drive.google.com/open?id=12Rp6Zyd6OI_hvdN1qsBblXNhPSzPozvz"/>
    <s v="S0290093E003"/>
    <d v="2021-09-27T00:00:00"/>
    <x v="57"/>
    <n v="-631"/>
    <x v="131"/>
    <n v="637"/>
    <m/>
    <s v="Not Submitted"/>
    <x v="1"/>
    <s v="no"/>
    <n v="0"/>
    <s v="not yet"/>
  </r>
  <r>
    <s v="T0230730P029"/>
    <s v="SD"/>
    <s v="Statistika 6"/>
    <s v="https://drive.google.com/open?id=1eK_6CsTPaRyx0w88kM4GPLMRpirO9NZ5"/>
    <s v="T0230730P029"/>
    <d v="2021-09-27T00:00:00"/>
    <x v="57"/>
    <n v="-631"/>
    <x v="131"/>
    <n v="637"/>
    <s v="AV"/>
    <s v="Rejected"/>
    <x v="0"/>
    <s v="no"/>
    <n v="0"/>
    <s v="not yet"/>
  </r>
  <r>
    <s v="S0900731E018"/>
    <s v="SD"/>
    <s v="Operasi Bilangan Pecahan"/>
    <s v="https://drive.google.com/open?id=1y2Dzz59xmL-l9trYUJlCw8sL1I6XSM95"/>
    <s v="S0900731E018"/>
    <d v="2021-10-01T00:00:00"/>
    <x v="57"/>
    <n v="-631"/>
    <x v="131"/>
    <n v="633"/>
    <m/>
    <s v="Not Submitted"/>
    <x v="1"/>
    <s v="no"/>
    <n v="0"/>
    <s v="not yet"/>
  </r>
  <r>
    <s v="T0110122P010"/>
    <s v="SD"/>
    <s v="Operasi Bilangan Pecahan"/>
    <s v="https://drive.google.com/open?id=1xzK9BZ3KcPMTyKmtzqcePTszKJQKbJtd"/>
    <s v="T0110122P010"/>
    <d v="2021-10-01T00:00:00"/>
    <x v="57"/>
    <n v="-631"/>
    <x v="131"/>
    <n v="633"/>
    <m/>
    <s v="Not Submitted"/>
    <x v="1"/>
    <s v="no"/>
    <n v="0"/>
    <s v="not yet"/>
  </r>
  <r>
    <s v="S0900731E014"/>
    <s v="SD"/>
    <s v="Operasi Bilangan Pecahan"/>
    <s v="https://drive.google.com/open?id=1xS3Ebv4CQ_kDXwjjoFkMosUQxsXFaAcE"/>
    <s v="S0900731E014"/>
    <d v="2021-10-01T00:00:00"/>
    <x v="57"/>
    <n v="-631"/>
    <x v="131"/>
    <n v="633"/>
    <m/>
    <s v="Not Submitted"/>
    <x v="1"/>
    <s v="no"/>
    <n v="0"/>
    <s v="not yet"/>
  </r>
  <r>
    <s v="T0084602P001"/>
    <s v="SD"/>
    <s v="Pecahan"/>
    <s v="https://drive.google.com/open?id=1xNshl83Ahs81scBOXn5MjrZlAdq8Ux__"/>
    <s v="T0084602P001"/>
    <d v="2021-10-01T00:00:00"/>
    <x v="57"/>
    <n v="-631"/>
    <x v="131"/>
    <n v="633"/>
    <m/>
    <s v="Not Submitted"/>
    <x v="1"/>
    <s v="no"/>
    <n v="0"/>
    <s v="not yet"/>
  </r>
  <r>
    <s v="S0110594E001"/>
    <s v="SD"/>
    <s v="KPK dan FPB"/>
    <s v="https://drive.google.com/open?id=1xmW8IgQ45Xk-Z3t6wa5xD_0cWNoJ_iyP"/>
    <s v="S0110594E001"/>
    <d v="2021-10-01T00:00:00"/>
    <x v="57"/>
    <n v="-631"/>
    <x v="131"/>
    <n v="633"/>
    <m/>
    <s v="Not Submitted"/>
    <x v="1"/>
    <s v="no"/>
    <n v="0"/>
    <s v="not yet"/>
  </r>
  <r>
    <s v="T0280207P016"/>
    <s v="SD"/>
    <s v="Pecahan"/>
    <s v="https://drive.google.com/open?id=1xLIk6NCjWssaylSXISyXKiO3iUTyckH-"/>
    <s v="T0280207P016"/>
    <d v="2021-10-01T00:00:00"/>
    <x v="57"/>
    <n v="-631"/>
    <x v="131"/>
    <n v="633"/>
    <m/>
    <s v="Not Submitted"/>
    <x v="1"/>
    <s v="no"/>
    <n v="0"/>
    <s v="not yet"/>
  </r>
  <r>
    <s v="S0920881E001"/>
    <s v="SD"/>
    <s v="Operasi Bilangan Pecahan"/>
    <s v="https://drive.google.com/open?id=1XJppvDJVxCtOif4fPUBcpZPgOR7spxm8"/>
    <s v="S0920881E001"/>
    <d v="2021-10-01T00:00:00"/>
    <x v="57"/>
    <n v="-631"/>
    <x v="131"/>
    <n v="633"/>
    <m/>
    <s v="Not Submitted"/>
    <x v="1"/>
    <s v="no"/>
    <n v="0"/>
    <s v="not yet"/>
  </r>
  <r>
    <s v="S0780281P017"/>
    <s v="SD"/>
    <s v="Operasi Bilangan Pecahan"/>
    <s v="https://drive.google.com/open?id=1XJaAUKroiyBxsblTRbFv7Vr8D57qgSdt"/>
    <s v="S0780281P017"/>
    <d v="2021-10-01T00:00:00"/>
    <x v="57"/>
    <n v="-631"/>
    <x v="131"/>
    <n v="633"/>
    <m/>
    <s v="Not Submitted"/>
    <x v="1"/>
    <s v="no"/>
    <n v="0"/>
    <s v="not yet"/>
  </r>
  <r>
    <s v="S0541341E014"/>
    <s v="SD"/>
    <s v="Pengumpulan Dan Penyajian Data"/>
    <s v="https://drive.google.com/open?id=1b64Mli5qkydorv-MLxORjubugkz8ivAp"/>
    <s v="S0541341E014"/>
    <d v="2021-09-13T00:00:00"/>
    <x v="65"/>
    <n v="-624"/>
    <x v="131"/>
    <n v="651"/>
    <m/>
    <s v="Not Submitted"/>
    <x v="1"/>
    <s v="no"/>
    <n v="0"/>
    <s v="not yet"/>
  </r>
  <r>
    <s v="T0065103P001"/>
    <s v="SD"/>
    <s v="Bangun Ruang"/>
    <s v="https://drive.google.com/open?id=1CtRWKyhJDPdyXpooJUUYhCa-J60a5Xzx"/>
    <s v="T0065103P001"/>
    <d v="2021-10-04T00:00:00"/>
    <x v="65"/>
    <n v="-624"/>
    <x v="131"/>
    <n v="630"/>
    <s v="AV + Corr"/>
    <s v="Rejected"/>
    <x v="0"/>
    <s v="no"/>
    <n v="0"/>
    <s v="not yet"/>
  </r>
  <r>
    <s v="T0058903P001"/>
    <s v="SD"/>
    <s v="Operasi Bilangan Pecahan"/>
    <s v="https://drive.google.com/open?id=1YM5BclMZlAAhssfNmNxFRsw4vOrJJ8uR"/>
    <s v="T0058903P001"/>
    <d v="2021-10-04T00:00:00"/>
    <x v="65"/>
    <n v="-624"/>
    <x v="131"/>
    <n v="630"/>
    <s v="Corr"/>
    <s v="Rejected"/>
    <x v="0"/>
    <s v="no"/>
    <n v="0"/>
    <s v="not yet"/>
  </r>
  <r>
    <s v="T0301011E031"/>
    <s v="SD"/>
    <s v="Skala"/>
    <s v="https://drive.google.com/open?id=13yb0Hn5RlAVFBk_VktErPGhhKAWhJsN0"/>
    <s v="T0301011E031"/>
    <d v="2021-10-04T00:00:00"/>
    <x v="65"/>
    <n v="-624"/>
    <x v="131"/>
    <n v="630"/>
    <s v="Corr"/>
    <s v="Rejected"/>
    <x v="0"/>
    <s v="no"/>
    <n v="0"/>
    <s v="not yet"/>
  </r>
  <r>
    <s v="S0081033E001"/>
    <s v="SD"/>
    <s v="Bangun Ruang Sisi Lengkung"/>
    <s v="https://drive.google.com/open?id=1-A6x4Q_XVJ5ryREDR6x7s0UHlTaH3NuH"/>
    <s v="S0081033E001"/>
    <d v="2021-07-05T00:00:00"/>
    <x v="68"/>
    <n v="-617"/>
    <x v="131"/>
    <n v="721"/>
    <s v="Corr"/>
    <s v="Rejected"/>
    <x v="0"/>
    <s v="no"/>
    <n v="0"/>
    <s v="not yet"/>
  </r>
  <r>
    <s v="S0670741E002"/>
    <s v="SD"/>
    <s v="Bangun Ruang"/>
    <s v="https://drive.google.com/open?id=1fHceUi_khXOX35UrT2iwRtgFsqshkoPC"/>
    <s v="S0670741E002"/>
    <d v="2021-10-11T00:00:00"/>
    <x v="68"/>
    <n v="-617"/>
    <x v="131"/>
    <n v="623"/>
    <m/>
    <s v="Not Submitted"/>
    <x v="1"/>
    <s v="no"/>
    <n v="0"/>
    <s v="not yet"/>
  </r>
  <r>
    <s v="S0902041a028"/>
    <s v="SD"/>
    <s v="Perpangkatan Dan Akar"/>
    <s v="https://drive.google.com/open?id=1-3jp9emh8buCmky-ompt2UOSrYHtTKi4"/>
    <s v="S0902041a028"/>
    <d v="2021-10-11T00:00:00"/>
    <x v="68"/>
    <n v="-617"/>
    <x v="131"/>
    <n v="623"/>
    <m/>
    <s v="Not Submitted"/>
    <x v="1"/>
    <s v="no"/>
    <n v="0"/>
    <s v="not yet"/>
  </r>
  <r>
    <s v="V0172191P017"/>
    <s v="SD"/>
    <s v="Kecepatan Dan Debit"/>
    <s v="https://drive.google.com/open?id=1YyLHFOXeahe969TH86UKk2T8zWQMo9VF"/>
    <s v="V0172191P017"/>
    <d v="2021-10-11T00:00:00"/>
    <x v="68"/>
    <n v="-617"/>
    <x v="131"/>
    <n v="623"/>
    <m/>
    <s v="Not Submitted"/>
    <x v="1"/>
    <s v="no"/>
    <n v="0"/>
    <s v="not yet"/>
  </r>
  <r>
    <s v="T0410220P018"/>
    <s v="SD"/>
    <s v="Kecepatan Dan Debit"/>
    <s v="https://drive.google.com/open?id=1VK2NHnrRuS7rjnnUFy_KPT77T3DoZAoP"/>
    <s v="T0410220P018"/>
    <d v="2021-10-11T00:00:00"/>
    <x v="68"/>
    <n v="-617"/>
    <x v="131"/>
    <n v="623"/>
    <m/>
    <s v="Not Submitted"/>
    <x v="1"/>
    <s v="no"/>
    <n v="0"/>
    <s v="not yet"/>
  </r>
  <r>
    <s v="T038F401E004"/>
    <s v="SD"/>
    <s v="Skala"/>
    <s v="https://drive.google.com/open?id=1UaA6szA_KCxvlOorbpr8I_tfFjnYb1eF"/>
    <s v="T038F401E004"/>
    <d v="2021-10-11T00:00:00"/>
    <x v="68"/>
    <n v="-617"/>
    <x v="131"/>
    <n v="623"/>
    <m/>
    <s v="Not Submitted"/>
    <x v="1"/>
    <s v="no"/>
    <n v="0"/>
    <s v="not yet"/>
  </r>
  <r>
    <s v="T006I903P001"/>
    <s v="SD"/>
    <s v="Bilangan Bulat"/>
    <s v="https://drive.google.com/open?id=1sHZVIz-aojm7nSjOnMEKXxPRK-GD2yQV"/>
    <s v="T006I903P001"/>
    <d v="2021-10-11T00:00:00"/>
    <x v="68"/>
    <n v="-617"/>
    <x v="131"/>
    <n v="623"/>
    <m/>
    <s v="Not Submitted"/>
    <x v="1"/>
    <s v="no"/>
    <n v="0"/>
    <s v="not yet"/>
  </r>
  <r>
    <s v="T0062705P001"/>
    <s v="SD"/>
    <s v="Skala"/>
    <s v="https://drive.google.com/open?id=1rDrVbujkE3BDeVCufy318Xi3LPPltMpl"/>
    <s v="T0062705P001"/>
    <d v="2021-10-11T00:00:00"/>
    <x v="68"/>
    <n v="-617"/>
    <x v="131"/>
    <n v="623"/>
    <m/>
    <s v="Not Submitted"/>
    <x v="1"/>
    <s v="no"/>
    <n v="0"/>
    <s v="not yet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4">
  <r>
    <s v="C0040011P006"/>
    <s v="SMA"/>
    <s v="Persamaan Trigonometri"/>
    <s v="https://drive.google.com/open?id=1P38DKmKoe7lQUgI0doEZqealGfvTbiyi"/>
    <s v="C0040011P006"/>
    <d v="2020-10-20T00:00:00"/>
    <d v="2020-10-27T00:00:00"/>
    <n v="-972"/>
    <x v="0"/>
    <n v="0"/>
    <x v="0"/>
    <s v="Accepted"/>
    <n v="1"/>
    <s v="no"/>
    <n v="20000"/>
    <s v="paid"/>
  </r>
  <r>
    <s v="C0040021P008"/>
    <s v="SMA"/>
    <s v="Persamaan Trigonometri"/>
    <s v="https://drive.google.com/open?id=1WxeI--uJGRjMQd6QgjR1DaarxZvLJkgI"/>
    <s v="C0040021P008"/>
    <d v="2020-10-20T00:00:00"/>
    <d v="2020-10-27T00:00:00"/>
    <n v="-972"/>
    <x v="0"/>
    <n v="0"/>
    <x v="0"/>
    <s v="Accepted"/>
    <n v="0"/>
    <s v="no"/>
    <n v="20000"/>
    <s v="paid"/>
  </r>
  <r>
    <s v="C0090431P001"/>
    <s v="SMP"/>
    <s v="Sudut Dan Garis Sejajar"/>
    <s v="https://drive.google.com/open?id=1GKIthOQQCHOzsO43iioO2MyAzLElEMQ3"/>
    <s v="C0090431P001"/>
    <d v="2020-09-28T00:00:00"/>
    <d v="2020-11-05T00:00:00"/>
    <n v="-963"/>
    <x v="0"/>
    <n v="0"/>
    <x v="0"/>
    <s v="Accepted"/>
    <n v="0"/>
    <s v="yes"/>
    <n v="18000"/>
    <s v="paid"/>
  </r>
  <r>
    <s v="M0300582E005"/>
    <s v="SMP"/>
    <s v="Pola Bilangan Dan Barisan Bilangan"/>
    <s v="https://drive.google.com/open?id=1CVH4Ys_2yiSwpB8pax62bbROhJcmWmf7"/>
    <s v="M0300582E005"/>
    <d v="2020-10-31T00:00:00"/>
    <d v="2020-11-07T00:00:00"/>
    <n v="-961"/>
    <x v="0"/>
    <n v="0"/>
    <x v="0"/>
    <s v="Accepted"/>
    <n v="0"/>
    <s v="no"/>
    <n v="15000"/>
    <s v="paid"/>
  </r>
  <r>
    <s v="C0171371P027"/>
    <s v="SMP"/>
    <s v="Bangun Ruang Sisi Lengkung"/>
    <s v="https://drive.google.com/open?id=1nnjOh78W7-oXvOyMj4zcyywDv3PBQGsB"/>
    <s v="C0171371P027"/>
    <d v="2020-11-13T00:00:00"/>
    <d v="2020-11-20T00:00:00"/>
    <n v="-948"/>
    <x v="1"/>
    <n v="0"/>
    <x v="0"/>
    <s v="Accepted"/>
    <n v="0"/>
    <s v="yes"/>
    <n v="18000"/>
    <s v="paid"/>
  </r>
  <r>
    <s v="C0171371P029"/>
    <s v="SMP"/>
    <s v="Bangun Ruang Sisi Lengkung"/>
    <s v="https://drive.google.com/open?id=1n9ebRobhZkK_MC-lMHzYXBfMuYC-wI3_"/>
    <s v="C0171371P029"/>
    <d v="2020-11-13T00:00:00"/>
    <d v="2020-11-20T00:00:00"/>
    <n v="-948"/>
    <x v="1"/>
    <n v="0"/>
    <x v="0"/>
    <s v="Accepted"/>
    <n v="1"/>
    <s v="no"/>
    <n v="15000"/>
    <s v="paid"/>
  </r>
  <r>
    <s v="C0171371P030"/>
    <s v="SMP"/>
    <s v="Bangun Ruang Sisi Datar"/>
    <s v="https://drive.google.com/open?id=1mK8MBCUZt1uDkQKJ_sdU-h1ffu8Wx9ZJ"/>
    <s v="C0171371P030"/>
    <d v="2020-11-13T00:00:00"/>
    <d v="2020-11-20T00:00:00"/>
    <n v="-948"/>
    <x v="1"/>
    <n v="0"/>
    <x v="0"/>
    <s v="Accepted"/>
    <n v="0"/>
    <s v="no"/>
    <n v="15000"/>
    <s v="paid"/>
  </r>
  <r>
    <s v="M0221713E021"/>
    <s v="SMA"/>
    <s v="Peluang Wajib"/>
    <s v="https://drive.google.com/open?id=1vTfZU_5clZZ1Q3wbilRFl_7sJ09o8xyz"/>
    <s v="M0221713E021"/>
    <d v="2020-09-23T00:00:00"/>
    <d v="2020-09-30T00:00:00"/>
    <n v="-999"/>
    <x v="2"/>
    <n v="0"/>
    <x v="0"/>
    <s v="Accepted"/>
    <n v="1"/>
    <s v="no"/>
    <n v="20000"/>
    <s v="paid"/>
  </r>
  <r>
    <s v="M0070061a008"/>
    <s v="SMP"/>
    <s v="Bilangan Bulat Dan Pecahan"/>
    <s v="https://drive.google.com/open?id=1J65bLT54yVSpsnnhBq7BsFzKJu4VtvPT"/>
    <s v="M0070061a008"/>
    <d v="2020-09-24T00:00:00"/>
    <d v="2020-10-01T00:00:00"/>
    <n v="-998"/>
    <x v="2"/>
    <n v="0"/>
    <x v="0"/>
    <s v="Accepted"/>
    <n v="0"/>
    <s v="yes"/>
    <n v="18000"/>
    <s v="paid"/>
  </r>
  <r>
    <s v="M0070731P032"/>
    <s v="SMP"/>
    <s v="Bilangan Bulat Dan Pecahan"/>
    <s v="https://drive.google.com/open?id=1ymthlIWHrvK5hYG1hlhWfTsTJ_wUoJTO"/>
    <s v="M0070731P032"/>
    <d v="2020-09-24T00:00:00"/>
    <d v="2020-10-01T00:00:00"/>
    <n v="-998"/>
    <x v="2"/>
    <n v="0"/>
    <x v="0"/>
    <s v="Accepted"/>
    <n v="0"/>
    <s v="no"/>
    <n v="15000"/>
    <s v="paid"/>
  </r>
  <r>
    <s v="M0070742b003"/>
    <s v="SMP"/>
    <s v="Bilangan Bulat Dan Pecahan"/>
    <s v="https://drive.google.com/open?id=1YUsEWHLy2fy-rmyERzpe1I4QrMZAyv8-"/>
    <s v="M0070742b003"/>
    <d v="2020-09-24T00:00:00"/>
    <d v="2020-10-01T00:00:00"/>
    <n v="-998"/>
    <x v="2"/>
    <n v="0"/>
    <x v="0"/>
    <s v="Accepted"/>
    <n v="0"/>
    <s v="no"/>
    <n v="15000"/>
    <s v="paid"/>
  </r>
  <r>
    <s v="C0090041P027"/>
    <s v="SMP"/>
    <s v="Bangun Ruang Sisi Datar"/>
    <s v="https://drive.google.com/open?id=16hJU8VmnBIzroMGVyO0nmlYAjCmkP6s0"/>
    <s v="C0090041P027"/>
    <d v="2020-09-28T00:00:00"/>
    <d v="2020-10-05T00:00:00"/>
    <n v="-994"/>
    <x v="2"/>
    <n v="0"/>
    <x v="0"/>
    <s v="Accepted"/>
    <n v="0"/>
    <s v="no"/>
    <n v="15000"/>
    <s v="paid"/>
  </r>
  <r>
    <s v="C0090041P030"/>
    <s v="SMP"/>
    <s v="Bangun Ruang Sisi Lengkung"/>
    <s v="https://drive.google.com/open?id=1B2R8-btRV8lBO8AKBMQindcF8fAU4Wg5"/>
    <s v="C0090041P030"/>
    <d v="2020-09-28T00:00:00"/>
    <d v="2020-10-05T00:00:00"/>
    <n v="-994"/>
    <x v="2"/>
    <n v="0"/>
    <x v="0"/>
    <s v="Accepted"/>
    <n v="0"/>
    <s v="no"/>
    <n v="15000"/>
    <s v="paid"/>
  </r>
  <r>
    <s v="M0270541P084"/>
    <s v="SMA"/>
    <s v="Grafik, Persamaan, Dan Pertidaksamaan Eksponen Dan Logaritma"/>
    <s v="https://drive.google.com/open?id=1d6bjZfPytYCuxRvYh7LlVGQqNrx2zy7i"/>
    <s v="M0270541P084"/>
    <d v="2020-09-23T00:00:00"/>
    <d v="2020-09-30T00:00:00"/>
    <n v="-999"/>
    <x v="3"/>
    <n v="0"/>
    <x v="0"/>
    <s v="Accepted"/>
    <n v="0"/>
    <s v="no"/>
    <n v="20000"/>
    <s v="paid"/>
  </r>
  <r>
    <s v="M1871111P002"/>
    <s v="SMA"/>
    <s v="Transformasi"/>
    <s v="https://drive.google.com/open?id=1CaTU4Hu4w5UukakAr4_8LfFaMDYjmJ9Q"/>
    <s v="M1871111P002"/>
    <d v="2020-09-29T00:00:00"/>
    <d v="2020-10-06T00:00:00"/>
    <n v="-993"/>
    <x v="3"/>
    <n v="0"/>
    <x v="0"/>
    <s v="Accepted"/>
    <n v="0"/>
    <s v="no"/>
    <n v="20000"/>
    <s v="paid"/>
  </r>
  <r>
    <s v="M1871141a002"/>
    <s v="SMA"/>
    <s v="Transformasi"/>
    <s v="https://drive.google.com/open?id=1xJEqqbXLY4kFh8HvbvGO86he-Qm6QwEQ"/>
    <s v="M1871141a002"/>
    <d v="2020-09-29T00:00:00"/>
    <d v="2020-10-06T00:00:00"/>
    <n v="-993"/>
    <x v="3"/>
    <n v="0"/>
    <x v="0"/>
    <s v="Accepted"/>
    <n v="0"/>
    <s v="yes"/>
    <n v="25000"/>
    <s v="paid"/>
  </r>
  <r>
    <s v="C0171371P031"/>
    <s v="SMP"/>
    <s v="Bangun Ruang Sisi Lengkung"/>
    <s v="https://drive.google.com/open?id=1Ri9YKs08u1I5fmwLc5khRhXm7xcEAEbT"/>
    <s v="C0171371P031"/>
    <d v="2020-11-13T00:00:00"/>
    <d v="2020-11-20T00:00:00"/>
    <n v="-948"/>
    <x v="4"/>
    <n v="0"/>
    <x v="0"/>
    <s v="Accepted"/>
    <n v="0"/>
    <s v="no"/>
    <n v="15000"/>
    <s v="paid"/>
  </r>
  <r>
    <s v="C0171371P032"/>
    <s v="SMP"/>
    <s v="Bangun Ruang Sisi Lengkung"/>
    <s v="https://drive.google.com/open?id=1hhVG0xzDwiaHz8U5rD2te7z2OV2G1fn0"/>
    <s v="C0171371P032"/>
    <d v="2020-11-13T00:00:00"/>
    <d v="2020-11-20T00:00:00"/>
    <n v="-948"/>
    <x v="4"/>
    <n v="0"/>
    <x v="0"/>
    <s v="Accepted"/>
    <n v="0"/>
    <s v="yes"/>
    <n v="18000"/>
    <s v="paid"/>
  </r>
  <r>
    <s v="C0171371P033"/>
    <s v="SMP"/>
    <s v="Bangun Ruang Sisi Datar"/>
    <s v="https://drive.google.com/open?id=1JoCs8fKhkXSL9hj-rpgBxEqWIkEFxkii"/>
    <s v="C0171371P033"/>
    <d v="2020-11-13T00:00:00"/>
    <d v="2020-11-20T00:00:00"/>
    <n v="-948"/>
    <x v="4"/>
    <n v="0"/>
    <x v="0"/>
    <s v="Accepted"/>
    <n v="0"/>
    <s v="no"/>
    <n v="15000"/>
    <s v="paid"/>
  </r>
  <r>
    <s v="C0171371P034"/>
    <s v="SMP"/>
    <s v="Bangun Ruang Sisi Lengkung"/>
    <s v="https://drive.google.com/open?id=1_uF-nF1e9qw6Cli4wdnpegpoYAKeRN9X"/>
    <s v="C0171371P034"/>
    <d v="2020-11-13T00:00:00"/>
    <d v="2020-11-20T00:00:00"/>
    <n v="-948"/>
    <x v="4"/>
    <n v="0"/>
    <x v="0"/>
    <s v="Accepted"/>
    <n v="0"/>
    <s v="no"/>
    <n v="15000"/>
    <s v="paid"/>
  </r>
  <r>
    <s v="C0171371P035"/>
    <s v="SMP"/>
    <s v="Bangun Ruang Sisi Datar"/>
    <s v="https://drive.google.com/open?id=1-pV_HFCNKGUykmwS5YD1ZaOhQdRtJquO"/>
    <s v="C0171371P035"/>
    <d v="2020-11-13T00:00:00"/>
    <d v="2020-11-20T00:00:00"/>
    <n v="-948"/>
    <x v="4"/>
    <n v="0"/>
    <x v="0"/>
    <s v="Accepted"/>
    <n v="0"/>
    <s v="no"/>
    <n v="15000"/>
    <s v="paid"/>
  </r>
  <r>
    <s v="C0171441E001"/>
    <s v="SMP"/>
    <s v="Kesebangunan Dan Kongruensi"/>
    <s v="https://drive.google.com/open?id=1N38xmnyOKc0AGzV2NgOrgcx-0UGHH6iE"/>
    <s v="C0171441E001"/>
    <d v="2020-11-13T00:00:00"/>
    <d v="2020-11-20T00:00:00"/>
    <n v="-948"/>
    <x v="4"/>
    <n v="0"/>
    <x v="0"/>
    <s v="Accepted"/>
    <n v="0"/>
    <s v="no"/>
    <n v="15000"/>
    <s v="paid"/>
  </r>
  <r>
    <s v="C0171441E003"/>
    <s v="SMP"/>
    <s v="Kesebangunan Dan Kongruensi"/>
    <s v="https://drive.google.com/open?id=1mgmBlV0uv2kUrb4_z-WKAmmCZ3bd-yuF"/>
    <s v="C0171441E003"/>
    <d v="2020-11-13T00:00:00"/>
    <d v="2020-11-20T00:00:00"/>
    <n v="-948"/>
    <x v="4"/>
    <n v="0"/>
    <x v="0"/>
    <s v="Accepted"/>
    <n v="0"/>
    <s v="no"/>
    <n v="15000"/>
    <s v="paid"/>
  </r>
  <r>
    <s v="C0171471P031"/>
    <s v="SMP"/>
    <s v="Kesebangunan Dan Kongruensi"/>
    <s v="https://drive.google.com/open?id=1zdTGs8IIpYAH5bZGk4wlB3TjQkxjIa-y"/>
    <s v="C0171471P031"/>
    <d v="2020-11-13T00:00:00"/>
    <d v="2020-11-20T00:00:00"/>
    <n v="-948"/>
    <x v="5"/>
    <n v="0"/>
    <x v="0"/>
    <s v="Accepted"/>
    <n v="0"/>
    <s v="yes"/>
    <n v="18000"/>
    <s v="paid"/>
  </r>
  <r>
    <s v="C0171471P032"/>
    <s v="SMP"/>
    <s v="Kesebangunan Dan Kongruensi"/>
    <s v="https://drive.google.com/open?id=11S6fNPT2eaqVBYn92GcuGcfSQOOdTjBK"/>
    <s v="C0171471P032"/>
    <d v="2020-11-13T00:00:00"/>
    <d v="2020-11-20T00:00:00"/>
    <n v="-948"/>
    <x v="5"/>
    <n v="0"/>
    <x v="0"/>
    <s v="Accepted"/>
    <n v="0"/>
    <s v="no"/>
    <n v="15000"/>
    <s v="paid"/>
  </r>
  <r>
    <s v="C0171471P033"/>
    <s v="SMP"/>
    <s v="Kesebangunan Dan Kongruensi"/>
    <s v="https://drive.google.com/open?id=1hnXJwIEXFR50t_GH5tZrK1LYspHGvio-"/>
    <s v="C0171471P033"/>
    <d v="2020-11-13T00:00:00"/>
    <d v="2020-11-20T00:00:00"/>
    <n v="-948"/>
    <x v="5"/>
    <n v="0"/>
    <x v="0"/>
    <s v="Accepted"/>
    <n v="0"/>
    <s v="no"/>
    <n v="15000"/>
    <s v="paid"/>
  </r>
  <r>
    <s v="C0171521E001"/>
    <s v="SMP"/>
    <s v="Statistika 8"/>
    <s v="https://drive.google.com/open?id=1zkDfIaU0FgZgp05_SI59Urhb9nffvDMe"/>
    <s v="C0171521E001"/>
    <d v="2020-11-13T00:00:00"/>
    <d v="2020-11-20T00:00:00"/>
    <n v="-948"/>
    <x v="5"/>
    <n v="0"/>
    <x v="0"/>
    <s v="Accepted"/>
    <n v="0"/>
    <s v="no"/>
    <n v="15000"/>
    <s v="paid"/>
  </r>
  <r>
    <s v="C0171531E002"/>
    <s v="SMP"/>
    <s v="Statistika 8"/>
    <s v="https://drive.google.com/open?id=133H1wZ6bi6wi4DqBGke4ij5BqGzVIww5"/>
    <s v="C0171531E002"/>
    <d v="2020-11-13T00:00:00"/>
    <d v="2020-11-20T00:00:00"/>
    <n v="-948"/>
    <x v="5"/>
    <n v="0"/>
    <x v="0"/>
    <s v="Accepted"/>
    <n v="0"/>
    <s v="yes"/>
    <n v="18000"/>
    <s v="paid"/>
  </r>
  <r>
    <s v="M2231411E004"/>
    <s v="SMP"/>
    <s v="Bangun Ruang Sisi Lengkung"/>
    <s v="https://drive.google.com/open?id=1J7ntTpwAmirhUAXSvb8a5G0PtcAUTTrk"/>
    <s v="M2231411E004"/>
    <d v="2020-12-03T00:00:00"/>
    <d v="2020-12-10T00:00:00"/>
    <n v="-928"/>
    <x v="6"/>
    <n v="0"/>
    <x v="0"/>
    <s v="Accepted"/>
    <n v="0"/>
    <s v="yes"/>
    <n v="18000"/>
    <s v="paid"/>
  </r>
  <r>
    <s v="M2231411E005"/>
    <s v="SMP"/>
    <s v="Bangun Ruang Sisi Lengkung"/>
    <s v="https://drive.google.com/open?id=16rI0NU7wqhCtddgD3nYHI2qsg1xjOXqM"/>
    <s v="M2231411E005"/>
    <d v="2020-12-03T00:00:00"/>
    <d v="2020-12-10T00:00:00"/>
    <n v="-928"/>
    <x v="6"/>
    <n v="0"/>
    <x v="0"/>
    <s v="Accepted"/>
    <n v="0"/>
    <s v="yes"/>
    <n v="18000"/>
    <s v="paid"/>
  </r>
  <r>
    <s v="M2231411E006"/>
    <s v="SMP"/>
    <s v="Bangun Ruang Sisi Lengkung"/>
    <s v="https://drive.google.com/open?id=1zyKyqUoxgPf_83ImxE-gLo8sYy3k9T9Z"/>
    <s v="M2231411E006"/>
    <d v="2020-12-03T00:00:00"/>
    <d v="2020-12-10T00:00:00"/>
    <n v="-928"/>
    <x v="6"/>
    <n v="0"/>
    <x v="0"/>
    <s v="Accepted"/>
    <n v="0"/>
    <s v="no"/>
    <n v="15000"/>
    <s v="paid"/>
  </r>
  <r>
    <s v="M2231411E007"/>
    <s v="SMP"/>
    <s v="Bangun Ruang Sisi Lengkung"/>
    <s v="https://drive.google.com/open?id=1TmPpKTvqWXXVj2ggiMJItmEB0c5W6plr"/>
    <s v="M2231411E007"/>
    <d v="2020-12-03T00:00:00"/>
    <d v="2020-12-10T00:00:00"/>
    <n v="-928"/>
    <x v="6"/>
    <n v="0"/>
    <x v="0"/>
    <s v="Accepted"/>
    <n v="0"/>
    <s v="no"/>
    <n v="15000"/>
    <s v="paid"/>
  </r>
  <r>
    <s v="M2231411E008"/>
    <s v="SMP"/>
    <s v="Bangun Ruang Sisi Lengkung"/>
    <s v="https://drive.google.com/open?id=1s57R3-rJ8bnDUkzqBaS8opeXvct9aIPr"/>
    <s v="M2231411E008"/>
    <d v="2020-12-03T00:00:00"/>
    <d v="2020-12-10T00:00:00"/>
    <n v="-928"/>
    <x v="6"/>
    <n v="0"/>
    <x v="0"/>
    <s v="Accepted"/>
    <n v="0"/>
    <s v="no"/>
    <n v="15000"/>
    <s v="paid"/>
  </r>
  <r>
    <s v="M2231411E009"/>
    <s v="SMP"/>
    <s v="Bangun Ruang Sisi Lengkung"/>
    <s v="https://drive.google.com/open?id=1RkabEN0avopv_P5Yf05c2dmZtycED7aS"/>
    <s v="M2231411E009"/>
    <d v="2020-12-03T00:00:00"/>
    <d v="2020-12-10T00:00:00"/>
    <n v="-928"/>
    <x v="6"/>
    <n v="0"/>
    <x v="0"/>
    <s v="Accepted"/>
    <n v="0"/>
    <s v="no"/>
    <n v="15000"/>
    <s v="paid"/>
  </r>
  <r>
    <s v="M2231411E010"/>
    <s v="SMP"/>
    <s v="Bangun Ruang Sisi Lengkung"/>
    <s v="https://drive.google.com/open?id=17_ma55ZkP5RNCSfSTfC7RYOYEswnXf1S"/>
    <s v="M2231411E010"/>
    <d v="2020-12-03T00:00:00"/>
    <d v="2020-12-10T00:00:00"/>
    <n v="-928"/>
    <x v="6"/>
    <n v="0"/>
    <x v="0"/>
    <s v="Accepted"/>
    <n v="0"/>
    <s v="yes"/>
    <n v="18000"/>
    <s v="paid"/>
  </r>
  <r>
    <s v="M2231411E011"/>
    <s v="SMP"/>
    <s v="Bangun Ruang Sisi Lengkung"/>
    <s v="https://drive.google.com/open?id=13suz0_TQO_m7vdefUps7a1QoJnYuu3MU"/>
    <s v="M2231411E011"/>
    <d v="2020-12-03T00:00:00"/>
    <d v="2020-12-10T00:00:00"/>
    <n v="-928"/>
    <x v="6"/>
    <n v="0"/>
    <x v="0"/>
    <s v="Accepted"/>
    <n v="0"/>
    <s v="no"/>
    <n v="15000"/>
    <s v="paid"/>
  </r>
  <r>
    <s v="M2231421E012"/>
    <s v="SMP"/>
    <s v="Bangun Ruang Sisi Lengkung"/>
    <s v="https://drive.google.com/open?id=1YgZ2X4TPBhf7fm41ihRTIGjRYoopC6YM"/>
    <s v="M2231421E012"/>
    <d v="2020-12-03T00:00:00"/>
    <d v="2020-12-10T00:00:00"/>
    <n v="-928"/>
    <x v="6"/>
    <n v="0"/>
    <x v="0"/>
    <s v="Accepted"/>
    <n v="1"/>
    <s v="no"/>
    <n v="15000"/>
    <s v="paid"/>
  </r>
  <r>
    <s v="M2231421E013"/>
    <s v="SMP"/>
    <s v="Bangun Ruang Sisi Lengkung"/>
    <s v="https://drive.google.com/open?id=14TDUymcJxN3r8-BdTpQrtBP_D3aVbrj6"/>
    <s v="M2231421E013"/>
    <d v="2020-12-03T00:00:00"/>
    <d v="2020-12-10T00:00:00"/>
    <n v="-928"/>
    <x v="6"/>
    <n v="0"/>
    <x v="0"/>
    <s v="Accepted"/>
    <n v="0"/>
    <s v="no"/>
    <n v="15000"/>
    <s v="paid"/>
  </r>
  <r>
    <s v="M2231421E014"/>
    <s v="SMP"/>
    <s v="Bangun Ruang Sisi Lengkung"/>
    <s v="https://drive.google.com/open?id=1TPs0l_ycuXO_fOlf7D34BoScJbjQFo9t"/>
    <s v="M2231421E014"/>
    <d v="2020-12-03T00:00:00"/>
    <d v="2020-12-10T00:00:00"/>
    <n v="-928"/>
    <x v="6"/>
    <n v="0"/>
    <x v="0"/>
    <s v="Accepted"/>
    <n v="0"/>
    <s v="yes"/>
    <n v="18000"/>
    <s v="paid"/>
  </r>
  <r>
    <s v="M2231421E015"/>
    <s v="SMP"/>
    <s v="Bangun Ruang Sisi Lengkung"/>
    <s v="https://drive.google.com/open?id=1GgOutdmAozNJJdvNbbOHOy5f5JZwXZYD"/>
    <s v="M2231421E015"/>
    <d v="2020-12-03T00:00:00"/>
    <d v="2020-12-10T00:00:00"/>
    <n v="-928"/>
    <x v="6"/>
    <n v="0"/>
    <x v="0"/>
    <s v="Accepted"/>
    <n v="0"/>
    <s v="yes"/>
    <n v="18000"/>
    <s v="paid"/>
  </r>
  <r>
    <s v="M2231422E001"/>
    <s v="SMP"/>
    <s v="Bangun Ruang Sisi Lengkung"/>
    <s v="https://drive.google.com/open?id=1TtTZIVGjZYmQPnf3KTdhSX_G76k069xM"/>
    <s v="M2231422E001"/>
    <d v="2020-12-03T00:00:00"/>
    <d v="2020-12-10T00:00:00"/>
    <n v="-928"/>
    <x v="6"/>
    <n v="0"/>
    <x v="0"/>
    <s v="Accepted"/>
    <n v="0"/>
    <s v="yes"/>
    <n v="18000"/>
    <s v="paid"/>
  </r>
  <r>
    <s v="M2231431E001"/>
    <s v="SMP"/>
    <s v="Bangun Ruang Sisi Lengkung"/>
    <s v="https://drive.google.com/open?id=1eWIwk69D8KHbkmUK0FXaFuL4VkTDvOEY"/>
    <s v="M2231431E001"/>
    <d v="2020-12-03T00:00:00"/>
    <d v="2020-12-10T00:00:00"/>
    <n v="-928"/>
    <x v="6"/>
    <n v="0"/>
    <x v="0"/>
    <s v="Accepted"/>
    <n v="0"/>
    <s v="yes"/>
    <n v="18000"/>
    <s v="paid"/>
  </r>
  <r>
    <s v="M2231441E001"/>
    <s v="SMP"/>
    <s v="Bangun Ruang Sisi Lengkung"/>
    <s v="https://drive.google.com/open?id=1vSaBajSh0o-wfkpkmts1CZjZD5BVELuo"/>
    <s v="M2231441E001"/>
    <d v="2020-12-03T00:00:00"/>
    <d v="2020-12-10T00:00:00"/>
    <n v="-928"/>
    <x v="6"/>
    <n v="0"/>
    <x v="0"/>
    <s v="Accepted"/>
    <n v="0"/>
    <s v="no"/>
    <n v="15000"/>
    <s v="paid"/>
  </r>
  <r>
    <s v="C0171441E002"/>
    <s v="SMP"/>
    <s v="Kesebangunan Dan Kongruensi"/>
    <s v="https://drive.google.com/open?id=1E4MFKBsTbYg69dEylJ2utDVFJ9U6cmWy"/>
    <s v="C0171441E002"/>
    <d v="2020-11-13T00:00:00"/>
    <d v="2020-11-20T00:00:00"/>
    <n v="-948"/>
    <x v="7"/>
    <n v="0"/>
    <x v="0"/>
    <s v="Accepted"/>
    <n v="0"/>
    <s v="no"/>
    <n v="15000"/>
    <s v="paid"/>
  </r>
  <r>
    <s v="M2231432E001"/>
    <s v="SMP"/>
    <s v="Bangun Ruang Sisi Lengkung"/>
    <s v="https://drive.google.com/open?id=1x_al1w6X74jS8ZqVQlpkMap0g2SjVQHg"/>
    <s v="M2231432E001"/>
    <d v="2020-12-03T00:00:00"/>
    <d v="2020-12-10T00:00:00"/>
    <n v="-928"/>
    <x v="7"/>
    <n v="0"/>
    <x v="0"/>
    <s v="Accepted"/>
    <n v="0"/>
    <s v="yes"/>
    <n v="18000"/>
    <s v="paid"/>
  </r>
  <r>
    <s v="M2231441E002"/>
    <s v="SMP"/>
    <s v="Bangun Ruang Sisi Lengkung"/>
    <s v="https://drive.google.com/open?id=1_kMr3aIVAhivIXsuqpuBk0GkNxQ4eV-j"/>
    <s v="M2231441E002"/>
    <d v="2020-12-03T00:00:00"/>
    <d v="2020-12-10T00:00:00"/>
    <n v="-928"/>
    <x v="7"/>
    <n v="0"/>
    <x v="0"/>
    <s v="Accepted"/>
    <n v="0"/>
    <s v="no"/>
    <n v="15000"/>
    <s v="paid"/>
  </r>
  <r>
    <s v="M2231441E003"/>
    <s v="SMP"/>
    <s v="Bangun Ruang Sisi Lengkung"/>
    <s v="https://drive.google.com/open?id=1Vj7ijL-C5jOLOxpmHDW11P9DDJPLR77w"/>
    <s v="M2231441E003"/>
    <d v="2020-12-03T00:00:00"/>
    <d v="2020-12-10T00:00:00"/>
    <n v="-928"/>
    <x v="7"/>
    <n v="0"/>
    <x v="0"/>
    <s v="Accepted"/>
    <n v="0"/>
    <s v="no"/>
    <n v="15000"/>
    <s v="paid"/>
  </r>
  <r>
    <s v="M2231451E004"/>
    <s v="SMP"/>
    <s v="Bangun Ruang Sisi Lengkung"/>
    <s v="https://drive.google.com/open?id=19T9ySz1CEK-ETrLZJPyLn032_x9roYJ0"/>
    <s v="M2231451E004"/>
    <d v="2020-12-03T00:00:00"/>
    <d v="2020-12-10T00:00:00"/>
    <n v="-928"/>
    <x v="7"/>
    <n v="0"/>
    <x v="0"/>
    <s v="Accepted"/>
    <n v="0"/>
    <s v="no"/>
    <n v="15000"/>
    <s v="paid"/>
  </r>
  <r>
    <s v="M2231451E005"/>
    <s v="SMP"/>
    <s v="Bangun Ruang Sisi Lengkung"/>
    <s v="https://drive.google.com/open?id=1cSo_Q3oRU6r2nwvH7kjJIR16EUjCg3dw"/>
    <s v="M2231451E005"/>
    <d v="2020-12-03T00:00:00"/>
    <d v="2020-12-10T00:00:00"/>
    <n v="-928"/>
    <x v="7"/>
    <n v="0"/>
    <x v="0"/>
    <s v="Accepted"/>
    <n v="0"/>
    <s v="yes"/>
    <n v="18000"/>
    <s v="paid"/>
  </r>
  <r>
    <s v="B0035541E001"/>
    <s v="SMA"/>
    <s v="Program Linear"/>
    <s v="https://drive.google.com/open?id=1CCRs94a-rtWAvr1Yh_cLf55UnLeRxwNh"/>
    <s v="B0035541E001"/>
    <d v="2020-10-20T00:00:00"/>
    <d v="2020-10-27T00:00:00"/>
    <n v="-972"/>
    <x v="8"/>
    <n v="0"/>
    <x v="0"/>
    <s v="Accepted"/>
    <n v="1"/>
    <s v="no"/>
    <n v="20000"/>
    <s v="paid"/>
  </r>
  <r>
    <s v="C0040021P009"/>
    <s v="SMA"/>
    <s v="Persamaan Trigonometri"/>
    <s v="https://drive.google.com/open?id=11SLotIkVuJxjJQreq6nfgY2OyN3CyY7e"/>
    <s v="C0040021P009"/>
    <d v="2020-10-20T00:00:00"/>
    <d v="2020-10-27T00:00:00"/>
    <n v="-972"/>
    <x v="8"/>
    <n v="0"/>
    <x v="0"/>
    <s v="Accepted"/>
    <n v="0"/>
    <s v="no"/>
    <n v="20000"/>
    <s v="paid"/>
  </r>
  <r>
    <s v="C0171481P034"/>
    <s v="SMP"/>
    <s v="Kesebangunan Dan Kongruensi"/>
    <s v="https://drive.google.com/open?id=1dsdF3vQwj64oJ-gS1ipO5uOzGujcjvdI"/>
    <s v="C0171481P034"/>
    <d v="2020-11-13T00:00:00"/>
    <d v="2020-11-20T00:00:00"/>
    <n v="-948"/>
    <x v="8"/>
    <n v="0"/>
    <x v="0"/>
    <s v="Accepted"/>
    <n v="0"/>
    <s v="no"/>
    <n v="15000"/>
    <s v="paid"/>
  </r>
  <r>
    <s v="M0941921P021"/>
    <s v="SMA"/>
    <s v="Polinomial"/>
    <s v="https://drive.google.com/open?id=1NEeIu0YdrumvrvGTBfRiDhSSnqKlzmUm"/>
    <s v="M0941921P021"/>
    <d v="2020-12-04T00:00:00"/>
    <d v="2020-12-11T00:00:00"/>
    <n v="-927"/>
    <x v="8"/>
    <n v="0"/>
    <x v="0"/>
    <s v="Accepted"/>
    <n v="0"/>
    <s v="yes"/>
    <n v="25000"/>
    <s v="paid"/>
  </r>
  <r>
    <s v="M0941921P022"/>
    <s v="SMA"/>
    <s v="Polinomial"/>
    <s v="https://drive.google.com/open?id=1UMZIi31WZVNmuoeK8IwXwxaXolw3tg4u"/>
    <s v="M0941921P022"/>
    <d v="2020-12-04T00:00:00"/>
    <d v="2020-12-11T00:00:00"/>
    <n v="-927"/>
    <x v="8"/>
    <n v="0"/>
    <x v="0"/>
    <s v="Accepted"/>
    <n v="0"/>
    <s v="no"/>
    <n v="20000"/>
    <s v="paid"/>
  </r>
  <r>
    <s v="M0941931P023"/>
    <s v="SMA"/>
    <s v="Polinomial"/>
    <s v="https://drive.google.com/open?id=1YDuVLc6IrtJiTaEpjr-lrXDLaeJXSltF"/>
    <s v="M0941931P023"/>
    <d v="2020-12-04T00:00:00"/>
    <d v="2020-12-11T00:00:00"/>
    <n v="-927"/>
    <x v="8"/>
    <n v="0"/>
    <x v="0"/>
    <s v="Accepted"/>
    <n v="0"/>
    <s v="no"/>
    <n v="20000"/>
    <s v="paid"/>
  </r>
  <r>
    <s v="M0941931P024"/>
    <s v="SMA"/>
    <s v="Polinomial"/>
    <s v="https://drive.google.com/open?id=1-J2kYerkDiRUlnmC6SET8OuSnBOJqVbN"/>
    <s v="M0941931P024"/>
    <d v="2020-12-04T00:00:00"/>
    <d v="2020-12-11T00:00:00"/>
    <n v="-927"/>
    <x v="8"/>
    <n v="0"/>
    <x v="0"/>
    <s v="Accepted"/>
    <n v="0"/>
    <s v="no"/>
    <n v="20000"/>
    <s v="paid"/>
  </r>
  <r>
    <s v="M0941931P025"/>
    <s v="SMA"/>
    <s v="Polinomial"/>
    <s v="https://drive.google.com/open?id=1T1MSVLgVpX4N_foZ9DzDiktxhEv9TdM3"/>
    <s v="M0941931P025"/>
    <d v="2020-12-04T00:00:00"/>
    <d v="2020-12-11T00:00:00"/>
    <n v="-927"/>
    <x v="8"/>
    <n v="0"/>
    <x v="0"/>
    <s v="Accepted"/>
    <n v="1"/>
    <s v="no"/>
    <n v="20000"/>
    <s v="paid"/>
  </r>
  <r>
    <s v="M1072051a002"/>
    <s v="SMA"/>
    <s v="Persamaan Lingkaran Dan Irisan Dua Lingkaran"/>
    <s v="https://drive.google.com/open?id=1Id0genanF-228EAg3bGvvxYtjLdfCX-H"/>
    <s v="M1072051a002"/>
    <d v="2020-12-04T00:00:00"/>
    <d v="2020-12-11T00:00:00"/>
    <n v="-927"/>
    <x v="8"/>
    <n v="0"/>
    <x v="0"/>
    <s v="Accepted"/>
    <n v="1"/>
    <s v="yes"/>
    <n v="25000"/>
    <s v="paid"/>
  </r>
  <r>
    <s v="M1072051b002"/>
    <s v="SMA"/>
    <s v="Persamaan Lingkaran Dan Irisan Dua Lingkaran"/>
    <s v="https://drive.google.com/open?id=1Y5e58SCrGXJ23cDASZicHbzMnNS8jtQy"/>
    <s v="M1072051b002"/>
    <d v="2020-12-04T00:00:00"/>
    <d v="2020-12-11T00:00:00"/>
    <n v="-927"/>
    <x v="8"/>
    <n v="0"/>
    <x v="0"/>
    <s v="Accepted"/>
    <n v="0"/>
    <s v="no"/>
    <n v="20000"/>
    <s v="paid"/>
  </r>
  <r>
    <s v="M1072051c002"/>
    <s v="SMA"/>
    <s v="Persamaan Lingkaran Dan Irisan Dua Lingkaran"/>
    <s v="https://drive.google.com/open?id=1TlwD8mHKuD9t55-dKu_DAaBSsh-J1aYG"/>
    <s v="M1072051c002"/>
    <d v="2020-12-04T00:00:00"/>
    <d v="2020-12-11T00:00:00"/>
    <n v="-927"/>
    <x v="8"/>
    <n v="0"/>
    <x v="0"/>
    <s v="Accepted"/>
    <n v="0"/>
    <s v="no"/>
    <n v="20000"/>
    <s v="paid"/>
  </r>
  <r>
    <s v="M1712371P012"/>
    <s v="SMA"/>
    <s v="Turunan"/>
    <s v="https://drive.google.com/open?id=1jNerNPAx0Q0uEkVyXY-9mdGCRzgISfBO"/>
    <s v="M1712371P012"/>
    <d v="2020-12-04T00:00:00"/>
    <d v="2020-12-11T00:00:00"/>
    <n v="-927"/>
    <x v="9"/>
    <n v="0"/>
    <x v="0"/>
    <s v="Accepted"/>
    <n v="0"/>
    <s v="no"/>
    <n v="20000"/>
    <s v="paid"/>
  </r>
  <r>
    <s v="M1712371P013"/>
    <s v="SMA"/>
    <s v="Turunan"/>
    <s v="https://drive.google.com/open?id=1A942_RZugyFiw1UFNllR2BvCIRsRgJeN"/>
    <s v="M1712371P013"/>
    <d v="2020-12-04T00:00:00"/>
    <d v="2020-12-11T00:00:00"/>
    <n v="-927"/>
    <x v="9"/>
    <n v="0"/>
    <x v="0"/>
    <s v="Accepted"/>
    <n v="1"/>
    <s v="no"/>
    <n v="20000"/>
    <s v="paid"/>
  </r>
  <r>
    <s v="M1712371P014"/>
    <s v="SMA"/>
    <s v="Turunan"/>
    <s v="https://drive.google.com/open?id=189DEedW35rTEP0dWV5UgmkrHirpeb_EO"/>
    <s v="M1712371P014"/>
    <d v="2020-12-04T00:00:00"/>
    <d v="2020-12-11T00:00:00"/>
    <n v="-927"/>
    <x v="9"/>
    <n v="0"/>
    <x v="0"/>
    <s v="Accepted"/>
    <n v="0"/>
    <s v="no"/>
    <n v="20000"/>
    <s v="paid"/>
  </r>
  <r>
    <s v="M1712371P015"/>
    <s v="SMA"/>
    <s v="Turunan"/>
    <s v="https://drive.google.com/open?id=1YxM2b15LjCd7GMPCd7d_8UgJqYupUUpm"/>
    <s v="M1712371P015"/>
    <d v="2020-12-04T00:00:00"/>
    <d v="2020-12-11T00:00:00"/>
    <n v="-927"/>
    <x v="9"/>
    <n v="0"/>
    <x v="0"/>
    <s v="Accepted"/>
    <n v="0"/>
    <s v="no"/>
    <n v="20000"/>
    <s v="paid"/>
  </r>
  <r>
    <s v="M1712371P016"/>
    <s v="SMA"/>
    <s v="Turunan"/>
    <s v="https://drive.google.com/open?id=13aY0Uj7BRSEWMMWlIH5wtaBkCbtQnemu"/>
    <s v="M1712371P016"/>
    <d v="2020-12-04T00:00:00"/>
    <d v="2020-12-11T00:00:00"/>
    <n v="-927"/>
    <x v="9"/>
    <n v="0"/>
    <x v="0"/>
    <s v="Accepted"/>
    <n v="0"/>
    <s v="yes"/>
    <n v="25000"/>
    <s v="paid"/>
  </r>
  <r>
    <s v="M1712371P017"/>
    <s v="SMA"/>
    <s v="Turunan"/>
    <s v="https://drive.google.com/open?id=1rm8gTmTSmiwYFEiGSkPxHmioADXl9vQK"/>
    <s v="M1712371P017"/>
    <d v="2020-12-04T00:00:00"/>
    <d v="2020-12-11T00:00:00"/>
    <n v="-927"/>
    <x v="9"/>
    <n v="0"/>
    <x v="0"/>
    <s v="Accepted"/>
    <n v="0"/>
    <s v="no"/>
    <n v="20000"/>
    <s v="paid"/>
  </r>
  <r>
    <s v="M1712371P018"/>
    <s v="SMA"/>
    <s v="Turunan"/>
    <s v="https://drive.google.com/open?id=1iCIG6KEEwwxT4OHEctXrdhuJpgXSU4an"/>
    <s v="M1712371P018"/>
    <d v="2020-12-04T00:00:00"/>
    <d v="2020-12-11T00:00:00"/>
    <n v="-927"/>
    <x v="9"/>
    <n v="0"/>
    <x v="0"/>
    <s v="Accepted"/>
    <n v="1"/>
    <s v="no"/>
    <n v="20000"/>
    <s v="paid"/>
  </r>
  <r>
    <s v="M1712371P019"/>
    <s v="SMA"/>
    <s v="Turunan"/>
    <s v="https://drive.google.com/open?id=11ePSFsWTeYtmUmgTrNuuiBvNNBh0D2gd"/>
    <s v="M1712371P019"/>
    <d v="2020-12-04T00:00:00"/>
    <d v="2020-12-11T00:00:00"/>
    <n v="-927"/>
    <x v="9"/>
    <n v="0"/>
    <x v="0"/>
    <s v="Accepted"/>
    <n v="0"/>
    <s v="no"/>
    <n v="20000"/>
    <s v="paid"/>
  </r>
  <r>
    <s v="M1712371P020"/>
    <s v="SMA"/>
    <s v="Turunan"/>
    <s v="https://drive.google.com/open?id=1H3l68cUDIjxRMqE0GH2jvjS02-SoRLz1"/>
    <s v="M1712371P020"/>
    <d v="2020-12-04T00:00:00"/>
    <d v="2020-12-11T00:00:00"/>
    <n v="-927"/>
    <x v="9"/>
    <n v="0"/>
    <x v="0"/>
    <s v="Accepted"/>
    <n v="0"/>
    <s v="no"/>
    <n v="20000"/>
    <s v="paid"/>
  </r>
  <r>
    <s v="M1072051d002"/>
    <s v="SMA"/>
    <s v="Persamaan Lingkaran Dan Irisan Dua Lingkaran"/>
    <s v="https://drive.google.com/open?id=1ZcTKtDIY5d1-QGWq7csVJwHgUTeFfIY7"/>
    <s v="M1072051d002"/>
    <d v="2020-12-04T00:00:00"/>
    <d v="2020-12-11T00:00:00"/>
    <n v="-927"/>
    <x v="9"/>
    <n v="0"/>
    <x v="0"/>
    <s v="Accepted"/>
    <n v="0"/>
    <s v="no"/>
    <n v="20000"/>
    <s v="paid"/>
  </r>
  <r>
    <s v="M1072051e002"/>
    <s v="SMA"/>
    <s v="Persamaan Lingkaran Dan Irisan Dua Lingkaran"/>
    <s v="https://drive.google.com/open?id=1nzQob6fLzskkmuDT-iznVJ5heOXJAxaa"/>
    <s v="M1072051e002"/>
    <d v="2020-12-04T00:00:00"/>
    <d v="2020-12-11T00:00:00"/>
    <n v="-927"/>
    <x v="9"/>
    <n v="0"/>
    <x v="0"/>
    <s v="Accepted"/>
    <n v="1"/>
    <s v="yes"/>
    <n v="25000"/>
    <s v="paid"/>
  </r>
  <r>
    <s v="M1072051f002"/>
    <s v="SMA"/>
    <s v="Persamaan Lingkaran Dan Irisan Dua Lingkaran"/>
    <s v="https://drive.google.com/open?id=1d00O-rLpM2ibBkuxOAOUHxBfJmxqEG1d"/>
    <s v="M1072051f002"/>
    <d v="2020-12-04T00:00:00"/>
    <d v="2020-12-11T00:00:00"/>
    <n v="-927"/>
    <x v="9"/>
    <n v="0"/>
    <x v="0"/>
    <s v="Accepted"/>
    <n v="1"/>
    <s v="no"/>
    <n v="20000"/>
    <s v="paid"/>
  </r>
  <r>
    <s v="M2641391P002"/>
    <s v="SMA"/>
    <s v="Skalar Dan Vektor Serta Operasi Aljabar Vektor"/>
    <s v="https://drive.google.com/open?id=1mUHTHdDNhzcZi2jgNprcbZRewqmLofog"/>
    <s v="M2641391P002"/>
    <d v="2020-12-22T00:00:00"/>
    <d v="2020-12-29T00:00:00"/>
    <n v="-909"/>
    <x v="10"/>
    <n v="0"/>
    <x v="0"/>
    <s v="Accepted"/>
    <n v="0"/>
    <s v="no"/>
    <n v="20000"/>
    <s v="paid"/>
  </r>
  <r>
    <s v="M2641391P003"/>
    <s v="SMA"/>
    <s v="Skalar Dan Vektor Serta Operasi Aljabar Vektor"/>
    <s v="https://drive.google.com/open?id=1K4sqY_eAHtENASwGbLy-AuWjIUtN7HWw"/>
    <s v="M2641391P003"/>
    <d v="2020-12-22T00:00:00"/>
    <d v="2020-12-29T00:00:00"/>
    <n v="-909"/>
    <x v="10"/>
    <n v="0"/>
    <x v="0"/>
    <s v="Accepted"/>
    <n v="1"/>
    <s v="no"/>
    <n v="20000"/>
    <s v="paid"/>
  </r>
  <r>
    <s v="M2641391P004"/>
    <s v="SMA"/>
    <s v="Skalar Dan Vektor Serta Operasi Aljabar Vektor"/>
    <s v="https://drive.google.com/open?id=14ZNl3McOPgySgK5v739yqTkNC4RHXpy5"/>
    <s v="M2641391P004"/>
    <d v="2020-12-22T00:00:00"/>
    <d v="2020-12-29T00:00:00"/>
    <n v="-909"/>
    <x v="10"/>
    <n v="0"/>
    <x v="0"/>
    <s v="Accepted"/>
    <n v="0"/>
    <s v="yes"/>
    <n v="25000"/>
    <s v="paid"/>
  </r>
  <r>
    <s v="M2641391P005"/>
    <s v="SMA"/>
    <s v="Skalar Dan Vektor Serta Operasi Aljabar Vektor"/>
    <s v="https://drive.google.com/open?id=1myBBHw5Llb31ujtaavWpm-EGsstBmu4o"/>
    <s v="M2641391P005"/>
    <d v="2020-12-22T00:00:00"/>
    <d v="2020-12-29T00:00:00"/>
    <n v="-909"/>
    <x v="10"/>
    <n v="0"/>
    <x v="0"/>
    <s v="Accepted"/>
    <n v="0"/>
    <s v="no"/>
    <n v="20000"/>
    <s v="paid"/>
  </r>
  <r>
    <s v="M2641391P006"/>
    <s v="SMA"/>
    <s v="Skalar Dan Vektor Serta Operasi Aljabar Vektor"/>
    <s v="https://drive.google.com/open?id=1sRn226OAndn0lzUljkHbz3KoEIwEmHFP"/>
    <s v="M2641391P006"/>
    <d v="2020-12-22T00:00:00"/>
    <d v="2020-12-29T00:00:00"/>
    <n v="-909"/>
    <x v="10"/>
    <n v="0"/>
    <x v="0"/>
    <s v="Accepted"/>
    <n v="0"/>
    <s v="no"/>
    <n v="20000"/>
    <s v="paid"/>
  </r>
  <r>
    <s v="M2641391P007"/>
    <s v="SMA"/>
    <s v="Skalar Dan Vektor Serta Operasi Aljabar Vektor"/>
    <s v="https://drive.google.com/open?id=1fLonbYKz8bE-BIvuafxs3toJVHE03963"/>
    <s v="M2641391P007"/>
    <d v="2020-12-22T00:00:00"/>
    <d v="2020-12-29T00:00:00"/>
    <n v="-909"/>
    <x v="10"/>
    <n v="0"/>
    <x v="0"/>
    <s v="Accepted"/>
    <n v="0"/>
    <s v="yes"/>
    <n v="25000"/>
    <s v="paid"/>
  </r>
  <r>
    <s v="M2641391P008"/>
    <s v="SMA"/>
    <s v="Skalar Dan Vektor Serta Operasi Aljabar Vektor"/>
    <s v="https://drive.google.com/open?id=1WruPHyWWHH6TkxyOmW1CzSb6ubMtRkis"/>
    <s v="M2641391P008"/>
    <d v="2020-12-22T00:00:00"/>
    <d v="2020-12-29T00:00:00"/>
    <n v="-909"/>
    <x v="10"/>
    <n v="0"/>
    <x v="0"/>
    <s v="Accepted"/>
    <n v="0"/>
    <s v="yes"/>
    <n v="25000"/>
    <s v="paid"/>
  </r>
  <r>
    <s v="M2641401P009"/>
    <s v="SMA"/>
    <s v="Skalar Dan Vektor Serta Operasi Aljabar Vektor"/>
    <s v="https://drive.google.com/open?id=1jhvfR6xm8JxJMN__aQis4G5n5-vxq9Tk"/>
    <s v="M2641401P009"/>
    <d v="2020-12-22T00:00:00"/>
    <d v="2020-12-29T00:00:00"/>
    <n v="-909"/>
    <x v="10"/>
    <n v="0"/>
    <x v="0"/>
    <s v="Accepted"/>
    <n v="0"/>
    <s v="no"/>
    <n v="20000"/>
    <s v="paid"/>
  </r>
  <r>
    <s v="M2641401P010"/>
    <s v="SMA"/>
    <s v="Skalar Dan Vektor Serta Operasi Aljabar Vektor"/>
    <s v="https://drive.google.com/open?id=1o-5LotfA4eHSyYQnOYk86qT0qyRJFrIy"/>
    <s v="M2641401P010"/>
    <d v="2020-12-22T00:00:00"/>
    <d v="2020-12-29T00:00:00"/>
    <n v="-909"/>
    <x v="10"/>
    <n v="0"/>
    <x v="0"/>
    <s v="Accepted"/>
    <n v="0"/>
    <s v="yes"/>
    <n v="25000"/>
    <s v="paid"/>
  </r>
  <r>
    <s v="M2641401P011"/>
    <s v="SMA"/>
    <s v="Skalar Dan Vektor Serta Operasi Aljabar Vektor"/>
    <s v="https://drive.google.com/open?id=1uhVuN1uJHlgKtndbTWCyFcYiviMwDYPo"/>
    <s v="M2641401P011"/>
    <d v="2020-12-22T00:00:00"/>
    <d v="2020-12-29T00:00:00"/>
    <n v="-909"/>
    <x v="10"/>
    <n v="0"/>
    <x v="0"/>
    <s v="Accepted"/>
    <n v="1"/>
    <s v="yes"/>
    <n v="25000"/>
    <s v="paid"/>
  </r>
  <r>
    <s v="M2641401P012"/>
    <s v="SMA"/>
    <s v="Skalar Dan Vektor Serta Operasi Aljabar Vektor"/>
    <s v="https://drive.google.com/open?id=1LGdwaYpR7pICN07N5hjcIHBeyZTqfm14"/>
    <s v="M2641401P012"/>
    <d v="2020-12-22T00:00:00"/>
    <d v="2020-12-29T00:00:00"/>
    <n v="-909"/>
    <x v="10"/>
    <n v="0"/>
    <x v="0"/>
    <s v="Accepted"/>
    <n v="0"/>
    <s v="no"/>
    <n v="20000"/>
    <s v="paid"/>
  </r>
  <r>
    <s v="M2641401P013"/>
    <s v="SMA"/>
    <s v="Skalar Dan Vektor Serta Operasi Aljabar Vektor"/>
    <s v="https://drive.google.com/open?id=14CpM3GfzZhjmP9D8QKvSJ1-lfRdcds66"/>
    <s v="M2641401P013"/>
    <d v="2020-12-22T00:00:00"/>
    <d v="2020-12-29T00:00:00"/>
    <n v="-909"/>
    <x v="10"/>
    <n v="0"/>
    <x v="0"/>
    <s v="Accepted"/>
    <n v="1"/>
    <s v="yes"/>
    <n v="25000"/>
    <s v="paid"/>
  </r>
  <r>
    <s v="M2641401P014"/>
    <s v="SMA"/>
    <s v="Skalar Dan Vektor Serta Operasi Aljabar Vektor"/>
    <s v="https://drive.google.com/open?id=1V5wAYcKchKccQufs6M2hK0kX2qlwNwQA"/>
    <s v="M2641401P014"/>
    <d v="2020-12-22T00:00:00"/>
    <d v="2020-12-29T00:00:00"/>
    <n v="-909"/>
    <x v="10"/>
    <n v="0"/>
    <x v="0"/>
    <s v="Accepted"/>
    <n v="0"/>
    <s v="no"/>
    <n v="20000"/>
    <s v="paid"/>
  </r>
  <r>
    <s v="M2641401P015"/>
    <s v="SMA"/>
    <s v="Skalar Dan Vektor Serta Operasi Aljabar Vektor"/>
    <s v="https://drive.google.com/open?id=1Cu8yYYQ7QaSKusxba1liumKum9q6b1HD"/>
    <s v="M2641401P015"/>
    <d v="2020-12-22T00:00:00"/>
    <d v="2020-12-29T00:00:00"/>
    <n v="-909"/>
    <x v="10"/>
    <n v="0"/>
    <x v="0"/>
    <s v="Accepted"/>
    <n v="0"/>
    <s v="no"/>
    <n v="20000"/>
    <s v="paid"/>
  </r>
  <r>
    <s v="M1083201P047"/>
    <s v="SMA"/>
    <s v="Integral"/>
    <s v="https://drive.google.com/open?id=1MDwwLp7SxPMlUUwHYBGRWwo-Zqw5k5HP"/>
    <s v="M1083201P047"/>
    <d v="2020-12-23T00:00:00"/>
    <d v="2020-12-30T00:00:00"/>
    <n v="-908"/>
    <x v="11"/>
    <n v="0"/>
    <x v="0"/>
    <s v="Accepted"/>
    <n v="1"/>
    <s v="no"/>
    <n v="20000"/>
    <s v="paid"/>
  </r>
  <r>
    <s v="M2790641P010"/>
    <s v="SMA"/>
    <s v="Trigonometri"/>
    <s v="https://drive.google.com/open?id=1bV2BQdvtDX0mNrng2cFn38zfNdRs00Ma"/>
    <s v="M2790641P010"/>
    <d v="2020-12-23T00:00:00"/>
    <d v="2020-12-30T00:00:00"/>
    <n v="-908"/>
    <x v="11"/>
    <n v="0"/>
    <x v="0"/>
    <s v="Accepted"/>
    <n v="0"/>
    <s v="no"/>
    <n v="20000"/>
    <s v="paid"/>
  </r>
  <r>
    <s v="M2790651P011"/>
    <s v="SMA"/>
    <s v="Trigonometri"/>
    <s v="https://drive.google.com/open?id=1Lh8R1V-2LRTqdLM70dhade2EBMBvsL3J"/>
    <s v="M2790651P011"/>
    <d v="2020-12-23T00:00:00"/>
    <d v="2020-12-30T00:00:00"/>
    <n v="-908"/>
    <x v="11"/>
    <n v="0"/>
    <x v="0"/>
    <s v="Accepted"/>
    <n v="0"/>
    <s v="no"/>
    <n v="20000"/>
    <s v="paid"/>
  </r>
  <r>
    <s v="M2790651P012"/>
    <s v="SMA"/>
    <s v="Trigonometri"/>
    <s v="https://drive.google.com/open?id=1QL6jmBnSomEEhk29PwVT3aUaf8ThlxMV"/>
    <s v="M2790651P012"/>
    <d v="2020-12-23T00:00:00"/>
    <d v="2020-12-30T00:00:00"/>
    <n v="-908"/>
    <x v="11"/>
    <n v="0"/>
    <x v="0"/>
    <s v="Accepted"/>
    <n v="0"/>
    <s v="no"/>
    <n v="20000"/>
    <s v="paid"/>
  </r>
  <r>
    <s v="M2790651P013"/>
    <s v="SMA"/>
    <s v="Trigonometri"/>
    <s v="https://drive.google.com/open?id=1JyqcYUY2-i4DzdAnuWEK6aWyX-neU8kI"/>
    <s v="M2790651P013"/>
    <d v="2020-12-23T00:00:00"/>
    <d v="2020-12-30T00:00:00"/>
    <n v="-908"/>
    <x v="11"/>
    <n v="0"/>
    <x v="0"/>
    <s v="Accepted"/>
    <n v="0"/>
    <s v="no"/>
    <n v="20000"/>
    <s v="paid"/>
  </r>
  <r>
    <s v="M2790651P015"/>
    <s v="SMA"/>
    <s v="Trigonometri"/>
    <s v="https://drive.google.com/open?id=1RMAKj1z8U-1CeKg81jrjaaRmNU87dbFP"/>
    <s v="M2790651P015"/>
    <d v="2020-12-23T00:00:00"/>
    <d v="2020-12-30T00:00:00"/>
    <n v="-908"/>
    <x v="11"/>
    <n v="0"/>
    <x v="0"/>
    <s v="Accepted"/>
    <n v="0"/>
    <s v="no"/>
    <n v="20000"/>
    <s v="paid"/>
  </r>
  <r>
    <s v="M2790651P016"/>
    <s v="SMA"/>
    <s v="Trigonometri"/>
    <s v="https://drive.google.com/open?id=13R5DKVuaGd4PR4WqASh1RItq6T_gCwrQ"/>
    <s v="M2790651P016"/>
    <d v="2020-12-23T00:00:00"/>
    <d v="2020-12-30T00:00:00"/>
    <n v="-908"/>
    <x v="11"/>
    <n v="0"/>
    <x v="0"/>
    <s v="Accepted"/>
    <n v="0"/>
    <s v="yes"/>
    <n v="25000"/>
    <s v="paid"/>
  </r>
  <r>
    <s v="M2790651P018"/>
    <s v="SMA"/>
    <s v="Trigonometri"/>
    <s v="https://drive.google.com/open?id=1-Emh5CwOSWdNqOhyYBwNuu8LetJ32z1L"/>
    <s v="M2790651P018"/>
    <d v="2020-12-23T00:00:00"/>
    <d v="2020-12-30T00:00:00"/>
    <n v="-908"/>
    <x v="11"/>
    <n v="0"/>
    <x v="0"/>
    <s v="Accepted"/>
    <n v="1"/>
    <s v="no"/>
    <n v="20000"/>
    <s v="paid"/>
  </r>
  <r>
    <s v="M2622471P015"/>
    <s v="SMA"/>
    <s v="Statistika Inferensia"/>
    <s v="https://drive.google.com/open?id=19uIWqbm7qJqrTV10c9qYsjfSrmKgDgjC"/>
    <s v="M2622471P015"/>
    <d v="2021-01-08T00:00:00"/>
    <d v="2021-01-15T00:00:00"/>
    <n v="-892"/>
    <x v="11"/>
    <n v="0"/>
    <x v="0"/>
    <s v="Accepted"/>
    <n v="0"/>
    <s v="no"/>
    <n v="20000"/>
    <s v="paid"/>
  </r>
  <r>
    <s v="M2631241E005"/>
    <s v="SMA"/>
    <s v="Fungsi"/>
    <s v="https://drive.google.com/open?id=13lO4qHPAp4FXIT0Mg8bU1K6R_MSsHMDe"/>
    <s v="M2631241E005"/>
    <d v="2021-01-08T00:00:00"/>
    <d v="2021-01-15T00:00:00"/>
    <n v="-892"/>
    <x v="11"/>
    <n v="0"/>
    <x v="0"/>
    <s v="Accepted"/>
    <n v="0"/>
    <s v="no"/>
    <n v="20000"/>
    <s v="paid"/>
  </r>
  <r>
    <s v="M2631241E013"/>
    <s v="SMA"/>
    <s v="Fungsi"/>
    <s v="https://drive.google.com/open?id=1aPW_rbbaG6JNgHAeEYhqQwQ1j0gjjqgY"/>
    <s v="M2631241E013"/>
    <d v="2021-01-08T00:00:00"/>
    <d v="2021-01-15T00:00:00"/>
    <n v="-892"/>
    <x v="11"/>
    <n v="0"/>
    <x v="0"/>
    <s v="Accepted"/>
    <n v="0"/>
    <s v="no"/>
    <n v="20000"/>
    <s v="paid"/>
  </r>
  <r>
    <s v="M0280391P156"/>
    <s v="SMA"/>
    <s v="Persamaan Trigonometri"/>
    <s v="https://drive.google.com/open?id=1vtPCv5_Po_AW58I-HUlLtXuKPrmEy1xh"/>
    <s v="M0280391P156"/>
    <d v="2020-09-22T00:00:00"/>
    <d v="2020-09-29T00:00:00"/>
    <n v="-1000"/>
    <x v="12"/>
    <n v="0"/>
    <x v="0"/>
    <s v="Accepted"/>
    <n v="0"/>
    <s v="no"/>
    <n v="20000"/>
    <s v="paid"/>
  </r>
  <r>
    <s v="M0221702P014"/>
    <s v="SMA"/>
    <s v="Peluang Wajib"/>
    <s v="https://drive.google.com/open?id=1M1TI18hfZ8Wl1zBpvEIHQzYntE1i3tpm"/>
    <s v="M0221702P014"/>
    <d v="2020-09-23T00:00:00"/>
    <d v="2020-09-30T00:00:00"/>
    <n v="-999"/>
    <x v="12"/>
    <n v="0"/>
    <x v="0"/>
    <s v="Accepted"/>
    <n v="0"/>
    <s v="no"/>
    <n v="20000"/>
    <s v="paid"/>
  </r>
  <r>
    <s v="M0070061E005"/>
    <s v="SMP"/>
    <s v="Bilangan Bulat Dan Pecahan"/>
    <s v="https://drive.google.com/open?id=16SmwxIdvalKaa5IS7Ki3WWo9IHqGqyvp"/>
    <s v="M0070061E005"/>
    <d v="2020-09-24T00:00:00"/>
    <d v="2020-10-01T00:00:00"/>
    <n v="-998"/>
    <x v="12"/>
    <n v="0"/>
    <x v="0"/>
    <s v="Accepted"/>
    <n v="0"/>
    <s v="no"/>
    <n v="15000"/>
    <s v="paid"/>
  </r>
  <r>
    <s v="M0070061E007"/>
    <s v="SMP"/>
    <s v="Bilangan Bulat Dan Pecahan"/>
    <s v="https://drive.google.com/open?id=1Jmj_8nDy4YywD68O8po5KWpS4Agc7CGz"/>
    <s v="M0070061E007"/>
    <d v="2020-09-24T00:00:00"/>
    <d v="2020-10-01T00:00:00"/>
    <n v="-998"/>
    <x v="12"/>
    <n v="0"/>
    <x v="0"/>
    <s v="Accepted"/>
    <n v="2"/>
    <s v="yes"/>
    <n v="18000"/>
    <s v="paid"/>
  </r>
  <r>
    <s v="C0090431P002"/>
    <s v="SMP"/>
    <s v="Sudut Dan Garis Sejajar"/>
    <s v="https://drive.google.com/open?id=1GKIthOQQCHOzsO43iioO2MyAzLElEMQ3"/>
    <s v="C0090431P002"/>
    <d v="2020-09-28T00:00:00"/>
    <d v="2020-10-05T00:00:00"/>
    <n v="-994"/>
    <x v="12"/>
    <n v="0"/>
    <x v="0"/>
    <s v="Accepted"/>
    <n v="0"/>
    <s v="yes"/>
    <n v="18000"/>
    <s v="paid"/>
  </r>
  <r>
    <s v="M1871141a001"/>
    <s v="SMA"/>
    <s v="Transformasi"/>
    <s v="https://drive.google.com/open?id=1q-ytBHVJ8rgXYu2f9NWZyi3XvpFYmoYr"/>
    <s v="M1871141a001"/>
    <d v="2020-09-29T00:00:00"/>
    <d v="2020-10-06T00:00:00"/>
    <n v="-993"/>
    <x v="12"/>
    <n v="0"/>
    <x v="0"/>
    <s v="Accepted"/>
    <n v="0"/>
    <s v="no"/>
    <n v="20000"/>
    <s v="paid"/>
  </r>
  <r>
    <s v="C0090431P003"/>
    <s v="SMP"/>
    <s v="Sudut Dan Garis Sejajar"/>
    <s v="https://drive.google.com/open?id=1GKIthOQQCHOzsO43iioO2MyAzLElEMQ3"/>
    <s v="C0090431P003"/>
    <d v="2020-10-01T00:00:00"/>
    <d v="2020-10-08T00:00:00"/>
    <n v="-991"/>
    <x v="12"/>
    <n v="0"/>
    <x v="0"/>
    <s v="Accepted"/>
    <n v="0"/>
    <s v="no"/>
    <n v="15000"/>
    <s v="paid"/>
  </r>
  <r>
    <s v="C0171371P026"/>
    <s v="SMP"/>
    <s v="Bangun Ruang Sisi Lengkung"/>
    <s v="https://drive.google.com/open?id=1pQljazc28xg5Bl8iNspwz2Zrnzrp9OL7"/>
    <s v="C0171371P026"/>
    <d v="2020-11-13T00:00:00"/>
    <d v="2020-11-20T00:00:00"/>
    <n v="-948"/>
    <x v="12"/>
    <n v="0"/>
    <x v="0"/>
    <s v="Accepted"/>
    <n v="0"/>
    <s v="yes"/>
    <n v="18000"/>
    <s v="paid"/>
  </r>
  <r>
    <s v="C0171371P028"/>
    <s v="SMP"/>
    <s v="Bangun Ruang Sisi Datar"/>
    <s v="https://drive.google.com/open?id=1V5awMhO_P_uB-PTAHoolqBIPnGDczwea"/>
    <s v="C0171371P028"/>
    <d v="2020-11-13T00:00:00"/>
    <d v="2020-11-20T00:00:00"/>
    <n v="-948"/>
    <x v="12"/>
    <n v="0"/>
    <x v="0"/>
    <s v="Accepted"/>
    <n v="0"/>
    <s v="no"/>
    <n v="15000"/>
    <s v="paid"/>
  </r>
  <r>
    <s v="M1083201P048"/>
    <s v="SMA"/>
    <s v="Integral"/>
    <s v="https://drive.google.com/open?id=1DxsD8uUOffZK-eJSTydAgyv_JCNFcZnO"/>
    <s v="M1083201P048"/>
    <d v="2020-12-23T00:00:00"/>
    <d v="2020-12-30T00:00:00"/>
    <n v="-908"/>
    <x v="13"/>
    <n v="0"/>
    <x v="0"/>
    <s v="Accepted"/>
    <n v="0"/>
    <s v="yes"/>
    <n v="25000"/>
    <s v="paid"/>
  </r>
  <r>
    <s v="M1083201P049"/>
    <s v="SMA"/>
    <s v="Integral"/>
    <s v="https://drive.google.com/open?id=13UUEL4FUr1nkLtbT_wRTHrYtrEKZUkUg"/>
    <s v="M1083201P049"/>
    <d v="2020-12-23T00:00:00"/>
    <d v="2020-12-30T00:00:00"/>
    <n v="-908"/>
    <x v="13"/>
    <n v="0"/>
    <x v="0"/>
    <s v="Accepted"/>
    <n v="1"/>
    <s v="no"/>
    <n v="20000"/>
    <s v="paid"/>
  </r>
  <r>
    <s v="M2631241E015"/>
    <s v="SMA"/>
    <s v="Fungsi"/>
    <s v="https://drive.google.com/open?id=1as6gQffXagKQTK3gUqwCaASa5TegoE7X"/>
    <s v="M2631241E015"/>
    <d v="2021-01-08T00:00:00"/>
    <d v="2021-01-15T00:00:00"/>
    <n v="-892"/>
    <x v="13"/>
    <n v="0"/>
    <x v="0"/>
    <s v="Accepted"/>
    <n v="1"/>
    <s v="yes"/>
    <n v="25000"/>
    <s v="paid"/>
  </r>
  <r>
    <s v="M2631251a001"/>
    <s v="SMA"/>
    <s v="Fungsi"/>
    <s v="https://drive.google.com/open?id=1v58rfvMiAaszejV1O8Qm3xpec-rOaLTM"/>
    <s v="M2631251a001"/>
    <d v="2021-01-08T00:00:00"/>
    <d v="2021-01-15T00:00:00"/>
    <n v="-892"/>
    <x v="13"/>
    <n v="0"/>
    <x v="0"/>
    <s v="Accepted"/>
    <n v="0"/>
    <s v="no"/>
    <n v="20000"/>
    <s v="paid"/>
  </r>
  <r>
    <s v="M2631251b001"/>
    <s v="SMA"/>
    <s v="Fungsi"/>
    <s v="https://drive.google.com/open?id=14EEuENnsFQVxcnuWYObJWYzKaVixq81b"/>
    <s v="M2631251b001"/>
    <d v="2021-01-08T00:00:00"/>
    <d v="2021-01-15T00:00:00"/>
    <n v="-892"/>
    <x v="13"/>
    <n v="0"/>
    <x v="0"/>
    <s v="Accepted"/>
    <n v="0"/>
    <s v="no"/>
    <n v="20000"/>
    <s v="paid"/>
  </r>
  <r>
    <s v="M2790651P014"/>
    <s v="SMA"/>
    <s v="Trigonometri"/>
    <s v="https://drive.google.com/open?id=1vEHWQPdWGM8Duc7hduQ_3qivN1sUH-YU"/>
    <s v="M2790651P014"/>
    <d v="2020-12-23T00:00:00"/>
    <d v="2020-12-30T00:00:00"/>
    <n v="-908"/>
    <x v="14"/>
    <n v="0"/>
    <x v="0"/>
    <s v="Accepted"/>
    <n v="0"/>
    <s v="yes"/>
    <n v="25000"/>
    <s v="paid"/>
  </r>
  <r>
    <s v="M2790651P017"/>
    <s v="SMA"/>
    <s v="Trigonometri"/>
    <s v="https://drive.google.com/open?id=1WS2cc4kz9vWPgcLYVrLQTSboCTzcln6W"/>
    <s v="M2790651P017"/>
    <d v="2020-12-23T00:00:00"/>
    <d v="2020-12-30T00:00:00"/>
    <n v="-908"/>
    <x v="14"/>
    <n v="0"/>
    <x v="0"/>
    <s v="Accepted"/>
    <n v="0"/>
    <s v="no"/>
    <n v="20000"/>
    <s v="paid"/>
  </r>
  <r>
    <s v="M2622421E016"/>
    <s v="SMA"/>
    <s v="Statistika Inferensia"/>
    <s v="https://drive.google.com/open?id=14daKGw8PZvR9G_GO8Ct6ddnmxobk-_k_"/>
    <s v="M2622421E016"/>
    <d v="2021-01-08T00:00:00"/>
    <d v="2021-01-15T00:00:00"/>
    <n v="-892"/>
    <x v="14"/>
    <n v="0"/>
    <x v="0"/>
    <s v="Accepted"/>
    <n v="0"/>
    <s v="no"/>
    <n v="20000"/>
    <s v="paid"/>
  </r>
  <r>
    <s v="M2631241E004"/>
    <s v="SMA"/>
    <s v="Fungsi"/>
    <s v="https://drive.google.com/open?id=1vbDHg0Pm_fAMPczqKc6k167hYyweh-Yk"/>
    <s v="M2631241E004"/>
    <d v="2021-01-08T00:00:00"/>
    <d v="2021-01-15T00:00:00"/>
    <n v="-892"/>
    <x v="14"/>
    <n v="0"/>
    <x v="0"/>
    <s v="Accepted"/>
    <n v="1"/>
    <s v="no"/>
    <n v="20000"/>
    <s v="paid"/>
  </r>
  <r>
    <s v="M2631241E014"/>
    <s v="SMA"/>
    <s v="Fungsi"/>
    <s v="https://drive.google.com/open?id=1V73O1MGT_XkWI9v5z23MbxAb0UyeZtLO"/>
    <s v="M2631241E014"/>
    <d v="2021-01-08T00:00:00"/>
    <d v="2021-01-15T00:00:00"/>
    <n v="-892"/>
    <x v="14"/>
    <n v="0"/>
    <x v="0"/>
    <s v="Accepted"/>
    <n v="0"/>
    <s v="no"/>
    <n v="20000"/>
    <s v="paid"/>
  </r>
  <r>
    <s v="M0841121E006"/>
    <s v="SMA"/>
    <s v="Grafik, Persamaan, Dan Pertidaksamaan Eksponen Dan Logaritma"/>
    <s v="https://drive.google.com/open?id=1FZy5maHqayHWGnmLoigZtKI5cIOYq7aZ"/>
    <s v="M0841121E006"/>
    <d v="2021-01-20T00:00:00"/>
    <d v="2021-01-27T00:00:00"/>
    <n v="-880"/>
    <x v="15"/>
    <n v="0"/>
    <x v="0"/>
    <s v="Accepted"/>
    <n v="1"/>
    <s v="no"/>
    <n v="20000"/>
    <s v="paid"/>
  </r>
  <r>
    <s v="C0171101P008"/>
    <s v="SMP"/>
    <s v="Kesebangunan Dan Kongruensi"/>
    <s v="https://drive.google.com/open?id=18TRgovRvlrbOGVDHKFg467_8DhqpFpLT"/>
    <s v="C0171101P008"/>
    <d v="2021-01-20T00:00:00"/>
    <d v="2021-01-27T00:00:00"/>
    <n v="-880"/>
    <x v="15"/>
    <n v="0"/>
    <x v="0"/>
    <s v="Accepted"/>
    <n v="0"/>
    <s v="no"/>
    <n v="15000"/>
    <s v="paid"/>
  </r>
  <r>
    <s v="M1110603E001"/>
    <s v="SMA"/>
    <s v="Statistika Wajib"/>
    <s v="https://drive.google.com/open?id=19BfV-zVWMRJB5o9ttdnrW-ANNJGvWDKC"/>
    <s v="M1110603E001"/>
    <d v="2021-01-20T00:00:00"/>
    <d v="2021-01-27T00:00:00"/>
    <n v="-880"/>
    <x v="15"/>
    <n v="0"/>
    <x v="0"/>
    <s v="Accepted"/>
    <n v="0"/>
    <s v="no"/>
    <n v="20000"/>
    <s v="paid"/>
  </r>
  <r>
    <s v="M1110681E001"/>
    <s v="SMA"/>
    <s v="Statistika Wajib"/>
    <s v="https://drive.google.com/open?id=1lRYjXuq5t3vCSh9gzXwX0tR64H_U7U44"/>
    <s v="M1110681E001"/>
    <d v="2021-01-20T00:00:00"/>
    <d v="2021-01-27T00:00:00"/>
    <n v="-880"/>
    <x v="15"/>
    <n v="0"/>
    <x v="0"/>
    <s v="Accepted"/>
    <n v="0"/>
    <s v="yes"/>
    <n v="25000"/>
    <s v="paid"/>
  </r>
  <r>
    <s v="M2901431P033"/>
    <s v="SMA"/>
    <s v="Barisan"/>
    <s v="https://drive.google.com/open?id=1UDAr5gabOU2nLxRKyuec3UAWJlF_xVXt"/>
    <s v="M2901431P033"/>
    <d v="2021-01-22T00:00:00"/>
    <d v="2021-01-29T00:00:00"/>
    <n v="-878"/>
    <x v="15"/>
    <n v="0"/>
    <x v="0"/>
    <s v="Accepted"/>
    <n v="0"/>
    <s v="yes"/>
    <n v="25000"/>
    <s v="paid"/>
  </r>
  <r>
    <s v="M2901431P034"/>
    <s v="SMA"/>
    <s v="Barisan"/>
    <s v="https://drive.google.com/open?id=1N2t_vakSb-pyhNE5J1yhvtgvISaXz0yX"/>
    <s v="M2901431P034"/>
    <d v="2021-01-22T00:00:00"/>
    <d v="2021-01-29T00:00:00"/>
    <n v="-878"/>
    <x v="15"/>
    <n v="0"/>
    <x v="0"/>
    <s v="Accepted"/>
    <n v="1"/>
    <s v="no"/>
    <n v="20000"/>
    <s v="paid"/>
  </r>
  <r>
    <s v="M2902691P035"/>
    <s v="SMA"/>
    <s v="Limit Fungsi"/>
    <s v="https://drive.google.com/open?id=1AHf5rWPIW3_rEyx8WOZo6GU_xQ2LbRj_"/>
    <s v="M2902691P035"/>
    <d v="2021-01-22T00:00:00"/>
    <d v="2021-01-29T00:00:00"/>
    <n v="-878"/>
    <x v="15"/>
    <n v="0"/>
    <x v="0"/>
    <s v="Accepted"/>
    <n v="0"/>
    <s v="yes"/>
    <n v="25000"/>
    <s v="paid"/>
  </r>
  <r>
    <s v="M2902691P036"/>
    <s v="SMA"/>
    <s v="Limit Fungsi"/>
    <s v="https://drive.google.com/open?id=10VfQr2vMmOCeZUQYUqaH2VBpbmlQXIXh"/>
    <s v="M2902691P036"/>
    <d v="2021-01-22T00:00:00"/>
    <d v="2021-01-29T00:00:00"/>
    <n v="-878"/>
    <x v="15"/>
    <n v="0"/>
    <x v="0"/>
    <s v="Accepted"/>
    <n v="0"/>
    <s v="yes"/>
    <n v="25000"/>
    <s v="paid"/>
  </r>
  <r>
    <s v="M2902691P037"/>
    <s v="SMA"/>
    <s v="Limit Fungsi"/>
    <s v="https://drive.google.com/open?id=1e-4WbROK48_yVErGzyGDWxxBNU_1LpR8"/>
    <s v="M2902691P037"/>
    <d v="2021-01-22T00:00:00"/>
    <d v="2021-01-29T00:00:00"/>
    <n v="-878"/>
    <x v="15"/>
    <n v="0"/>
    <x v="0"/>
    <s v="Accepted"/>
    <n v="0"/>
    <s v="no"/>
    <n v="20000"/>
    <s v="paid"/>
  </r>
  <r>
    <s v="B0053924P006"/>
    <s v="SMA"/>
    <s v="Skalar Dan Vektor Serta Operasi Aljabar Vektor"/>
    <s v="https://drive.google.com/open?id=1Rf9cuRJ8ugQphfGwq43ZuZs1mPgPkkLE"/>
    <s v="B0053924P006"/>
    <d v="2020-12-22T00:00:00"/>
    <d v="2020-12-29T00:00:00"/>
    <n v="-909"/>
    <x v="16"/>
    <n v="0"/>
    <x v="0"/>
    <s v="Accepted"/>
    <n v="0"/>
    <s v="no"/>
    <n v="20000"/>
    <s v="paid"/>
  </r>
  <r>
    <s v="M2790672E003"/>
    <s v="SMA"/>
    <s v="Trigonometri"/>
    <s v="https://drive.google.com/open?id=1yQsX8rlgNbikQT3hNzxhqeBesahex57b"/>
    <s v="M2790672E003"/>
    <d v="2021-01-20T00:00:00"/>
    <d v="2021-01-27T00:00:00"/>
    <n v="-880"/>
    <x v="16"/>
    <n v="0"/>
    <x v="0"/>
    <s v="Accepted"/>
    <n v="0"/>
    <s v="no"/>
    <n v="20000"/>
    <s v="paid"/>
  </r>
  <r>
    <s v="M2622461P004"/>
    <s v="SMA"/>
    <s v="Statistika Inferensia"/>
    <s v="https://drive.google.com/open?id=1iCKyI-XijUGIY1yAKKMidDAgrK1olXmt"/>
    <s v="M2622461P004"/>
    <d v="2021-01-20T00:00:00"/>
    <d v="2021-01-27T00:00:00"/>
    <n v="-880"/>
    <x v="16"/>
    <n v="0"/>
    <x v="0"/>
    <s v="Accepted"/>
    <n v="0"/>
    <s v="no"/>
    <n v="20000"/>
    <s v="paid"/>
  </r>
  <r>
    <s v="M2622481P021"/>
    <s v="SMA"/>
    <s v="Statistika Inferensia"/>
    <s v="https://drive.google.com/open?id=1-zARn-XTc_7BRmQhuhgq6tBLB-lWbWmc"/>
    <s v="M2622481P021"/>
    <d v="2021-01-20T00:00:00"/>
    <d v="2021-01-27T00:00:00"/>
    <n v="-880"/>
    <x v="16"/>
    <n v="0"/>
    <x v="0"/>
    <s v="Accepted"/>
    <n v="0"/>
    <s v="no"/>
    <n v="20000"/>
    <s v="paid"/>
  </r>
  <r>
    <s v="M2622482E003"/>
    <s v="SMA"/>
    <s v="Statistika Inferensia"/>
    <s v="https://drive.google.com/open?id=1W-qT7Tr11laE0rWyTea_jGYZYCMOloqt"/>
    <s v="M2622482E003"/>
    <d v="2021-01-20T00:00:00"/>
    <d v="2021-01-27T00:00:00"/>
    <n v="-880"/>
    <x v="16"/>
    <n v="0"/>
    <x v="0"/>
    <s v="Accepted"/>
    <n v="0"/>
    <s v="no"/>
    <n v="20000"/>
    <s v="paid"/>
  </r>
  <r>
    <s v="M2900811P050"/>
    <s v="SMA"/>
    <s v="Fungsi"/>
    <s v="https://drive.google.com/open?id=1cBWLApW-Z62zK7cMFq1Jo-u-rWaOvzwQ"/>
    <s v="M2900811P050"/>
    <d v="2021-01-22T00:00:00"/>
    <d v="2021-01-29T00:00:00"/>
    <n v="-878"/>
    <x v="16"/>
    <n v="0"/>
    <x v="0"/>
    <s v="Accepted"/>
    <n v="0"/>
    <s v="no"/>
    <n v="20000"/>
    <s v="paid"/>
  </r>
  <r>
    <s v="M2900811P052"/>
    <s v="SMA"/>
    <s v="Fungsi"/>
    <s v="https://drive.google.com/open?id=1EdQlnAcAG3pNmpiyrHK_nF4Lf2Z2UlOd"/>
    <s v="M2900811P052"/>
    <d v="2021-01-22T00:00:00"/>
    <d v="2021-01-29T00:00:00"/>
    <n v="-878"/>
    <x v="16"/>
    <n v="0"/>
    <x v="0"/>
    <s v="Accepted"/>
    <n v="0"/>
    <s v="no"/>
    <n v="20000"/>
    <s v="paid"/>
  </r>
  <r>
    <s v="M2900871P100"/>
    <s v="SMA"/>
    <s v="Fungsi"/>
    <s v="https://drive.google.com/open?id=1s1kR1RMa4utt7rJbWmZAOGxLsXC6Aqm8"/>
    <s v="M2900871P100"/>
    <d v="2021-01-22T00:00:00"/>
    <d v="2021-01-29T00:00:00"/>
    <n v="-878"/>
    <x v="16"/>
    <n v="0"/>
    <x v="0"/>
    <s v="Accepted"/>
    <n v="0"/>
    <s v="yes"/>
    <n v="25000"/>
    <s v="paid"/>
  </r>
  <r>
    <s v="M2900871P101"/>
    <s v="SMA"/>
    <s v="Fungsi"/>
    <s v="https://drive.google.com/open?id=19gFMuwU2hGTtwirt3nEgUR3ya17zn7qT"/>
    <s v="M2900871P101"/>
    <d v="2021-01-22T00:00:00"/>
    <d v="2021-01-29T00:00:00"/>
    <n v="-878"/>
    <x v="16"/>
    <n v="0"/>
    <x v="0"/>
    <s v="Accepted"/>
    <n v="0"/>
    <s v="no"/>
    <n v="20000"/>
    <s v="paid"/>
  </r>
  <r>
    <s v="M2900871P102"/>
    <s v="SMA"/>
    <s v="Fungsi"/>
    <s v="https://drive.google.com/open?id=1yF7Ft9VGIMmP6bJ3mCXEfBEfkE7yqNOI"/>
    <s v="M2900871P102"/>
    <d v="2021-01-22T00:00:00"/>
    <d v="2021-01-29T00:00:00"/>
    <n v="-878"/>
    <x v="16"/>
    <n v="0"/>
    <x v="0"/>
    <s v="Accepted"/>
    <n v="0"/>
    <s v="no"/>
    <n v="20000"/>
    <s v="paid"/>
  </r>
  <r>
    <s v="M2901171P062"/>
    <s v="SMA"/>
    <s v="Trigonometri"/>
    <s v="https://drive.google.com/open?id=1Nzq_Fu6qzKLdA0VheaVBIGsaTcNL96cx"/>
    <s v="M2901171P062"/>
    <d v="2021-01-22T00:00:00"/>
    <d v="2021-01-29T00:00:00"/>
    <n v="-878"/>
    <x v="16"/>
    <n v="0"/>
    <x v="0"/>
    <s v="Accepted"/>
    <n v="0"/>
    <s v="no"/>
    <n v="20000"/>
    <s v="paid"/>
  </r>
  <r>
    <s v="M2901181P063"/>
    <s v="SMA"/>
    <s v="Trigonometri"/>
    <s v="https://drive.google.com/open?id=1_DCPAmd3i1AyTs_YOjNKrazlkfD_USSj"/>
    <s v="M2901181P063"/>
    <d v="2021-01-22T00:00:00"/>
    <d v="2021-01-29T00:00:00"/>
    <n v="-878"/>
    <x v="16"/>
    <n v="0"/>
    <x v="0"/>
    <s v="Accepted"/>
    <n v="0"/>
    <s v="no"/>
    <n v="20000"/>
    <s v="paid"/>
  </r>
  <r>
    <s v="M2901181P064"/>
    <s v="SMA"/>
    <s v="Trigonometri"/>
    <s v="https://drive.google.com/open?id=1aVkXs6REjK_-voypP2t6QNhGuKv2y8Tv"/>
    <s v="M2901181P064"/>
    <d v="2021-01-22T00:00:00"/>
    <d v="2021-01-29T00:00:00"/>
    <n v="-878"/>
    <x v="16"/>
    <n v="0"/>
    <x v="0"/>
    <s v="Accepted"/>
    <n v="0"/>
    <s v="no"/>
    <n v="20000"/>
    <s v="paid"/>
  </r>
  <r>
    <s v="M2901431P035"/>
    <s v="SMA"/>
    <s v="Barisan"/>
    <s v="https://drive.google.com/open?id=1d1Aqx_IbcyDn3ydRTpK3aWn4G8cawfFD"/>
    <s v="M2901431P035"/>
    <d v="2021-01-22T00:00:00"/>
    <d v="2021-01-29T00:00:00"/>
    <n v="-878"/>
    <x v="16"/>
    <n v="0"/>
    <x v="0"/>
    <s v="Accepted"/>
    <n v="1"/>
    <s v="yes"/>
    <n v="25000"/>
    <s v="paid"/>
  </r>
  <r>
    <s v="M3130501P013"/>
    <s v="SMA"/>
    <s v="Persamaan Lingkaran Dan Irisan Dua Lingkaran"/>
    <s v="https://drive.google.com/open?id=1jrRLebBdboerDnOAV2ZIf-OvdPozpUcg"/>
    <s v="M3130501P013"/>
    <d v="2021-01-29T00:00:00"/>
    <d v="2021-02-05T00:00:00"/>
    <n v="-871"/>
    <x v="17"/>
    <n v="0"/>
    <x v="0"/>
    <s v="Accepted"/>
    <n v="0"/>
    <s v="yes"/>
    <n v="25000"/>
    <s v="paid"/>
  </r>
  <r>
    <s v="M2380751E008"/>
    <s v="SMA"/>
    <s v="Irisan Kerucut"/>
    <s v="https://drive.google.com/open?id=1F4H4l4TAF0OHZaX7l_b-tfVnJv5pHI1m"/>
    <s v="M2380751E008"/>
    <d v="2021-01-29T00:00:00"/>
    <d v="2021-02-05T00:00:00"/>
    <n v="-871"/>
    <x v="17"/>
    <n v="0"/>
    <x v="0"/>
    <s v="Accepted"/>
    <n v="0"/>
    <s v="yes"/>
    <n v="25000"/>
    <s v="paid"/>
  </r>
  <r>
    <s v="M2960021P005"/>
    <s v="SMA"/>
    <s v="Grafik, Persamaan, Dan Pertidaksamaan Eksponen Dan Logaritma"/>
    <s v="https://drive.google.com/open?id=1dWTZEPz5O22meM6OfuxzjIhzFluPdq6M"/>
    <s v="M2960021P005"/>
    <d v="2021-01-29T00:00:00"/>
    <d v="2021-02-05T00:00:00"/>
    <n v="-871"/>
    <x v="17"/>
    <n v="0"/>
    <x v="0"/>
    <s v="Accepted"/>
    <n v="0"/>
    <s v="no"/>
    <n v="20000"/>
    <s v="paid"/>
  </r>
  <r>
    <s v="M0430842E001"/>
    <s v="SMA"/>
    <s v="Statistika Inferensia"/>
    <s v="https://drive.google.com/open?id=16L-qI3tYq9pNYGgb8Ioxr7SfWCXrnpxD"/>
    <s v="M0430842E001"/>
    <d v="2021-01-29T00:00:00"/>
    <d v="2021-02-05T00:00:00"/>
    <n v="-871"/>
    <x v="17"/>
    <n v="0"/>
    <x v="0"/>
    <s v="Accepted"/>
    <n v="0"/>
    <s v="yes"/>
    <n v="25000"/>
    <s v="paid"/>
  </r>
  <r>
    <s v="M2671031P006"/>
    <s v="SMA"/>
    <s v="Dimensi Tiga"/>
    <s v="https://drive.google.com/open?id=1P3_Mot-fSpe09G6d-uZG5pVtMaiGddbb"/>
    <s v="M2671031P006"/>
    <d v="2021-02-03T00:00:00"/>
    <d v="2021-02-10T00:00:00"/>
    <n v="-866"/>
    <x v="18"/>
    <n v="0"/>
    <x v="0"/>
    <s v="Accepted"/>
    <n v="1"/>
    <s v="yes"/>
    <n v="25000"/>
    <s v="paid"/>
  </r>
  <r>
    <s v="B0101131c001"/>
    <s v="SMA"/>
    <s v="Limit Fungsi"/>
    <s v="https://drive.google.com/open?id=1-H1eHTxeoZ-XqBlcjzdIMslNrdnW5V_a"/>
    <s v="B0101131c001"/>
    <d v="2021-02-03T00:00:00"/>
    <d v="2021-02-10T00:00:00"/>
    <n v="-866"/>
    <x v="18"/>
    <n v="0"/>
    <x v="0"/>
    <s v="Accepted"/>
    <n v="0"/>
    <s v="no"/>
    <n v="20000"/>
    <s v="paid"/>
  </r>
  <r>
    <s v="M2671861P002"/>
    <s v="SMA"/>
    <s v="Dimensi Tiga"/>
    <s v="https://drive.google.com/open?id=1giwpFxcQl3a0vqrOtXOVB9laeTDUTJkq"/>
    <s v="M2671861P002"/>
    <d v="2021-02-03T00:00:00"/>
    <d v="2021-02-10T00:00:00"/>
    <n v="-866"/>
    <x v="19"/>
    <n v="0"/>
    <x v="0"/>
    <s v="Accepted"/>
    <n v="1"/>
    <s v="yes"/>
    <n v="25000"/>
    <s v="paid"/>
  </r>
  <r>
    <s v="M2870752E009"/>
    <s v="SMA"/>
    <s v="Irisan Kerucut"/>
    <s v="https://drive.google.com/open?id=1Em5mEJW6jcunW10emtDKuvxVyOFsf21M"/>
    <s v="M2870752E009"/>
    <d v="2021-02-03T00:00:00"/>
    <d v="2021-02-10T00:00:00"/>
    <n v="-866"/>
    <x v="19"/>
    <n v="0"/>
    <x v="0"/>
    <s v="Accepted"/>
    <n v="2"/>
    <s v="no"/>
    <n v="20000"/>
    <s v="paid"/>
  </r>
  <r>
    <s v="M2640401P065"/>
    <s v="SMA"/>
    <s v="Sistem Pertidaksamaan Dua Variabel"/>
    <s v="https://drive.google.com/open?id=17p0vcG3rUPJdrXT1JHLzBbWadIb8WNW5"/>
    <s v="M2640401P065"/>
    <d v="2021-02-05T00:00:00"/>
    <d v="2021-02-12T00:00:00"/>
    <n v="-864"/>
    <x v="20"/>
    <n v="0"/>
    <x v="0"/>
    <s v="Accepted"/>
    <n v="0"/>
    <s v="no"/>
    <n v="20000"/>
    <s v="paid"/>
  </r>
  <r>
    <s v="M2640631P027"/>
    <s v="SMA"/>
    <s v="Sistem Pertidaksamaan Dua Variabel"/>
    <s v="https://drive.google.com/open?id=1uvZuDWkVFnO8klFVM0TsK6kxz63jEYu5"/>
    <s v="M2640631P027"/>
    <d v="2021-02-05T00:00:00"/>
    <d v="2021-02-12T00:00:00"/>
    <n v="-864"/>
    <x v="20"/>
    <n v="0"/>
    <x v="0"/>
    <s v="Accepted"/>
    <n v="0"/>
    <s v="yes"/>
    <n v="25000"/>
    <s v="paid"/>
  </r>
  <r>
    <s v="M2651282E001"/>
    <s v="SMA"/>
    <s v="Grafik, Persamaan, Dan Pertidaksamaan Eksponen Dan Logaritma"/>
    <s v="https://drive.google.com/open?id=19uXDdjJZFxKQ_cNBY6CVrQsLJuufydOM"/>
    <s v="M2651282E001"/>
    <d v="2021-02-05T00:00:00"/>
    <d v="2021-02-12T00:00:00"/>
    <n v="-864"/>
    <x v="21"/>
    <n v="0"/>
    <x v="0"/>
    <s v="Accepted"/>
    <n v="0"/>
    <s v="no"/>
    <n v="20000"/>
    <s v="paid"/>
  </r>
  <r>
    <s v="M2770601E001"/>
    <s v="SMA"/>
    <s v="Statistika Wajib"/>
    <s v="https://drive.google.com/open?id=1y-kwm_Ymy8nUlz54qvltWaKxyDiM9UJD"/>
    <s v="M2770601E001"/>
    <d v="2021-02-05T00:00:00"/>
    <d v="2021-02-12T00:00:00"/>
    <n v="-864"/>
    <x v="21"/>
    <n v="0"/>
    <x v="0"/>
    <s v="Accepted"/>
    <n v="0"/>
    <s v="yes"/>
    <n v="25000"/>
    <s v="paid"/>
  </r>
  <r>
    <s v="M2780371E001"/>
    <s v="SMA"/>
    <s v="Statistika Wajib"/>
    <s v="https://drive.google.com/open?id=1WYkC3TX64nwmMy3KK0HKKWeukhot9a0q"/>
    <s v="M2780371E001"/>
    <d v="2021-02-05T00:00:00"/>
    <d v="2021-02-12T00:00:00"/>
    <n v="-864"/>
    <x v="22"/>
    <n v="0"/>
    <x v="0"/>
    <s v="Accepted"/>
    <n v="1"/>
    <s v="no"/>
    <n v="20000"/>
    <s v="paid"/>
  </r>
  <r>
    <s v="M2780422E001"/>
    <s v="SMA"/>
    <s v="Statistika Wajib"/>
    <s v="https://drive.google.com/open?id=1LkcPQFNDbBCbQkpWGPT66cMglKmyV_Jt"/>
    <s v="M2780422E001"/>
    <d v="2021-02-05T00:00:00"/>
    <d v="2021-02-12T00:00:00"/>
    <n v="-864"/>
    <x v="22"/>
    <n v="0"/>
    <x v="0"/>
    <s v="Accepted"/>
    <n v="1"/>
    <s v="no"/>
    <n v="20000"/>
    <s v="paid"/>
  </r>
  <r>
    <s v="M2780481E001"/>
    <s v="SMA"/>
    <s v="Statistika Wajib"/>
    <s v="https://drive.google.com/open?id=1oEUfhONtGPvFTnMLIIFBN1-3gWzmWpYt"/>
    <s v="M2780481E001"/>
    <d v="2021-02-05T00:00:00"/>
    <d v="2021-02-12T00:00:00"/>
    <n v="-864"/>
    <x v="22"/>
    <n v="0"/>
    <x v="0"/>
    <s v="Accepted"/>
    <n v="0"/>
    <s v="no"/>
    <n v="20000"/>
    <s v="paid"/>
  </r>
  <r>
    <s v="M2903581P077"/>
    <s v="SMA"/>
    <s v="Dimensi Tiga"/>
    <s v="https://drive.google.com/open?id=1nwjx7K6UcYKg1eus1rHc6EzvBQ8I6hMp"/>
    <s v="M2903581P077"/>
    <d v="2021-02-05T00:00:00"/>
    <d v="2021-02-12T00:00:00"/>
    <n v="-864"/>
    <x v="22"/>
    <n v="0"/>
    <x v="0"/>
    <s v="Accepted"/>
    <n v="0"/>
    <s v="no"/>
    <n v="20000"/>
    <s v="paid"/>
  </r>
  <r>
    <s v="M2650131E001"/>
    <s v="SMA"/>
    <s v="Persamaan Dan Pertidaksamaan Linear Satu Variabel Wajib"/>
    <s v="https://drive.google.com/open?id=1OK-TJgGzEfU949vtT8QrTOKNmg9Lyrrw"/>
    <s v="M2650131E001"/>
    <d v="2021-02-05T00:00:00"/>
    <d v="2021-02-12T00:00:00"/>
    <n v="-864"/>
    <x v="22"/>
    <n v="0"/>
    <x v="0"/>
    <s v="Accepted"/>
    <n v="0"/>
    <s v="no"/>
    <n v="20000"/>
    <s v="paid"/>
  </r>
  <r>
    <s v="M2650141a003"/>
    <s v="SMA"/>
    <s v="Persamaan Dan Pertidaksamaan Linear Satu Variabel Wajib"/>
    <s v="https://drive.google.com/open?id=1U4sgkv1xLk6liwpBJum_DPcwMC_oADz7"/>
    <s v="M2650141a003"/>
    <d v="2021-02-05T00:00:00"/>
    <d v="2021-02-12T00:00:00"/>
    <n v="-864"/>
    <x v="22"/>
    <n v="0"/>
    <x v="0"/>
    <s v="Accepted"/>
    <n v="0"/>
    <s v="yes"/>
    <n v="25000"/>
    <s v="paid"/>
  </r>
  <r>
    <s v="M2650242E007"/>
    <s v="SMA"/>
    <s v="Sistem Persamaan Linear"/>
    <s v="https://drive.google.com/open?id=1YuMMALM0XJ3J48lJQseC3ZTzDzV3eknb"/>
    <s v="M2650242E007"/>
    <d v="2021-02-05T00:00:00"/>
    <d v="2021-02-12T00:00:00"/>
    <n v="-864"/>
    <x v="22"/>
    <n v="0"/>
    <x v="0"/>
    <s v="Accepted"/>
    <n v="1"/>
    <s v="yes"/>
    <n v="25000"/>
    <s v="paid"/>
  </r>
  <r>
    <s v="M2650452c010"/>
    <s v="SMA"/>
    <s v="Sistem Pertidaksamaan Dua Variabel"/>
    <s v="https://drive.google.com/open?id=1Agq1bvb6mxTPriwHDrjqvmtsYzr-DpuC"/>
    <s v="M2650452c010"/>
    <d v="2021-02-05T00:00:00"/>
    <d v="2021-02-12T00:00:00"/>
    <n v="-864"/>
    <x v="22"/>
    <n v="0"/>
    <x v="0"/>
    <s v="Accepted"/>
    <n v="0"/>
    <s v="no"/>
    <n v="20000"/>
    <s v="paid"/>
  </r>
  <r>
    <s v="M2651452a008"/>
    <s v="SMA"/>
    <s v="Grafik, Persamaan, Dan Pertidaksamaan Eksponen Dan Logaritma"/>
    <s v="https://drive.google.com/open?id=1Kd5e0-PuIXSqNIFOi61fzU-Sfwwr4Y9a"/>
    <s v="M2651452a008"/>
    <d v="2021-02-05T00:00:00"/>
    <d v="2021-02-12T00:00:00"/>
    <n v="-864"/>
    <x v="22"/>
    <n v="0"/>
    <x v="0"/>
    <s v="Accepted"/>
    <n v="0"/>
    <s v="yes"/>
    <n v="25000"/>
    <s v="paid"/>
  </r>
  <r>
    <s v="M2780301E001"/>
    <s v="SMA"/>
    <s v="Statistika Wajib"/>
    <s v="https://drive.google.com/open?id=1P_LOg5VVKQBfmXhxzqvOQcxgNXyorXNv"/>
    <s v="M2780301E001"/>
    <d v="2021-02-05T00:00:00"/>
    <d v="2021-02-12T00:00:00"/>
    <n v="-864"/>
    <x v="22"/>
    <n v="0"/>
    <x v="0"/>
    <s v="Accepted"/>
    <n v="1"/>
    <s v="yes"/>
    <n v="25000"/>
    <s v="paid"/>
  </r>
  <r>
    <s v="M2640641P033"/>
    <s v="SMA"/>
    <s v="Sistem Pertidaksamaan Dua Variabel"/>
    <s v="https://drive.google.com/open?id=17tnUv2Bt_tJTgE1sgr2zsJr4urVQPcrR"/>
    <s v="M2640641P033"/>
    <d v="2021-02-11T00:00:00"/>
    <d v="2021-02-18T00:00:00"/>
    <n v="-858"/>
    <x v="22"/>
    <n v="0"/>
    <x v="0"/>
    <s v="Accepted"/>
    <n v="0"/>
    <s v="yes"/>
    <n v="25000"/>
    <s v="paid"/>
  </r>
  <r>
    <s v="M3201571E001"/>
    <s v="SMA"/>
    <s v="Fungsi"/>
    <s v="https://drive.google.com/open?id=1fH-7cm8MxyXBhF5MZ58lZoqVLfxFiaSE"/>
    <s v="M3201571E001"/>
    <d v="2021-02-11T00:00:00"/>
    <d v="2021-02-18T00:00:00"/>
    <n v="-858"/>
    <x v="22"/>
    <n v="0"/>
    <x v="0"/>
    <s v="Accepted"/>
    <n v="0"/>
    <s v="no"/>
    <n v="20000"/>
    <s v="paid"/>
  </r>
  <r>
    <s v="M1170681P026"/>
    <s v="SMA"/>
    <s v="Program Linear"/>
    <s v="https://drive.google.com/open?id=1RuHhzQavQI7rcJwMhwSJQV0t_2ReRAl0"/>
    <s v="M1170681P026"/>
    <d v="2021-02-11T00:00:00"/>
    <d v="2021-02-18T00:00:00"/>
    <n v="-858"/>
    <x v="22"/>
    <n v="0"/>
    <x v="0"/>
    <s v="Accepted"/>
    <n v="0"/>
    <s v="no"/>
    <n v="20000"/>
    <s v="paid"/>
  </r>
  <r>
    <s v="M1170681P030"/>
    <s v="SMA"/>
    <s v="Program Linear"/>
    <s v="https://drive.google.com/open?id=1J5XK5pUGnmUL1ajuvjochLdDj6fj1BbZ"/>
    <s v="M1170681P030"/>
    <d v="2021-02-11T00:00:00"/>
    <d v="2021-02-18T00:00:00"/>
    <n v="-858"/>
    <x v="22"/>
    <n v="0"/>
    <x v="0"/>
    <s v="Accepted"/>
    <n v="0"/>
    <s v="yes"/>
    <n v="25000"/>
    <s v="paid"/>
  </r>
  <r>
    <s v="M1170721P001"/>
    <s v="SMA"/>
    <s v="Matriks"/>
    <s v="https://drive.google.com/open?id=1t5nOrUt1kywdTtetcCyvRZYy0JgAYVQK"/>
    <s v="M1170721P001"/>
    <d v="2021-02-11T00:00:00"/>
    <d v="2021-02-18T00:00:00"/>
    <n v="-858"/>
    <x v="22"/>
    <n v="0"/>
    <x v="0"/>
    <s v="Accepted"/>
    <n v="0"/>
    <s v="no"/>
    <n v="20000"/>
    <s v="paid"/>
  </r>
  <r>
    <s v="A0030120E007"/>
    <s v="SMA"/>
    <s v="Integral"/>
    <s v="https://drive.google.com/open?id=1s7Guk0fhX8YWAIKwore0lUdsYFJGCdWy"/>
    <s v="A0030120E007"/>
    <d v="2021-02-16T00:00:00"/>
    <d v="2021-02-23T00:00:00"/>
    <n v="-853"/>
    <x v="23"/>
    <n v="0"/>
    <x v="0"/>
    <s v="Accepted"/>
    <n v="0"/>
    <s v="no"/>
    <n v="20000"/>
    <s v="paid"/>
  </r>
  <r>
    <s v="A0030269E003"/>
    <s v="SMA"/>
    <s v="Barisan"/>
    <s v="https://drive.google.com/open?id=1ODlDBTzwcllYYgsCb3HK-WO0bl2dUGEv"/>
    <s v="A0030269E003"/>
    <d v="2021-02-16T00:00:00"/>
    <d v="2021-02-23T00:00:00"/>
    <n v="-853"/>
    <x v="23"/>
    <n v="0"/>
    <x v="0"/>
    <s v="Accepted"/>
    <n v="0"/>
    <s v="no"/>
    <n v="20000"/>
    <s v="paid"/>
  </r>
  <r>
    <s v="A0030426P005"/>
    <s v="SMA"/>
    <s v="Persamaan Lingkaran Dan Irisan Dua Lingkaran"/>
    <s v="https://drive.google.com/open?id=13C5yM9F96D1wAAbJVC6hPRz4gg3sQ-Aa"/>
    <s v="A0030426P005"/>
    <d v="2021-02-16T00:00:00"/>
    <d v="2021-02-23T00:00:00"/>
    <n v="-853"/>
    <x v="23"/>
    <n v="0"/>
    <x v="0"/>
    <s v="Accepted"/>
    <n v="0"/>
    <s v="yes"/>
    <n v="25000"/>
    <s v="paid"/>
  </r>
  <r>
    <s v="A0030803E008"/>
    <s v="SMA"/>
    <s v="Limit Fungsi"/>
    <s v="https://drive.google.com/open?id=1gbqIMnguwaLEVnQwGetsvSQXajjFuZxl"/>
    <s v="A0030803E008"/>
    <d v="2021-02-16T00:00:00"/>
    <d v="2021-02-23T00:00:00"/>
    <n v="-853"/>
    <x v="23"/>
    <n v="0"/>
    <x v="0"/>
    <s v="Accepted"/>
    <n v="1"/>
    <s v="no"/>
    <n v="20000"/>
    <s v="paid"/>
  </r>
  <r>
    <s v="B0030182E001"/>
    <s v="SMA"/>
    <s v="Matriks"/>
    <s v="https://drive.google.com/open?id=1FkkVl11XzEGSZQPIgj07F0s3iyxapvFg"/>
    <s v="B0030182E001"/>
    <d v="2021-02-16T00:00:00"/>
    <d v="2021-02-23T00:00:00"/>
    <n v="-853"/>
    <x v="23"/>
    <n v="0"/>
    <x v="0"/>
    <s v="Accepted"/>
    <n v="0"/>
    <s v="no"/>
    <n v="20000"/>
    <s v="paid"/>
  </r>
  <r>
    <s v="B0030482E001"/>
    <s v="SMA"/>
    <s v="Matriks"/>
    <s v="https://drive.google.com/open?id=1h-VRyJLjfCqvNDMAvFwt2Fz0dkkdpuaD"/>
    <s v="B0030482E001"/>
    <d v="2021-02-16T00:00:00"/>
    <d v="2021-02-23T00:00:00"/>
    <n v="-853"/>
    <x v="23"/>
    <n v="0"/>
    <x v="0"/>
    <s v="Accepted"/>
    <n v="0"/>
    <s v="no"/>
    <n v="20000"/>
    <s v="paid"/>
  </r>
  <r>
    <s v="B0030562E001"/>
    <s v="SMA"/>
    <s v="Matriks"/>
    <s v="https://drive.google.com/open?id=1JoZbSe42dTAT6Xp2ZiQivMkNyb-TjPlx"/>
    <s v="B0030562E001"/>
    <d v="2021-02-16T00:00:00"/>
    <d v="2021-02-23T00:00:00"/>
    <n v="-853"/>
    <x v="24"/>
    <n v="0"/>
    <x v="0"/>
    <s v="Accepted"/>
    <n v="1"/>
    <s v="no"/>
    <n v="20000"/>
    <s v="paid"/>
  </r>
  <r>
    <s v="B0030722E001"/>
    <s v="SMA"/>
    <s v="Matriks"/>
    <s v="https://drive.google.com/open?id=1degn2HpE5eTVyzXYnszvaYAILfdgDEyv"/>
    <s v="B0030722E001"/>
    <d v="2021-02-16T00:00:00"/>
    <d v="2021-02-23T00:00:00"/>
    <n v="-853"/>
    <x v="24"/>
    <n v="0"/>
    <x v="0"/>
    <s v="Accepted"/>
    <n v="0"/>
    <s v="no"/>
    <n v="20000"/>
    <s v="paid"/>
  </r>
  <r>
    <s v="B0030872E001"/>
    <s v="SMA"/>
    <s v="Matriks"/>
    <s v="https://drive.google.com/open?id=1Xx6oRcZ0v_OnNoWZmhkidTzNvNhuOixw"/>
    <s v="B0030872E001"/>
    <d v="2021-02-16T00:00:00"/>
    <d v="2021-02-23T00:00:00"/>
    <n v="-853"/>
    <x v="24"/>
    <n v="0"/>
    <x v="0"/>
    <s v="Accepted"/>
    <n v="0"/>
    <s v="no"/>
    <n v="20000"/>
    <s v="paid"/>
  </r>
  <r>
    <s v="B0031012E001"/>
    <s v="SMA"/>
    <s v="Matriks"/>
    <s v="https://drive.google.com/open?id=1PERTopcFMI8Gfu3oDGg-oVHyraFZL46m"/>
    <s v="B0031012E001"/>
    <d v="2021-02-16T00:00:00"/>
    <d v="2021-02-23T00:00:00"/>
    <n v="-853"/>
    <x v="24"/>
    <n v="0"/>
    <x v="0"/>
    <s v="Accepted"/>
    <n v="1"/>
    <s v="no"/>
    <n v="20000"/>
    <s v="paid"/>
  </r>
  <r>
    <s v="B0031472E001"/>
    <s v="SMA"/>
    <s v="Matriks"/>
    <s v="https://drive.google.com/open?id=1ZG3qgu5dNwVW52Wq_u1Rmi6ML5Z0mLu8"/>
    <s v="B0031472E001"/>
    <d v="2021-02-16T00:00:00"/>
    <d v="2021-02-23T00:00:00"/>
    <n v="-853"/>
    <x v="24"/>
    <n v="0"/>
    <x v="0"/>
    <s v="Accepted"/>
    <n v="0"/>
    <s v="yes"/>
    <n v="25000"/>
    <s v="paid"/>
  </r>
  <r>
    <s v="B0031622a001"/>
    <s v="SMA"/>
    <s v="Matriks"/>
    <s v="https://drive.google.com/open?id=1RcCrMhFc17yKY4PbxZjMCHKC1h0MBLLo"/>
    <s v="B0031622a001"/>
    <d v="2021-02-16T00:00:00"/>
    <d v="2021-02-23T00:00:00"/>
    <n v="-853"/>
    <x v="24"/>
    <n v="0"/>
    <x v="0"/>
    <s v="Accepted"/>
    <n v="0"/>
    <s v="yes"/>
    <n v="25000"/>
    <s v="paid"/>
  </r>
  <r>
    <s v="B0031902E001"/>
    <s v="SMA"/>
    <s v="Matriks"/>
    <s v="https://drive.google.com/open?id=1zzemCnZACWRXIx7CPPBwsMcp5HBfdJo7"/>
    <s v="B0031902E001"/>
    <d v="2021-02-16T00:00:00"/>
    <d v="2021-02-23T00:00:00"/>
    <n v="-853"/>
    <x v="24"/>
    <n v="0"/>
    <x v="0"/>
    <s v="Accepted"/>
    <n v="0"/>
    <s v="no"/>
    <n v="20000"/>
    <s v="paid"/>
  </r>
  <r>
    <s v="B0031982a001"/>
    <s v="SMA"/>
    <s v="Matriks"/>
    <s v="https://drive.google.com/open?id=1UoJWPEhN92A1hIA_HSKwKMaaXG3ysx6m"/>
    <s v="B0031982a001"/>
    <d v="2021-02-16T00:00:00"/>
    <d v="2021-02-23T00:00:00"/>
    <n v="-853"/>
    <x v="24"/>
    <n v="0"/>
    <x v="0"/>
    <s v="Accepted"/>
    <n v="0"/>
    <s v="yes"/>
    <n v="25000"/>
    <s v="paid"/>
  </r>
  <r>
    <s v="B0032052a001"/>
    <s v="SMA"/>
    <s v="Matriks"/>
    <s v="https://drive.google.com/open?id=1b0GrcGnG9WibVmqx4A79dsbIp1zdwfd0"/>
    <s v="B0032052a001"/>
    <d v="2021-02-16T00:00:00"/>
    <d v="2021-02-23T00:00:00"/>
    <n v="-853"/>
    <x v="24"/>
    <n v="0"/>
    <x v="0"/>
    <s v="Accepted"/>
    <n v="0"/>
    <s v="yes"/>
    <n v="25000"/>
    <s v="paid"/>
  </r>
  <r>
    <s v="M2570432E008"/>
    <s v="SMP"/>
    <s v="Relasi Dan Fungsi"/>
    <s v="https://drive.google.com/open?id=138zFez85VYl1mj2nKIW1iH7KGYRRyOql"/>
    <s v="M2570432E008"/>
    <d v="2021-02-16T00:00:00"/>
    <d v="2021-02-23T00:00:00"/>
    <n v="-853"/>
    <x v="25"/>
    <n v="0"/>
    <x v="0"/>
    <s v="Accepted"/>
    <n v="0"/>
    <s v="yes"/>
    <n v="18000"/>
    <s v="paid"/>
  </r>
  <r>
    <s v="M3201521E005"/>
    <s v="SMA"/>
    <s v="Fungsi"/>
    <s v="https://drive.google.com/open?id=1vyRi4e4jGq3bEErn1cyfV6s5R6BUtgYT"/>
    <s v="M3201521E005"/>
    <d v="2021-02-16T00:00:00"/>
    <d v="2021-02-23T00:00:00"/>
    <n v="-853"/>
    <x v="25"/>
    <n v="0"/>
    <x v="0"/>
    <s v="Accepted"/>
    <n v="0"/>
    <s v="no"/>
    <n v="20000"/>
    <s v="paid"/>
  </r>
  <r>
    <s v="M3010254E019"/>
    <s v="SMA"/>
    <s v="Sistem Pertidaksamaan Dua Variabel"/>
    <s v="https://drive.google.com/open?id=1-phNohaOd8GCH5uss5Tnt-YkX0jxzJ44"/>
    <s v="M3010254E019"/>
    <d v="2021-02-16T00:00:00"/>
    <d v="2021-02-23T00:00:00"/>
    <n v="-853"/>
    <x v="25"/>
    <n v="0"/>
    <x v="0"/>
    <s v="Accepted"/>
    <n v="0"/>
    <s v="yes"/>
    <n v="25000"/>
    <s v="paid"/>
  </r>
  <r>
    <s v="M3020541P020"/>
    <s v="SMA"/>
    <s v="Polinomial"/>
    <s v="https://drive.google.com/open?id=1PKSAi7E6hDLzNx8jcgUfpMQVWyswDGWK"/>
    <s v="M3020541P020"/>
    <d v="2021-02-16T00:00:00"/>
    <d v="2021-02-23T00:00:00"/>
    <n v="-853"/>
    <x v="25"/>
    <n v="0"/>
    <x v="0"/>
    <s v="Accepted"/>
    <n v="0"/>
    <s v="no"/>
    <n v="20000"/>
    <s v="paid"/>
  </r>
  <r>
    <s v="B0031962E004"/>
    <s v="SMA"/>
    <s v="Matriks"/>
    <s v="https://drive.google.com/open?id=1lesimwwcoIvq80LEJjE4jryyzPcFzt53"/>
    <s v="B0031962E004"/>
    <d v="2021-02-16T00:00:00"/>
    <d v="2021-02-23T00:00:00"/>
    <n v="-853"/>
    <x v="25"/>
    <n v="0"/>
    <x v="0"/>
    <s v="Accepted"/>
    <n v="1"/>
    <s v="no"/>
    <n v="20000"/>
    <s v="paid"/>
  </r>
  <r>
    <s v="B0032092E002"/>
    <s v="SMA"/>
    <s v="Matriks"/>
    <s v="https://drive.google.com/open?id=1MnvQ6WZvRbSfIc3AR4oMPaYxSjA5p_tJ"/>
    <s v="B0032092E002"/>
    <d v="2021-02-16T00:00:00"/>
    <d v="2021-02-23T00:00:00"/>
    <n v="-853"/>
    <x v="25"/>
    <n v="0"/>
    <x v="0"/>
    <s v="Accepted"/>
    <n v="0"/>
    <s v="yes"/>
    <n v="25000"/>
    <s v="paid"/>
  </r>
  <r>
    <s v="B0032172P001"/>
    <s v="SMA"/>
    <s v="Matriks"/>
    <s v="https://drive.google.com/open?id=1SGI8IMnVwtpDs8017qGqpVFmRGhdL-WH"/>
    <s v="B0032172P001"/>
    <d v="2021-02-16T00:00:00"/>
    <d v="2021-02-23T00:00:00"/>
    <n v="-853"/>
    <x v="25"/>
    <n v="0"/>
    <x v="0"/>
    <s v="Accepted"/>
    <n v="0"/>
    <s v="no"/>
    <n v="20000"/>
    <s v="paid"/>
  </r>
  <r>
    <s v="M3200082E004"/>
    <s v="SMA"/>
    <s v="Persamaan Dan Pertidaksamaan Linear Satu Variabel Wajib"/>
    <s v="https://drive.google.com/open?id=1MRbW_CrXgPE4XDulno4gS6t6lq3xwpBi"/>
    <s v="M3200082E004"/>
    <d v="2021-02-23T00:00:00"/>
    <d v="2021-03-02T00:00:00"/>
    <n v="-846"/>
    <x v="26"/>
    <n v="0"/>
    <x v="0"/>
    <s v="Accepted"/>
    <n v="0"/>
    <s v="no"/>
    <n v="20000"/>
    <s v="paid"/>
  </r>
  <r>
    <s v="M3200151E001"/>
    <s v="SMA"/>
    <s v="Persamaan Dan Pertidaksamaan Linear Satu Variabel Wajib"/>
    <s v="https://drive.google.com/open?id=1BPpEi_RHCSaJZxPZjIZF0QZmyG4i52Rg"/>
    <s v="M3200151E001"/>
    <d v="2021-02-23T00:00:00"/>
    <d v="2021-03-02T00:00:00"/>
    <n v="-846"/>
    <x v="26"/>
    <n v="0"/>
    <x v="0"/>
    <s v="Accepted"/>
    <n v="0"/>
    <s v="no"/>
    <n v="20000"/>
    <s v="paid"/>
  </r>
  <r>
    <s v="M3200151E002"/>
    <s v="SMA"/>
    <s v="Persamaan Dan Pertidaksamaan Linear Satu Variabel Wajib"/>
    <s v="https://drive.google.com/open?id=1YP511R8ovm43eenizJ_RjljOMUHTStQI"/>
    <s v="M3200151E002"/>
    <d v="2021-02-23T00:00:00"/>
    <d v="2021-03-02T00:00:00"/>
    <n v="-846"/>
    <x v="26"/>
    <n v="0"/>
    <x v="0"/>
    <s v="Accepted"/>
    <n v="1"/>
    <s v="no"/>
    <n v="20000"/>
    <s v="paid"/>
  </r>
  <r>
    <s v="M2111081E003"/>
    <s v="SMP"/>
    <s v="Transformasi Geometri"/>
    <s v="https://drive.google.com/open?id=1qOQniQZpuZHFfjppvIm9WwDfIHNaAcBG"/>
    <s v="M2111081E003"/>
    <d v="2021-02-16T00:00:00"/>
    <d v="2021-02-23T00:00:00"/>
    <n v="-853"/>
    <x v="27"/>
    <n v="0"/>
    <x v="0"/>
    <s v="Accepted"/>
    <n v="1"/>
    <s v="yes"/>
    <n v="18000"/>
    <s v="paid"/>
  </r>
  <r>
    <s v="M2671861P006"/>
    <s v="SMA"/>
    <s v="Dimensi Tiga"/>
    <s v="https://drive.google.com/open?id=1wDAWCGTSc4SkkIocynnSqtq4amlWJh7P"/>
    <s v="M2671861P006"/>
    <d v="2021-02-16T00:00:00"/>
    <d v="2021-02-23T00:00:00"/>
    <n v="-853"/>
    <x v="27"/>
    <n v="0"/>
    <x v="0"/>
    <s v="Accepted"/>
    <n v="0"/>
    <s v="no"/>
    <n v="20000"/>
    <s v="paid"/>
  </r>
  <r>
    <s v="B0031162E001"/>
    <s v="SMA"/>
    <s v="Matriks"/>
    <s v="https://drive.google.com/open?id=1MaSizkB7q7qS300-wvCDWUmQosZiwXDv"/>
    <s v="B0031162E001"/>
    <d v="2021-02-16T00:00:00"/>
    <d v="2021-02-23T00:00:00"/>
    <n v="-853"/>
    <x v="27"/>
    <n v="0"/>
    <x v="0"/>
    <s v="Accepted"/>
    <n v="1"/>
    <s v="no"/>
    <n v="20000"/>
    <s v="paid"/>
  </r>
  <r>
    <s v="B0031762E001"/>
    <s v="SMA"/>
    <s v="Matriks"/>
    <s v="https://drive.google.com/open?id=1zu2sZGwucDI5wvBU2e1QzTcNwzqWBDIl"/>
    <s v="B0031762E001"/>
    <d v="2021-02-16T00:00:00"/>
    <d v="2021-02-23T00:00:00"/>
    <n v="-853"/>
    <x v="27"/>
    <n v="0"/>
    <x v="0"/>
    <s v="Accepted"/>
    <n v="1"/>
    <s v="yes"/>
    <n v="25000"/>
    <s v="paid"/>
  </r>
  <r>
    <s v="B0032132a002"/>
    <s v="SMA"/>
    <s v="Matriks"/>
    <s v="https://drive.google.com/open?id=1C162ZFY9n9lI-BLBg7ZEjudArxVfef1_"/>
    <s v="B0032132a002"/>
    <d v="2021-02-16T00:00:00"/>
    <d v="2021-02-23T00:00:00"/>
    <n v="-853"/>
    <x v="27"/>
    <n v="0"/>
    <x v="0"/>
    <s v="Accepted"/>
    <n v="0"/>
    <s v="no"/>
    <n v="20000"/>
    <s v="paid"/>
  </r>
  <r>
    <s v="M3200082E002"/>
    <s v="SMA"/>
    <s v="Persamaan Dan Pertidaksamaan Linear Satu Variabel Wajib"/>
    <s v="https://drive.google.com/open?id=1eghSKEPqgJ6cz3d1pyvAvKvndqeVFutZ"/>
    <s v="M3200082E002"/>
    <d v="2021-02-23T00:00:00"/>
    <d v="2021-03-02T00:00:00"/>
    <n v="-846"/>
    <x v="27"/>
    <n v="0"/>
    <x v="0"/>
    <s v="Accepted"/>
    <n v="0"/>
    <s v="no"/>
    <n v="20000"/>
    <s v="paid"/>
  </r>
  <r>
    <s v="M3200082E003"/>
    <s v="SMA"/>
    <s v="Persamaan Dan Pertidaksamaan Linear Satu Variabel Wajib"/>
    <s v="https://drive.google.com/open?id=1ZqnIUZL7OqOO6TwxsoeK4wlQwp3GnaKs"/>
    <s v="M3200082E003"/>
    <d v="2021-02-23T00:00:00"/>
    <d v="2021-03-02T00:00:00"/>
    <n v="-846"/>
    <x v="27"/>
    <n v="0"/>
    <x v="0"/>
    <s v="Accepted"/>
    <n v="0"/>
    <s v="no"/>
    <n v="20000"/>
    <s v="paid"/>
  </r>
  <r>
    <s v="M3200092E005"/>
    <s v="SMA"/>
    <s v="Persamaan Dan Pertidaksamaan Linear Satu Variabel Wajib"/>
    <s v="https://drive.google.com/open?id=1aFEe_IIOk4-JRq81wIxQ02fillWqp6yD"/>
    <s v="M3200092E005"/>
    <d v="2021-02-23T00:00:00"/>
    <d v="2021-03-02T00:00:00"/>
    <n v="-846"/>
    <x v="27"/>
    <n v="0"/>
    <x v="0"/>
    <s v="Accepted"/>
    <n v="0"/>
    <s v="no"/>
    <n v="20000"/>
    <s v="paid"/>
  </r>
  <r>
    <s v="M3200121E001"/>
    <s v="SMA"/>
    <s v="Persamaan Dan Pertidaksamaan Linear Satu Variabel Wajib"/>
    <s v="https://drive.google.com/open?id=1epcNPyRKeX4JNuussZjNlkjdMQxttkod"/>
    <s v="M3200121E001"/>
    <d v="2021-02-23T00:00:00"/>
    <d v="2021-03-02T00:00:00"/>
    <n v="-846"/>
    <x v="27"/>
    <n v="0"/>
    <x v="0"/>
    <s v="Accepted"/>
    <n v="1"/>
    <s v="no"/>
    <n v="20000"/>
    <s v="paid"/>
  </r>
  <r>
    <s v="M3200121E002"/>
    <s v="SMA"/>
    <s v="Persamaan Dan Pertidaksamaan Linear Satu Variabel Wajib"/>
    <s v="https://drive.google.com/open?id=1ECWwgYs9moiXgFEg_WY4YuDqYMDnQS6v"/>
    <s v="M3200121E002"/>
    <d v="2021-02-23T00:00:00"/>
    <d v="2021-03-02T00:00:00"/>
    <n v="-846"/>
    <x v="27"/>
    <n v="0"/>
    <x v="0"/>
    <s v="Accepted"/>
    <n v="1"/>
    <s v="no"/>
    <n v="20000"/>
    <s v="paid"/>
  </r>
  <r>
    <s v="C0040011P003"/>
    <s v="SMA"/>
    <s v="Persamaan Trigonometri"/>
    <s v="https://drive.google.com/open?id=1XkRVCsz4y-TLz5q8IW8S52ldLCcHyQpi"/>
    <s v="C0040011P003"/>
    <d v="2020-10-20T00:00:00"/>
    <d v="2020-10-27T00:00:00"/>
    <n v="-972"/>
    <x v="28"/>
    <n v="0"/>
    <x v="0"/>
    <s v="Accepted"/>
    <n v="0"/>
    <s v="no"/>
    <n v="20000"/>
    <s v="paid"/>
  </r>
  <r>
    <s v="C0171481P035"/>
    <s v="SMP"/>
    <s v="Kesebangunan Dan Kongruensi"/>
    <s v="https://drive.google.com/open?id=1EzoN4Zv85JUAXWfHU5DzPKGvJmKFjbJ1"/>
    <s v="C0171481P035"/>
    <d v="2020-11-13T00:00:00"/>
    <d v="2020-11-20T00:00:00"/>
    <n v="-948"/>
    <x v="28"/>
    <n v="0"/>
    <x v="0"/>
    <s v="Accepted"/>
    <n v="0"/>
    <s v="yes"/>
    <n v="18000"/>
    <s v="paid"/>
  </r>
  <r>
    <s v="M1083201P044"/>
    <s v="SMA"/>
    <s v="Integral"/>
    <s v="https://drive.google.com/open?id=1h93iXLjEQDwt1BxgIzKTnxOXZuaM-Rdc"/>
    <s v="M1083201P044"/>
    <d v="2020-12-23T00:00:00"/>
    <d v="2020-12-30T00:00:00"/>
    <n v="-908"/>
    <x v="28"/>
    <n v="0"/>
    <x v="0"/>
    <s v="Accepted"/>
    <n v="0"/>
    <s v="no"/>
    <n v="20000"/>
    <s v="paid"/>
  </r>
  <r>
    <s v="M2671051P016"/>
    <s v="SMA"/>
    <s v="Dimensi Tiga"/>
    <s v="https://drive.google.com/open?id=1W3iDlw6B4FjLPLuqDKSJZk1RO-zk8D37"/>
    <s v="M2671051P016"/>
    <d v="2021-02-03T00:00:00"/>
    <d v="2021-02-10T00:00:00"/>
    <n v="-866"/>
    <x v="28"/>
    <n v="0"/>
    <x v="0"/>
    <s v="Accepted"/>
    <n v="0"/>
    <s v="no"/>
    <n v="20000"/>
    <s v="paid"/>
  </r>
  <r>
    <s v="B0101021P020"/>
    <s v="SMA"/>
    <s v="Limit Fungsi"/>
    <s v="https://drive.google.com/open?id=1N7wm2JWxFx794hbVcIpyLTXfuJ0oprDc"/>
    <s v="B0101021P020"/>
    <d v="2021-02-03T00:00:00"/>
    <d v="2021-02-10T00:00:00"/>
    <n v="-866"/>
    <x v="28"/>
    <n v="0"/>
    <x v="0"/>
    <s v="Accepted"/>
    <n v="0"/>
    <s v="no"/>
    <n v="20000"/>
    <s v="paid"/>
  </r>
  <r>
    <s v="M2640351P044"/>
    <s v="SMA"/>
    <s v="Sistem Pertidaksamaan Dua Variabel"/>
    <s v="https://drive.google.com/open?id=1moHA_0PYjuGFE1wnfRs4dLlyi0JUgoSH"/>
    <s v="M2640351P044"/>
    <d v="2021-02-05T00:00:00"/>
    <d v="2021-02-12T00:00:00"/>
    <n v="-864"/>
    <x v="28"/>
    <n v="0"/>
    <x v="0"/>
    <s v="Accepted"/>
    <n v="0"/>
    <s v="no"/>
    <n v="20000"/>
    <s v="paid"/>
  </r>
  <r>
    <s v="M2640371P053"/>
    <s v="SMA"/>
    <s v="Sistem Pertidaksamaan Dua Variabel"/>
    <s v="https://drive.google.com/open?id=14RUEOV9hD9gejk9fWCu7hf_WOR6nFlbO"/>
    <s v="M2640371P053"/>
    <d v="2021-02-05T00:00:00"/>
    <d v="2021-02-12T00:00:00"/>
    <n v="-864"/>
    <x v="28"/>
    <n v="0"/>
    <x v="0"/>
    <s v="Accepted"/>
    <n v="0"/>
    <s v="yes"/>
    <n v="25000"/>
    <s v="paid"/>
  </r>
  <r>
    <s v="B0031322E001"/>
    <s v="SMA"/>
    <s v="Matriks"/>
    <s v="https://drive.google.com/open?id=17AvdEiBIavoUSM810lYxNmKXhGEAsezw"/>
    <s v="B0031322E001"/>
    <d v="2021-02-16T00:00:00"/>
    <d v="2021-02-23T00:00:00"/>
    <n v="-853"/>
    <x v="28"/>
    <n v="0"/>
    <x v="0"/>
    <s v="Accepted"/>
    <n v="0"/>
    <s v="no"/>
    <n v="20000"/>
    <s v="paid"/>
  </r>
  <r>
    <s v="M1083201P045"/>
    <s v="SMA"/>
    <s v="Integral"/>
    <s v="https://drive.google.com/open?id=1aX5Y-64J1HEQRlzagLnzv9MNPbpkEIGp"/>
    <s v="M1083201P045"/>
    <d v="2020-12-23T00:00:00"/>
    <d v="2020-12-30T00:00:00"/>
    <n v="-908"/>
    <x v="29"/>
    <n v="0"/>
    <x v="0"/>
    <s v="Accepted"/>
    <n v="0"/>
    <s v="no"/>
    <n v="20000"/>
    <s v="paid"/>
  </r>
  <r>
    <s v="M1083201P046"/>
    <s v="SMA"/>
    <s v="Integral"/>
    <s v="https://drive.google.com/open?id=1EM5TnsafzvS9EuMWznAqByRn5OYolxvS"/>
    <s v="M1083201P046"/>
    <d v="2020-12-23T00:00:00"/>
    <d v="2020-12-30T00:00:00"/>
    <n v="-908"/>
    <x v="29"/>
    <n v="0"/>
    <x v="0"/>
    <s v="Accepted"/>
    <n v="1"/>
    <s v="no"/>
    <n v="20000"/>
    <s v="paid"/>
  </r>
  <r>
    <s v="M2900811P051"/>
    <s v="SMA"/>
    <s v="Fungsi"/>
    <s v="https://drive.google.com/open?id=1IwPKzNETwXnMTUO8DrYGV2QBbj2TmHe7"/>
    <s v="M2900811P051"/>
    <d v="2021-01-22T00:00:00"/>
    <d v="2021-01-29T00:00:00"/>
    <n v="-878"/>
    <x v="29"/>
    <n v="0"/>
    <x v="0"/>
    <s v="Accepted"/>
    <n v="0"/>
    <s v="no"/>
    <n v="20000"/>
    <s v="paid"/>
  </r>
  <r>
    <s v="M2640662E008"/>
    <s v="SMA"/>
    <s v="Sistem Pertidaksamaan Dua Variabel"/>
    <s v="https://drive.google.com/open?id=15BpRggrDZgn3LNE1hVWbFpUYlTAYE6oN"/>
    <s v="M2640662E008"/>
    <d v="2021-02-05T00:00:00"/>
    <d v="2021-02-12T00:00:00"/>
    <n v="-864"/>
    <x v="29"/>
    <n v="0"/>
    <x v="0"/>
    <s v="Accepted"/>
    <n v="0"/>
    <s v="yes"/>
    <n v="25000"/>
    <s v="paid"/>
  </r>
  <r>
    <s v="M2650261E005"/>
    <s v="SMA"/>
    <s v="Sistem Persamaan Linear"/>
    <s v="https://drive.google.com/open?id=1zW08dDm6w4pzj5BJZtkP6DTRD1_GsYTH"/>
    <s v="M2650261E005"/>
    <d v="2021-02-05T00:00:00"/>
    <d v="2021-02-12T00:00:00"/>
    <n v="-864"/>
    <x v="29"/>
    <n v="0"/>
    <x v="0"/>
    <s v="Accepted"/>
    <n v="0"/>
    <s v="no"/>
    <n v="20000"/>
    <s v="paid"/>
  </r>
  <r>
    <s v="M1800881E002"/>
    <s v="SMA"/>
    <s v="Peluang Wajib"/>
    <s v="https://drive.google.com/open?id=1sm2wVddua3mRlch7N-G1dIg-CwFeCLRH"/>
    <s v="M1800881E002"/>
    <d v="2021-02-16T00:00:00"/>
    <d v="2021-02-23T00:00:00"/>
    <n v="-853"/>
    <x v="29"/>
    <n v="0"/>
    <x v="0"/>
    <s v="Accepted"/>
    <n v="0"/>
    <s v="yes"/>
    <n v="25000"/>
    <s v="paid"/>
  </r>
  <r>
    <s v="M1172291P012"/>
    <s v="SMA"/>
    <s v="Sistem Pertidaksamaan Dua Variabel"/>
    <s v="https://drive.google.com/open?id=1NT60xg9wXpX7nOoh6oXXjMgdntEwY4tm"/>
    <s v="M1172291P012"/>
    <d v="2021-02-16T00:00:00"/>
    <d v="2021-02-23T00:00:00"/>
    <n v="-853"/>
    <x v="29"/>
    <n v="0"/>
    <x v="0"/>
    <s v="Accepted"/>
    <n v="0"/>
    <s v="yes"/>
    <n v="25000"/>
    <s v="paid"/>
  </r>
  <r>
    <s v="A0021114P023"/>
    <s v="SMP"/>
    <s v="Aritmetika Sosial (Aplikasi Aljabar)"/>
    <s v="https://drive.google.com/open?id=1OyiP7GgZiqtWgYVBimXWbcSFVU3Krp-1"/>
    <s v="A0021114P023"/>
    <d v="2021-01-20T00:00:00"/>
    <d v="2021-01-27T00:00:00"/>
    <n v="-880"/>
    <x v="30"/>
    <n v="0"/>
    <x v="0"/>
    <s v="Accepted"/>
    <n v="0"/>
    <s v="no"/>
    <n v="15000"/>
    <s v="paid"/>
  </r>
  <r>
    <s v="B0032022E002"/>
    <s v="SMA"/>
    <s v="Matriks"/>
    <s v="https://drive.google.com/open?id=18tjxzIV5vedSwUClfx9-Ynl2JiZ0h05H"/>
    <s v="B0032022E002"/>
    <d v="2021-02-16T00:00:00"/>
    <d v="2021-02-23T00:00:00"/>
    <n v="-853"/>
    <x v="30"/>
    <n v="0"/>
    <x v="0"/>
    <s v="Accepted"/>
    <n v="0"/>
    <s v="no"/>
    <n v="20000"/>
    <s v="paid"/>
  </r>
  <r>
    <s v="B0032212E001"/>
    <s v="SMA"/>
    <s v="Matriks"/>
    <s v="https://drive.google.com/open?id=1DflnGbNLkCjm5q7DHqCzgZMFZ8ctdxLI"/>
    <s v="B0032212E001"/>
    <d v="2021-02-16T00:00:00"/>
    <d v="2021-02-23T00:00:00"/>
    <n v="-853"/>
    <x v="30"/>
    <n v="0"/>
    <x v="0"/>
    <s v="Accepted"/>
    <n v="1"/>
    <s v="yes"/>
    <n v="25000"/>
    <s v="paid"/>
  </r>
  <r>
    <s v="M3200121E003"/>
    <s v="SMA"/>
    <s v="Persamaan Dan Pertidaksamaan Linear Satu Variabel Wajib"/>
    <s v="https://drive.google.com/open?id=18sqNGuOAfyjmjcSPrkMBgktY1_vqnM5i"/>
    <s v="M3200121E003"/>
    <d v="2021-02-23T00:00:00"/>
    <d v="2021-03-02T00:00:00"/>
    <n v="-846"/>
    <x v="30"/>
    <n v="0"/>
    <x v="0"/>
    <s v="Accepted"/>
    <n v="0"/>
    <s v="no"/>
    <n v="20000"/>
    <s v="paid"/>
  </r>
  <r>
    <s v="M3200121E004"/>
    <s v="SMA"/>
    <s v="Persamaan Dan Pertidaksamaan Linear Satu Variabel Wajib"/>
    <s v="https://drive.google.com/open?id=1L6S3FEz8H8Lj7MO6rge-Bl8qMirsL6X2"/>
    <s v="M3200121E004"/>
    <d v="2021-02-23T00:00:00"/>
    <d v="2021-03-02T00:00:00"/>
    <n v="-846"/>
    <x v="30"/>
    <n v="0"/>
    <x v="0"/>
    <s v="Accepted"/>
    <n v="1"/>
    <s v="no"/>
    <n v="20000"/>
    <s v="paid"/>
  </r>
  <r>
    <s v="A0030469E005"/>
    <s v="SMA"/>
    <s v="Barisan"/>
    <s v="https://drive.google.com/open?id=1LjlNjKsqgPLXCRK9VCLKBH6et5o97IJ5"/>
    <s v="A0030469E005"/>
    <d v="2021-03-09T00:00:00"/>
    <d v="2021-03-16T00:00:00"/>
    <n v="-832"/>
    <x v="31"/>
    <n v="0"/>
    <x v="0"/>
    <s v="Accepted"/>
    <n v="0"/>
    <s v="no"/>
    <n v="20000"/>
    <s v="paid"/>
  </r>
  <r>
    <s v="B0031712E001"/>
    <s v="SMA"/>
    <s v="Matriks"/>
    <s v="https://drive.google.com/open?id=1dhTjsnnznoRTulZKmIQ6cqLOQT6YjiyV"/>
    <s v="B0031712E001"/>
    <d v="2021-03-09T00:00:00"/>
    <d v="2021-03-16T00:00:00"/>
    <n v="-832"/>
    <x v="31"/>
    <n v="0"/>
    <x v="0"/>
    <s v="Accepted"/>
    <n v="0"/>
    <s v="no"/>
    <n v="20000"/>
    <s v="paid"/>
  </r>
  <r>
    <s v="M2904071P171"/>
    <s v="SMA"/>
    <s v="Statistika Wajib"/>
    <s v="https://drive.google.com/open?id=1vgXpLJcWlb21CEHn_C1HW8UCrjoU6UmP"/>
    <s v="M2904071P171"/>
    <d v="2021-03-09T00:00:00"/>
    <d v="2021-03-16T00:00:00"/>
    <n v="-832"/>
    <x v="31"/>
    <n v="0"/>
    <x v="0"/>
    <s v="Accepted"/>
    <n v="0"/>
    <s v="yes"/>
    <n v="25000"/>
    <s v="paid"/>
  </r>
  <r>
    <s v="M2970451P006"/>
    <s v="SMA"/>
    <s v="Sistem Persamaan Dua Variabel"/>
    <s v="https://drive.google.com/open?id=135iCVVquStfJbUFXswmHsajc6hh2GVUH"/>
    <s v="M2970451P006"/>
    <d v="2021-03-09T00:00:00"/>
    <d v="2021-03-16T00:00:00"/>
    <n v="-832"/>
    <x v="31"/>
    <n v="0"/>
    <x v="0"/>
    <s v="Accepted"/>
    <n v="1"/>
    <s v="yes"/>
    <n v="25000"/>
    <s v="paid"/>
  </r>
  <r>
    <s v="B0032252E001"/>
    <s v="SMA"/>
    <s v="Persamaan Trigonometri"/>
    <s v="https://drive.google.com/open?id=1ZrcrB5fIcaptbPkWyIPlJMSPBNzACI0C"/>
    <s v="B0032252E001"/>
    <d v="2021-02-16T00:00:00"/>
    <d v="2021-02-23T00:00:00"/>
    <n v="-853"/>
    <x v="32"/>
    <n v="0"/>
    <x v="0"/>
    <s v="Accepted"/>
    <n v="0"/>
    <s v="no"/>
    <n v="20000"/>
    <s v="paid"/>
  </r>
  <r>
    <s v="M2901871P094"/>
    <s v="SMA"/>
    <s v="Program Linear"/>
    <s v="https://drive.google.com/open?id=1oBIRNE4SlB79Hd3Rq-cXQzILl2ZZrE7R"/>
    <s v="M2901871P094"/>
    <d v="2021-03-09T00:00:00"/>
    <d v="2021-03-16T00:00:00"/>
    <n v="-832"/>
    <x v="32"/>
    <n v="0"/>
    <x v="0"/>
    <s v="Accepted"/>
    <n v="0"/>
    <s v="no"/>
    <n v="20000"/>
    <s v="paid"/>
  </r>
  <r>
    <s v="M3010193E014"/>
    <s v="SMA"/>
    <s v="Sistem Pertidaksamaan Dua Variabel"/>
    <s v="https://drive.google.com/open?id=1uXYAsIS0gWVhrVvxpF2YviEQmw1b53R7"/>
    <s v="M3010193E014"/>
    <d v="2021-03-09T00:00:00"/>
    <d v="2021-03-16T00:00:00"/>
    <n v="-832"/>
    <x v="32"/>
    <n v="0"/>
    <x v="0"/>
    <s v="Accepted"/>
    <n v="0"/>
    <s v="yes"/>
    <n v="25000"/>
    <s v="paid"/>
  </r>
  <r>
    <s v="M1013933P003"/>
    <s v="SMA"/>
    <s v="Turunan"/>
    <s v="https://drive.google.com/open?id=14hSV_ZzBuUOmbjAlWvs6PUxl-n0CdKuf"/>
    <s v="M1013933P003"/>
    <d v="2021-03-09T00:00:00"/>
    <d v="2021-03-16T00:00:00"/>
    <n v="-832"/>
    <x v="32"/>
    <n v="0"/>
    <x v="0"/>
    <s v="Accepted"/>
    <n v="0"/>
    <s v="yes"/>
    <n v="25000"/>
    <s v="paid"/>
  </r>
  <r>
    <s v="M2942461P003"/>
    <s v="SMA"/>
    <s v="Program Linear"/>
    <s v="https://drive.google.com/open?id=17Dj4htzs4P3CcPKPqPp3nmoJhODwNVRf"/>
    <s v="M2942461P003"/>
    <d v="2021-02-16T00:00:00"/>
    <d v="2021-02-23T00:00:00"/>
    <n v="-853"/>
    <x v="33"/>
    <n v="0"/>
    <x v="0"/>
    <s v="Accepted"/>
    <n v="0"/>
    <s v="yes"/>
    <n v="25000"/>
    <s v="paid"/>
  </r>
  <r>
    <s v="M2631351c001"/>
    <s v="SMA"/>
    <s v="Fungsi"/>
    <s v="https://drive.google.com/open?id=1RIJRdmPDMz1sOrJwFgpjeodO4X0enCl8"/>
    <s v="M2631351c001"/>
    <d v="2021-03-16T00:00:00"/>
    <d v="2021-03-23T00:00:00"/>
    <n v="-825"/>
    <x v="33"/>
    <n v="0"/>
    <x v="0"/>
    <s v="Accepted"/>
    <n v="0"/>
    <s v="yes"/>
    <n v="25000"/>
    <s v="paid"/>
  </r>
  <r>
    <s v="B0113201E001"/>
    <s v="SMA"/>
    <s v="Peluang Wajib"/>
    <s v="https://drive.google.com/open?id=1ujv5QAEQ0ebN1DXmXbdSp7bTwKr5CQFj"/>
    <s v="B0113201E001"/>
    <d v="2021-03-17T00:00:00"/>
    <d v="2021-03-24T00:00:00"/>
    <n v="-824"/>
    <x v="33"/>
    <n v="0"/>
    <x v="0"/>
    <s v="Accepted"/>
    <n v="0"/>
    <s v="yes"/>
    <n v="25000"/>
    <s v="paid"/>
  </r>
  <r>
    <s v="B0113211E001"/>
    <s v="SMA"/>
    <s v="Peluang Wajib"/>
    <s v="https://drive.google.com/open?id=1LibamCDpekL4OYIlJf5fYR9iXF4RTA2y"/>
    <s v="B0113211E001"/>
    <d v="2021-03-17T00:00:00"/>
    <d v="2021-03-24T00:00:00"/>
    <n v="-824"/>
    <x v="33"/>
    <n v="0"/>
    <x v="0"/>
    <s v="Accepted"/>
    <n v="0"/>
    <s v="no"/>
    <n v="20000"/>
    <s v="paid"/>
  </r>
  <r>
    <s v="B0113221E001"/>
    <s v="SMA"/>
    <s v="Peluang Wajib"/>
    <s v="https://drive.google.com/open?id=1A0SsbBkEPk5ofIRv8XHr_YPxdDiFJ8Hj"/>
    <s v="B0113221E001"/>
    <d v="2021-03-17T00:00:00"/>
    <d v="2021-03-24T00:00:00"/>
    <n v="-824"/>
    <x v="33"/>
    <n v="0"/>
    <x v="0"/>
    <s v="Accepted"/>
    <n v="0"/>
    <s v="yes"/>
    <n v="25000"/>
    <s v="paid"/>
  </r>
  <r>
    <s v="B0113241E034"/>
    <s v="SMA"/>
    <s v="Peluang Wajib"/>
    <s v="https://drive.google.com/open?id=1urog-tWfzETPVZ_sgeGI55NPWnMNhCTf"/>
    <s v="B0113241E034"/>
    <d v="2021-03-17T00:00:00"/>
    <d v="2021-03-24T00:00:00"/>
    <n v="-824"/>
    <x v="33"/>
    <n v="0"/>
    <x v="0"/>
    <s v="Accepted"/>
    <n v="0"/>
    <s v="no"/>
    <n v="20000"/>
    <s v="paid"/>
  </r>
  <r>
    <s v="B0113261E010"/>
    <s v="SMA"/>
    <s v="Peluang Wajib"/>
    <s v="https://drive.google.com/open?id=1tw2C2Z2bPRVt-Dm-TPaMAxAs-Qr-DAVm"/>
    <s v="B0113261E010"/>
    <d v="2021-03-17T00:00:00"/>
    <d v="2021-03-24T00:00:00"/>
    <n v="-824"/>
    <x v="33"/>
    <n v="0"/>
    <x v="0"/>
    <s v="Accepted"/>
    <n v="0"/>
    <s v="no"/>
    <n v="20000"/>
    <s v="paid"/>
  </r>
  <r>
    <s v="B0050771E001"/>
    <s v="SMA"/>
    <s v="Limit Fungsi Trigonometri"/>
    <s v="https://drive.google.com/open?id=1JdCTzeYne3Zdj9sI3bw5GQUnGgfb8rb7"/>
    <s v="B0050771E001"/>
    <d v="2021-03-18T00:00:00"/>
    <d v="2021-03-25T00:00:00"/>
    <n v="-823"/>
    <x v="34"/>
    <n v="0"/>
    <x v="0"/>
    <s v="Accepted"/>
    <n v="0"/>
    <s v="yes"/>
    <n v="25000"/>
    <s v="paid"/>
  </r>
  <r>
    <s v="B0050771E002"/>
    <s v="SMA"/>
    <s v="Limit Fungsi Trigonometri"/>
    <s v="https://drive.google.com/open?id=1vL6UHQRAmZi-7kTtSK1fv2RYORHAZH9l"/>
    <s v="B0050771E002"/>
    <d v="2021-03-18T00:00:00"/>
    <d v="2021-03-25T00:00:00"/>
    <n v="-823"/>
    <x v="34"/>
    <n v="0"/>
    <x v="0"/>
    <s v="Accepted"/>
    <n v="0"/>
    <s v="yes"/>
    <n v="25000"/>
    <s v="paid"/>
  </r>
  <r>
    <s v="B0050771E003"/>
    <s v="SMA"/>
    <s v="Limit Fungsi Trigonometri"/>
    <s v="https://drive.google.com/open?id=1mNSVdpAAAnnPVxe0V_XT2CDdfnxrQOmM"/>
    <s v="B0050771E003"/>
    <d v="2021-03-18T00:00:00"/>
    <d v="2021-03-25T00:00:00"/>
    <n v="-823"/>
    <x v="34"/>
    <n v="0"/>
    <x v="0"/>
    <s v="Accepted"/>
    <n v="0"/>
    <s v="yes"/>
    <n v="25000"/>
    <s v="paid"/>
  </r>
  <r>
    <s v="B0050771E004"/>
    <s v="SMA"/>
    <s v="Limit Fungsi Trigonometri"/>
    <s v="https://drive.google.com/open?id=1y9p9dFmZ-CiyBMV4KibLL0xf2RWNJfQ2"/>
    <s v="B0050771E004"/>
    <d v="2021-03-18T00:00:00"/>
    <d v="2021-03-25T00:00:00"/>
    <n v="-823"/>
    <x v="34"/>
    <n v="0"/>
    <x v="0"/>
    <s v="Accepted"/>
    <n v="2"/>
    <s v="yes"/>
    <n v="25000"/>
    <s v="paid"/>
  </r>
  <r>
    <s v="B0050771E005"/>
    <s v="SMA"/>
    <s v="Limit Fungsi Trigonometri"/>
    <s v="https://drive.google.com/open?id=1Xw8qELoVT7HvWPeLeazYQAQlSLU0t8Bs"/>
    <s v="B0050771E005"/>
    <d v="2021-03-18T00:00:00"/>
    <d v="2021-03-25T00:00:00"/>
    <n v="-823"/>
    <x v="34"/>
    <n v="0"/>
    <x v="0"/>
    <s v="Accepted"/>
    <n v="0"/>
    <s v="no"/>
    <n v="20000"/>
    <s v="paid"/>
  </r>
  <r>
    <s v="B0050771E006"/>
    <s v="SMA"/>
    <s v="Limit Fungsi Trigonometri"/>
    <s v="https://drive.google.com/open?id=1mUMOhL7iFYxHyg_dzEcccPRWSglMd9en"/>
    <s v="B0050771E006"/>
    <d v="2021-03-18T00:00:00"/>
    <d v="2021-03-25T00:00:00"/>
    <n v="-823"/>
    <x v="34"/>
    <n v="0"/>
    <x v="0"/>
    <s v="Accepted"/>
    <n v="0"/>
    <s v="yes"/>
    <n v="25000"/>
    <s v="paid"/>
  </r>
  <r>
    <s v="M3260171E003"/>
    <s v="SMA"/>
    <s v="Dimensi Tiga"/>
    <s v="https://drive.google.com/open?id=1DWyoNVY6gue_lY3iWBR2lr7hW7YCILfS"/>
    <s v="M3260171E003"/>
    <d v="2021-03-23T00:00:00"/>
    <d v="2021-03-30T00:00:00"/>
    <n v="-818"/>
    <x v="35"/>
    <n v="0"/>
    <x v="0"/>
    <s v="Accepted"/>
    <n v="0"/>
    <s v="yes"/>
    <n v="25000"/>
    <s v="paid"/>
  </r>
  <r>
    <s v="B0112781P001"/>
    <s v="SMA"/>
    <s v="Peluang Wajib"/>
    <s v="https://drive.google.com/open?id=1_5idWnKJNLZD3ANkLPy66MpDP31z_7Kv"/>
    <s v="B0112781P001"/>
    <d v="2021-03-23T00:00:00"/>
    <d v="2021-03-30T00:00:00"/>
    <n v="-818"/>
    <x v="35"/>
    <n v="0"/>
    <x v="0"/>
    <s v="Accepted"/>
    <n v="0"/>
    <s v="yes"/>
    <n v="25000"/>
    <s v="paid"/>
  </r>
  <r>
    <s v="M3272721b002"/>
    <s v="SMA"/>
    <s v="Trigonometri"/>
    <s v="https://drive.google.com/open?id=1tB75TRls73zVACrditj7kSJg4pETRIhD"/>
    <s v="M3272721b002"/>
    <d v="2021-03-23T00:00:00"/>
    <d v="2021-03-30T00:00:00"/>
    <n v="-818"/>
    <x v="35"/>
    <n v="0"/>
    <x v="0"/>
    <s v="Accepted"/>
    <n v="0"/>
    <s v="no"/>
    <n v="20000"/>
    <s v="paid"/>
  </r>
  <r>
    <s v="M3240701P030"/>
    <s v="SMA"/>
    <s v="Grafik, Persamaan, Dan Pertidaksamaan Eksponen Dan Logaritma"/>
    <s v="https://drive.google.com/open?id=1U9cREgpcNFi2px0KjNAeiVlfQZC9HYr2"/>
    <s v="M3240701P030"/>
    <d v="2021-03-24T00:00:00"/>
    <d v="2021-03-31T00:00:00"/>
    <n v="-817"/>
    <x v="36"/>
    <n v="0"/>
    <x v="0"/>
    <s v="Accepted"/>
    <n v="0"/>
    <s v="no"/>
    <n v="20000"/>
    <s v="paid"/>
  </r>
  <r>
    <s v="M3240711P032"/>
    <s v="SMA"/>
    <s v="Grafik, Persamaan, Dan Pertidaksamaan Eksponen Dan Logaritma"/>
    <s v="https://drive.google.com/open?id=10AKY1PsYY-vO7VpWUWN2gi0suG9qnYzV"/>
    <s v="M3240711P032"/>
    <d v="2021-03-24T00:00:00"/>
    <d v="2021-03-31T00:00:00"/>
    <n v="-817"/>
    <x v="36"/>
    <n v="0"/>
    <x v="0"/>
    <s v="Accepted"/>
    <n v="0"/>
    <s v="yes"/>
    <n v="25000"/>
    <s v="paid"/>
  </r>
  <r>
    <s v="M3240711P034"/>
    <s v="SMA"/>
    <s v="Grafik, Persamaan, Dan Pertidaksamaan Eksponen Dan Logaritma"/>
    <s v="https://drive.google.com/open?id=1RAnNeLr-ZfC2E4UzvUcEPFted66S1OQj"/>
    <s v="M3240711P034"/>
    <d v="2021-03-24T00:00:00"/>
    <d v="2021-03-31T00:00:00"/>
    <n v="-817"/>
    <x v="36"/>
    <n v="0"/>
    <x v="0"/>
    <s v="Accepted"/>
    <n v="0"/>
    <s v="no"/>
    <n v="20000"/>
    <s v="paid"/>
  </r>
  <r>
    <s v="M3240711P035"/>
    <s v="SMA"/>
    <s v="Grafik, Persamaan, Dan Pertidaksamaan Eksponen Dan Logaritma"/>
    <s v="https://drive.google.com/open?id=1ApgNNa5wT1KV0FdBtCEQTnH-vLpEOWt_"/>
    <s v="M3240711P035"/>
    <d v="2021-03-24T00:00:00"/>
    <d v="2021-03-31T00:00:00"/>
    <n v="-817"/>
    <x v="36"/>
    <n v="0"/>
    <x v="0"/>
    <s v="Accepted"/>
    <n v="0"/>
    <s v="yes"/>
    <n v="25000"/>
    <s v="paid"/>
  </r>
  <r>
    <s v="M3240711P036"/>
    <s v="SMA"/>
    <s v="Grafik, Persamaan, Dan Pertidaksamaan Eksponen Dan Logaritma"/>
    <s v="https://drive.google.com/open?id=1ois1v59GKJKNbUFYqfLHQ0sKoSPF_1a3"/>
    <s v="M3240711P036"/>
    <d v="2021-03-24T00:00:00"/>
    <d v="2021-03-31T00:00:00"/>
    <n v="-817"/>
    <x v="36"/>
    <n v="0"/>
    <x v="0"/>
    <s v="Accepted"/>
    <n v="1"/>
    <s v="no"/>
    <n v="20000"/>
    <s v="paid"/>
  </r>
  <r>
    <s v="M3322701P022"/>
    <s v="SMA"/>
    <s v="Irisan Kerucut"/>
    <s v="https://drive.google.com/open?id=148HkmqL0tKREJiyyapUKY3rlzEwFCw0D"/>
    <s v="M3322701P022"/>
    <d v="2021-03-24T00:00:00"/>
    <d v="2021-03-31T00:00:00"/>
    <n v="-817"/>
    <x v="37"/>
    <n v="0"/>
    <x v="0"/>
    <s v="Accepted"/>
    <n v="0"/>
    <s v="no"/>
    <n v="20000"/>
    <s v="paid"/>
  </r>
  <r>
    <s v="M3322701P023"/>
    <s v="SMA"/>
    <s v="Irisan Kerucut"/>
    <s v="https://drive.google.com/open?id=1kpMiIb7kaSrM-GgXqN4sUmoEEhbdV5dX"/>
    <s v="M3322701P023"/>
    <d v="2021-03-24T00:00:00"/>
    <d v="2021-03-31T00:00:00"/>
    <n v="-817"/>
    <x v="37"/>
    <n v="0"/>
    <x v="0"/>
    <s v="Accepted"/>
    <n v="0"/>
    <s v="yes"/>
    <n v="25000"/>
    <s v="paid"/>
  </r>
  <r>
    <s v="M3322712E031"/>
    <s v="SMA"/>
    <s v="Sistem Persamaan Dua Variabel"/>
    <s v="https://drive.google.com/open?id=1MIG32bT3RIOeSizSXejQ2xOeApaj1T-G"/>
    <s v="M3322712E031"/>
    <d v="2021-03-24T00:00:00"/>
    <d v="2021-03-31T00:00:00"/>
    <n v="-817"/>
    <x v="37"/>
    <n v="0"/>
    <x v="0"/>
    <s v="Accepted"/>
    <n v="0"/>
    <s v="no"/>
    <n v="20000"/>
    <s v="paid"/>
  </r>
  <r>
    <s v="M3322711P028"/>
    <s v="SMA"/>
    <s v="Transformasi"/>
    <s v="https://drive.google.com/open?id=1n3xf8X4sbIewZYyyId6KVUbgg2Cdbwpb"/>
    <s v="M3322711P028"/>
    <d v="2021-03-24T00:00:00"/>
    <d v="2021-03-31T00:00:00"/>
    <n v="-817"/>
    <x v="38"/>
    <n v="0"/>
    <x v="0"/>
    <s v="Accepted"/>
    <n v="0"/>
    <s v="no"/>
    <n v="20000"/>
    <s v="paid"/>
  </r>
  <r>
    <s v="M0233251E001"/>
    <s v="SMA"/>
    <s v="Turunan"/>
    <s v="https://drive.google.com/open?id=1JOuZkHpUAEkGtzuoyvzrnzGlyZ2VS67q"/>
    <s v="M0233251E001"/>
    <d v="2021-03-27T00:00:00"/>
    <d v="2021-04-03T00:00:00"/>
    <n v="-814"/>
    <x v="39"/>
    <n v="0"/>
    <x v="0"/>
    <s v="Accepted"/>
    <n v="1"/>
    <s v="no"/>
    <n v="20000"/>
    <s v="paid"/>
  </r>
  <r>
    <s v="M0233251E003"/>
    <s v="SMA"/>
    <s v="Turunan"/>
    <s v="https://drive.google.com/open?id=18rYukd0_R1e8thVnem2HJYUEvx9xFHXk"/>
    <s v="M0233251E003"/>
    <d v="2021-03-27T00:00:00"/>
    <d v="2021-04-03T00:00:00"/>
    <n v="-814"/>
    <x v="39"/>
    <n v="0"/>
    <x v="0"/>
    <s v="Accepted"/>
    <n v="0"/>
    <s v="no"/>
    <n v="20000"/>
    <s v="paid"/>
  </r>
  <r>
    <s v="C0231722E001"/>
    <s v="SMA"/>
    <s v="Barisan"/>
    <s v="https://drive.google.com/open?id=1IyJtUSn-zyImbMfrs_oCLAUQnSqPEMY6"/>
    <s v="C0231722E001"/>
    <d v="2021-04-05T00:00:00"/>
    <d v="2021-04-12T00:00:00"/>
    <n v="-805"/>
    <x v="39"/>
    <n v="0"/>
    <x v="0"/>
    <s v="Accepted"/>
    <n v="0"/>
    <s v="no"/>
    <n v="20000"/>
    <s v="paid"/>
  </r>
  <r>
    <s v="C0630211b001"/>
    <s v="SMA"/>
    <s v="Program Linear"/>
    <s v="https://drive.google.com/open?id=1gYOuTgc9z04CvKeZLdO88j1fZsloncVJ"/>
    <s v="C0630211b001"/>
    <d v="2021-04-05T00:00:00"/>
    <d v="2021-04-12T00:00:00"/>
    <n v="-805"/>
    <x v="39"/>
    <n v="0"/>
    <x v="0"/>
    <s v="Accepted"/>
    <n v="0"/>
    <s v="no"/>
    <n v="20000"/>
    <s v="paid"/>
  </r>
  <r>
    <s v="M3060462E001"/>
    <s v="SMA"/>
    <s v="Turunan Fungsi Trigonometri"/>
    <s v="https://drive.google.com/open?id=1jk3K9ekGcN2q_UpMHmeiwwYuHfn7eCxT"/>
    <s v="M3060462E001"/>
    <d v="2021-04-07T00:00:00"/>
    <d v="2021-04-14T00:00:00"/>
    <n v="-803"/>
    <x v="40"/>
    <n v="0"/>
    <x v="0"/>
    <s v="Accepted"/>
    <n v="1"/>
    <s v="yes"/>
    <n v="25000"/>
    <s v="paid"/>
  </r>
  <r>
    <s v="M3060462E002"/>
    <s v="SMA"/>
    <s v="Turunan Fungsi Trigonometri"/>
    <s v="https://drive.google.com/open?id=1F5_Y1SvXrnNA3ThIVaW2OYRBxj-fUg-X"/>
    <s v="M3060462E002"/>
    <d v="2021-04-07T00:00:00"/>
    <d v="2021-04-14T00:00:00"/>
    <n v="-803"/>
    <x v="40"/>
    <n v="0"/>
    <x v="0"/>
    <s v="Accepted"/>
    <n v="0"/>
    <s v="yes"/>
    <n v="25000"/>
    <s v="paid"/>
  </r>
  <r>
    <s v="M3060471E002"/>
    <s v="SMA"/>
    <s v="Turunan Fungsi Trigonometri"/>
    <s v="https://drive.google.com/open?id=1mcXF3P_AzD8sFOqkWMLJ_t6QJJCP6oUR"/>
    <s v="M3060471E002"/>
    <d v="2021-04-07T00:00:00"/>
    <d v="2021-04-14T00:00:00"/>
    <n v="-803"/>
    <x v="40"/>
    <n v="0"/>
    <x v="0"/>
    <s v="Accepted"/>
    <n v="0"/>
    <s v="no"/>
    <n v="20000"/>
    <s v="paid"/>
  </r>
  <r>
    <s v="M3060471E003"/>
    <s v="SMA"/>
    <s v="Turunan Fungsi Trigonometri"/>
    <s v="https://drive.google.com/open?id=1_VgbAhK1Ep8X63-Esucs-fUJt0FGxbMI"/>
    <s v="M3060471E003"/>
    <d v="2021-04-07T00:00:00"/>
    <d v="2021-04-14T00:00:00"/>
    <n v="-803"/>
    <x v="40"/>
    <n v="0"/>
    <x v="0"/>
    <s v="Accepted"/>
    <n v="0"/>
    <s v="yes"/>
    <n v="25000"/>
    <s v="paid"/>
  </r>
  <r>
    <s v="M3060471E004"/>
    <s v="SMA"/>
    <s v="Turunan Fungsi Trigonometri"/>
    <s v="https://drive.google.com/open?id=1a9-2IHyEb2K6CfJpkT3UQAPi_0gOfcTI"/>
    <s v="M3060471E004"/>
    <d v="2021-04-07T00:00:00"/>
    <d v="2021-04-14T00:00:00"/>
    <n v="-803"/>
    <x v="40"/>
    <n v="0"/>
    <x v="0"/>
    <s v="Accepted"/>
    <n v="0"/>
    <s v="yes"/>
    <n v="25000"/>
    <s v="paid"/>
  </r>
  <r>
    <s v="M3070642a003"/>
    <s v="SMA"/>
    <s v="Grafik, Persamaan, Dan Pertidaksamaan Eksponen Dan Logaritma"/>
    <s v="https://drive.google.com/open?id=1ta1WwrC0_uL0Hl5-9geR9x9-YlK1ceKY"/>
    <s v="M3070642a003"/>
    <d v="2021-04-08T00:00:00"/>
    <d v="2021-04-15T00:00:00"/>
    <n v="-802"/>
    <x v="41"/>
    <n v="0"/>
    <x v="0"/>
    <s v="Accepted"/>
    <n v="0"/>
    <s v="no"/>
    <n v="20000"/>
    <s v="paid"/>
  </r>
  <r>
    <s v="M3070642b003"/>
    <s v="SMA"/>
    <s v="Grafik, Persamaan, Dan Pertidaksamaan Eksponen Dan Logaritma"/>
    <s v="https://drive.google.com/open?id=1o6SXhDdMnLamksb-FJKJDpOmEltjyee1"/>
    <s v="M3070642b003"/>
    <d v="2021-04-08T00:00:00"/>
    <d v="2021-04-15T00:00:00"/>
    <n v="-802"/>
    <x v="41"/>
    <n v="0"/>
    <x v="0"/>
    <s v="Accepted"/>
    <n v="0"/>
    <s v="yes"/>
    <n v="25000"/>
    <s v="paid"/>
  </r>
  <r>
    <s v="M3070642E002"/>
    <s v="SMA"/>
    <s v="Grafik, Persamaan, Dan Pertidaksamaan Eksponen Dan Logaritma"/>
    <s v="https://drive.google.com/open?id=1qreCVw-MSUdhYwB0yTLn1XGY_tthb_eK"/>
    <s v="M3070642E002"/>
    <d v="2021-04-08T00:00:00"/>
    <d v="2021-04-15T00:00:00"/>
    <n v="-802"/>
    <x v="41"/>
    <n v="0"/>
    <x v="0"/>
    <s v="Accepted"/>
    <n v="0"/>
    <s v="no"/>
    <n v="20000"/>
    <s v="paid"/>
  </r>
  <r>
    <s v="M3070651a001"/>
    <s v="SMA"/>
    <s v="Grafik, Persamaan, Dan Pertidaksamaan Eksponen Dan Logaritma"/>
    <s v="https://drive.google.com/open?id=1KCHU9Ycq2hVZ5uUuHOJ4RTeoutnJ1F9j"/>
    <s v="M3070651a001"/>
    <d v="2021-04-08T00:00:00"/>
    <d v="2021-04-15T00:00:00"/>
    <n v="-802"/>
    <x v="41"/>
    <n v="0"/>
    <x v="0"/>
    <s v="Accepted"/>
    <n v="0"/>
    <s v="no"/>
    <n v="20000"/>
    <s v="paid"/>
  </r>
  <r>
    <s v="M3070651b001"/>
    <s v="SMA"/>
    <s v="Grafik, Persamaan, Dan Pertidaksamaan Eksponen Dan Logaritma"/>
    <s v="https://drive.google.com/open?id=1oDHiSEiJtIclDk9cZ_noA7ab2Trba47L"/>
    <s v="M3070651b001"/>
    <d v="2021-04-08T00:00:00"/>
    <d v="2021-04-15T00:00:00"/>
    <n v="-802"/>
    <x v="41"/>
    <n v="0"/>
    <x v="0"/>
    <s v="Accepted"/>
    <n v="0"/>
    <s v="yes"/>
    <n v="25000"/>
    <s v="paid"/>
  </r>
  <r>
    <s v="M3070652E004"/>
    <s v="SMA"/>
    <s v="Grafik, Persamaan, Dan Pertidaksamaan Eksponen Dan Logaritma"/>
    <s v="https://drive.google.com/open?id=1WMO3L9-RcIy3oA_awhVT3oZPqpbKdMw7"/>
    <s v="M3070652E004"/>
    <d v="2021-04-08T00:00:00"/>
    <d v="2021-04-15T00:00:00"/>
    <n v="-802"/>
    <x v="41"/>
    <n v="0"/>
    <x v="0"/>
    <s v="Accepted"/>
    <n v="0"/>
    <s v="no"/>
    <n v="20000"/>
    <s v="paid"/>
  </r>
  <r>
    <s v="M3070661a002"/>
    <s v="SMA"/>
    <s v="Grafik, Persamaan, Dan Pertidaksamaan Eksponen Dan Logaritma"/>
    <s v="https://drive.google.com/open?id=1yEFYwLqplAnUtPQdYfhdGSFRXr_acLDc"/>
    <s v="M3070661a002"/>
    <d v="2021-04-08T00:00:00"/>
    <d v="2021-04-15T00:00:00"/>
    <n v="-802"/>
    <x v="41"/>
    <n v="0"/>
    <x v="0"/>
    <s v="Accepted"/>
    <n v="0"/>
    <s v="no"/>
    <n v="20000"/>
    <s v="paid"/>
  </r>
  <r>
    <s v="B0102091E004"/>
    <s v="SMA"/>
    <s v="Persamaan Lingkaran Dan Irisan Dua Lingkaran"/>
    <s v="https://drive.google.com/open?id=1-7Um2jHsksHF_B2NCCNnjCZwVCsphkeX"/>
    <s v="B0102091E004"/>
    <d v="2021-04-05T00:00:00"/>
    <d v="2021-04-12T00:00:00"/>
    <n v="-805"/>
    <x v="42"/>
    <n v="0"/>
    <x v="0"/>
    <s v="Accepted"/>
    <n v="0"/>
    <s v="yes"/>
    <n v="25000"/>
    <s v="paid"/>
  </r>
  <r>
    <s v="C0371981P025"/>
    <s v="SMA"/>
    <s v="Barisan"/>
    <s v="https://drive.google.com/open?id=1RBpTY0fHXnWLknoXqZPBwZYdG0KeoYgk"/>
    <s v="C0371981P025"/>
    <d v="2021-04-12T00:00:00"/>
    <d v="2021-04-19T00:00:00"/>
    <n v="-798"/>
    <x v="43"/>
    <n v="0"/>
    <x v="0"/>
    <s v="Accepted"/>
    <n v="0"/>
    <s v="no"/>
    <n v="20000"/>
    <s v="paid"/>
  </r>
  <r>
    <s v="C0630562E009"/>
    <s v="SMA"/>
    <s v="Matriks"/>
    <s v="https://drive.google.com/open?id=18GOd3GduPX6Dmevd3nNjhyWbB-fjnhlq"/>
    <s v="C0630562E009"/>
    <d v="2021-04-12T00:00:00"/>
    <d v="2021-04-19T00:00:00"/>
    <n v="-798"/>
    <x v="43"/>
    <n v="0"/>
    <x v="0"/>
    <s v="Accepted"/>
    <n v="0"/>
    <s v="no"/>
    <n v="20000"/>
    <s v="paid"/>
  </r>
  <r>
    <s v="M3060411P008"/>
    <s v="SMA"/>
    <s v="Limit Fungsi Trigonometri"/>
    <s v="https://drive.google.com/open?id=18HWUxSd7Cg9NuQE7sEzba-tnvHuaZtcf"/>
    <s v="M3060411P008"/>
    <d v="2021-04-12T00:00:00"/>
    <d v="2021-04-19T00:00:00"/>
    <n v="-798"/>
    <x v="43"/>
    <n v="0"/>
    <x v="0"/>
    <s v="Accepted"/>
    <n v="0"/>
    <s v="no"/>
    <n v="20000"/>
    <s v="paid"/>
  </r>
  <r>
    <s v="M3443282e002"/>
    <s v="SMA"/>
    <s v="Limit Fungsi"/>
    <s v="https://drive.google.com/open?id=1uVxTaxWHqAHajAsGq7hr_pNMUFs9F0wh"/>
    <s v="M3443282e002"/>
    <d v="2021-04-12T00:00:00"/>
    <d v="2021-04-19T00:00:00"/>
    <n v="-798"/>
    <x v="43"/>
    <n v="0"/>
    <x v="0"/>
    <s v="Accepted"/>
    <n v="1"/>
    <s v="no"/>
    <n v="20000"/>
    <s v="paid"/>
  </r>
  <r>
    <s v="M0960791E004"/>
    <s v="SMA"/>
    <s v="Irisan Kerucut"/>
    <s v="https://drive.google.com/open?id=168ea1nNXZCCHbXh-qsvl7VXYN4zpB_wn"/>
    <s v="M0960791E004"/>
    <d v="2021-04-12T00:00:00"/>
    <d v="2021-04-19T00:00:00"/>
    <n v="-798"/>
    <x v="43"/>
    <n v="0"/>
    <x v="0"/>
    <s v="Accepted"/>
    <n v="0"/>
    <s v="no"/>
    <n v="20000"/>
    <s v="paid"/>
  </r>
  <r>
    <s v="M3160382E005"/>
    <s v="SMA"/>
    <s v="Pertidaksamaan Rasional Dan Irasional Satu Variabel"/>
    <s v="https://drive.google.com/open?id=13qgQFk7OfFIQLdEJIkIzrXTNlb1Jym8A"/>
    <s v="M3160382E005"/>
    <d v="2021-04-12T00:00:00"/>
    <d v="2021-04-19T00:00:00"/>
    <n v="-798"/>
    <x v="43"/>
    <n v="0"/>
    <x v="0"/>
    <s v="Accepted"/>
    <n v="0"/>
    <s v="no"/>
    <n v="20000"/>
    <s v="paid"/>
  </r>
  <r>
    <s v="M3240722E002"/>
    <s v="SMA"/>
    <s v="Grafik, Persamaan, Dan Pertidaksamaan Eksponen Dan Logaritma"/>
    <s v="https://drive.google.com/open?id=1bZlHYwBWMFwJ5JjvRoQCbFsc_sOLb7BB"/>
    <s v="M3240722E002"/>
    <d v="2021-04-12T00:00:00"/>
    <d v="2021-04-19T00:00:00"/>
    <n v="-798"/>
    <x v="43"/>
    <n v="0"/>
    <x v="0"/>
    <s v="Accepted"/>
    <n v="0"/>
    <s v="no"/>
    <n v="20000"/>
    <s v="paid"/>
  </r>
  <r>
    <s v="A014V701E001"/>
    <s v="SMA"/>
    <s v="Program Linear"/>
    <s v="https://drive.google.com/open?id=1mo9Tj7xjWddYqUfzgBwhS80JyJ12NE5A"/>
    <s v="A014V701E001"/>
    <d v="2021-04-15T00:00:00"/>
    <d v="2021-04-22T00:00:00"/>
    <n v="-795"/>
    <x v="44"/>
    <n v="0"/>
    <x v="0"/>
    <s v="Accepted"/>
    <n v="0"/>
    <s v="yes"/>
    <n v="25000"/>
    <s v="paid"/>
  </r>
  <r>
    <s v="A014V901E001"/>
    <s v="SMA"/>
    <s v="Program Linear"/>
    <s v="https://drive.google.com/open?id=1OftdQWa8Y6Ybc00vPgqmR5wBPQgQvpVB"/>
    <s v="A014V901E001"/>
    <d v="2021-04-15T00:00:00"/>
    <d v="2021-04-22T00:00:00"/>
    <n v="-795"/>
    <x v="44"/>
    <n v="0"/>
    <x v="0"/>
    <s v="Accepted"/>
    <n v="0"/>
    <s v="no"/>
    <n v="20000"/>
    <s v="paid"/>
  </r>
  <r>
    <s v="C0200621P132"/>
    <s v="SMA"/>
    <s v="Program Linear"/>
    <s v="https://drive.google.com/open?id=1CpomigRb0AHefX3TJ0FPNmV6XcDdkeTE"/>
    <s v="C0200621P132"/>
    <d v="2021-04-15T00:00:00"/>
    <d v="2021-04-22T00:00:00"/>
    <n v="-795"/>
    <x v="44"/>
    <n v="0"/>
    <x v="0"/>
    <s v="Accepted"/>
    <n v="0"/>
    <s v="no"/>
    <n v="20000"/>
    <s v="paid"/>
  </r>
  <r>
    <s v="C0401241P009"/>
    <s v="SMA"/>
    <s v="Program Linear"/>
    <s v="https://drive.google.com/open?id=1JKfbJ35nLtrSIPQnYvl43m8Cd9D3inDo"/>
    <s v="C0401241P009"/>
    <d v="2021-04-15T00:00:00"/>
    <d v="2021-04-22T00:00:00"/>
    <n v="-795"/>
    <x v="44"/>
    <n v="0"/>
    <x v="0"/>
    <s v="Accepted"/>
    <n v="0"/>
    <s v="yes"/>
    <n v="25000"/>
    <s v="paid"/>
  </r>
  <r>
    <s v="C0401241P010"/>
    <s v="SMA"/>
    <s v="Program Linear"/>
    <s v="https://drive.google.com/open?id=1MvFSkm7nd8hTzn7gYoaQ0WPEBI52eYWY"/>
    <s v="C0401241P010"/>
    <d v="2021-04-15T00:00:00"/>
    <d v="2021-04-22T00:00:00"/>
    <n v="-795"/>
    <x v="44"/>
    <n v="0"/>
    <x v="0"/>
    <s v="Accepted"/>
    <n v="0"/>
    <s v="yes"/>
    <n v="25000"/>
    <s v="paid"/>
  </r>
  <r>
    <s v="C0550761P001"/>
    <s v="SMA"/>
    <s v="Program Linear"/>
    <s v="https://drive.google.com/open?id=1YqREcIxjoV6wv7tygxe0Bg0oEKAOLmDI"/>
    <s v="C0550761P001"/>
    <d v="2021-04-15T00:00:00"/>
    <d v="2021-04-22T00:00:00"/>
    <n v="-795"/>
    <x v="44"/>
    <n v="0"/>
    <x v="0"/>
    <s v="Accepted"/>
    <n v="0"/>
    <s v="no"/>
    <n v="20000"/>
    <s v="paid"/>
  </r>
  <r>
    <s v="M3392681a013"/>
    <s v="SMA"/>
    <s v="Grafik, Persamaan, Dan Pertidaksamaan Eksponen Dan Logaritma"/>
    <s v="https://drive.google.com/open?id=1PYDzBFeemEOLDJ-zIC6gA0oh60lDC-o-"/>
    <s v="M3392681a013"/>
    <d v="2021-04-15T00:00:00"/>
    <d v="2021-04-22T00:00:00"/>
    <n v="-795"/>
    <x v="45"/>
    <n v="0"/>
    <x v="0"/>
    <s v="Accepted"/>
    <n v="1"/>
    <s v="yes"/>
    <n v="25000"/>
    <s v="paid"/>
  </r>
  <r>
    <s v="M3392681b012"/>
    <s v="SMA"/>
    <s v="Grafik, Persamaan, Dan Pertidaksamaan Eksponen Dan Logaritma"/>
    <s v="https://drive.google.com/open?id=1HVhcNZDGJQHOYwJd6dGVJ2xLz8e5cWtD"/>
    <s v="M3392681b012"/>
    <d v="2021-04-15T00:00:00"/>
    <d v="2021-04-22T00:00:00"/>
    <n v="-795"/>
    <x v="45"/>
    <n v="0"/>
    <x v="0"/>
    <s v="Accepted"/>
    <n v="0"/>
    <s v="no"/>
    <n v="20000"/>
    <s v="paid"/>
  </r>
  <r>
    <s v="M3392681b013"/>
    <s v="SMA"/>
    <s v="Grafik, Persamaan, Dan Pertidaksamaan Eksponen Dan Logaritma"/>
    <s v="https://drive.google.com/open?id=1WIGuyS2VmIL9ZAIx1CcMmZU2M48IHZRh"/>
    <s v="M3392681b013"/>
    <d v="2021-04-15T00:00:00"/>
    <d v="2021-04-22T00:00:00"/>
    <n v="-795"/>
    <x v="45"/>
    <n v="0"/>
    <x v="0"/>
    <s v="Accepted"/>
    <n v="0"/>
    <s v="no"/>
    <n v="20000"/>
    <s v="paid"/>
  </r>
  <r>
    <s v="M3392691a014"/>
    <s v="SMA"/>
    <s v="Grafik, Persamaan, Dan Pertidaksamaan Eksponen Dan Logaritma"/>
    <s v="https://drive.google.com/open?id=1D_50Rb0VYRzVEg1-wmSu0KbjhVsVXT9q"/>
    <s v="M3392691a014"/>
    <d v="2021-04-15T00:00:00"/>
    <d v="2021-04-22T00:00:00"/>
    <n v="-795"/>
    <x v="45"/>
    <n v="0"/>
    <x v="0"/>
    <s v="Accepted"/>
    <n v="1"/>
    <s v="yes"/>
    <n v="25000"/>
    <s v="paid"/>
  </r>
  <r>
    <s v="M3392711a019"/>
    <s v="SMA"/>
    <s v="Grafik, Persamaan, Dan Pertidaksamaan Eksponen Dan Logaritma"/>
    <s v="https://drive.google.com/open?id=17UBQpKVULprTkfifaMK3Lpg1bkMlX8Eu"/>
    <s v="M3392711a019"/>
    <d v="2021-04-15T00:00:00"/>
    <d v="2021-04-22T00:00:00"/>
    <n v="-795"/>
    <x v="45"/>
    <n v="0"/>
    <x v="0"/>
    <s v="Accepted"/>
    <n v="0"/>
    <s v="yes"/>
    <n v="25000"/>
    <s v="paid"/>
  </r>
  <r>
    <s v="M3392711b019"/>
    <s v="SMA"/>
    <s v="Grafik, Persamaan, Dan Pertidaksamaan Eksponen Dan Logaritma"/>
    <s v="https://drive.google.com/open?id=1eCcll40VTM2bAgMF4WOYMkUwUXBgY8SW"/>
    <s v="M3392711b019"/>
    <d v="2021-04-15T00:00:00"/>
    <d v="2021-04-22T00:00:00"/>
    <n v="-795"/>
    <x v="45"/>
    <n v="0"/>
    <x v="0"/>
    <s v="Accepted"/>
    <n v="0"/>
    <s v="no"/>
    <n v="20000"/>
    <s v="paid"/>
  </r>
  <r>
    <s v="M3392711E018"/>
    <s v="SMA"/>
    <s v="Grafik, Persamaan, Dan Pertidaksamaan Eksponen Dan Logaritma"/>
    <s v="https://drive.google.com/open?id=1xjRZ2RCqgB8wwUAFFDkYI6_00yCq_pRK"/>
    <s v="M3392711E018"/>
    <d v="2021-04-15T00:00:00"/>
    <d v="2021-04-22T00:00:00"/>
    <n v="-795"/>
    <x v="45"/>
    <n v="0"/>
    <x v="0"/>
    <s v="Accepted"/>
    <n v="0"/>
    <s v="no"/>
    <n v="20000"/>
    <s v="paid"/>
  </r>
  <r>
    <s v="C0550761P002"/>
    <s v="SMA"/>
    <s v="Program Linear"/>
    <s v="https://drive.google.com/open?id=1RzGlBTWGywGz_VxCVgd2lBJPHTTYw_sY"/>
    <s v="C0550761P002"/>
    <d v="2021-04-15T00:00:00"/>
    <d v="2021-04-22T00:00:00"/>
    <n v="-795"/>
    <x v="45"/>
    <n v="0"/>
    <x v="0"/>
    <s v="Accepted"/>
    <n v="0"/>
    <s v="yes"/>
    <n v="25000"/>
    <s v="paid"/>
  </r>
  <r>
    <s v="C0550761P003"/>
    <s v="SMA"/>
    <s v="Program Linear"/>
    <s v="https://drive.google.com/open?id=1XX5U_xzmSVQ6e44bQzireyuxncYzhZLC"/>
    <s v="C0550761P003"/>
    <d v="2021-04-15T00:00:00"/>
    <d v="2021-04-22T00:00:00"/>
    <n v="-795"/>
    <x v="45"/>
    <n v="0"/>
    <x v="0"/>
    <s v="Accepted"/>
    <n v="0"/>
    <s v="yes"/>
    <n v="25000"/>
    <s v="paid"/>
  </r>
  <r>
    <s v="C0400741b001"/>
    <s v="SMA"/>
    <s v="Dimensi Tiga"/>
    <s v="https://drive.google.com/open?id=171RsTtyzd3i95-B3J4ynjW9sm8C54lg7"/>
    <s v="C0400741b001"/>
    <d v="2021-04-19T00:00:00"/>
    <d v="2021-04-26T00:00:00"/>
    <n v="-791"/>
    <x v="46"/>
    <n v="0"/>
    <x v="0"/>
    <s v="Accepted"/>
    <n v="0"/>
    <s v="no"/>
    <n v="20000"/>
    <s v="paid"/>
  </r>
  <r>
    <s v="C0400741c001"/>
    <s v="SMA"/>
    <s v="Dimensi Tiga"/>
    <s v="https://drive.google.com/open?id=1AUlFG2YkhdqOBKNn2d9MJiHa_vEwDzEh"/>
    <s v="C0400741c001"/>
    <d v="2021-04-19T00:00:00"/>
    <d v="2021-04-26T00:00:00"/>
    <n v="-791"/>
    <x v="46"/>
    <n v="0"/>
    <x v="0"/>
    <s v="Accepted"/>
    <n v="0"/>
    <s v="no"/>
    <n v="20000"/>
    <s v="paid"/>
  </r>
  <r>
    <s v="C0400751P001"/>
    <s v="SMA"/>
    <s v="Dimensi Tiga"/>
    <s v="https://drive.google.com/open?id=1zAyALwVra40JmfPfilILhhooMN3xBidr"/>
    <s v="C0400751P001"/>
    <d v="2021-04-19T00:00:00"/>
    <d v="2021-04-26T00:00:00"/>
    <n v="-791"/>
    <x v="46"/>
    <n v="0"/>
    <x v="0"/>
    <s v="Accepted"/>
    <n v="0"/>
    <s v="yes"/>
    <n v="25000"/>
    <s v="paid"/>
  </r>
  <r>
    <s v="C0401161P029"/>
    <s v="SMA"/>
    <s v="Dimensi Tiga"/>
    <s v="https://drive.google.com/open?id=1bK1v0z823SK0m9jglSAHZlnxvDI1oP2v"/>
    <s v="C0401161P029"/>
    <d v="2021-04-19T00:00:00"/>
    <d v="2021-04-26T00:00:00"/>
    <n v="-791"/>
    <x v="46"/>
    <n v="0"/>
    <x v="0"/>
    <s v="Accepted"/>
    <n v="0"/>
    <s v="no"/>
    <n v="20000"/>
    <s v="paid"/>
  </r>
  <r>
    <s v="C0401271P029"/>
    <s v="SMA"/>
    <s v="Dimensi Tiga"/>
    <s v="https://drive.google.com/open?id=19MVOZvjZomyzsoC5BFhptlkq9ORuX-FC"/>
    <s v="C0401271P029"/>
    <d v="2021-04-19T00:00:00"/>
    <d v="2021-04-26T00:00:00"/>
    <n v="-791"/>
    <x v="46"/>
    <n v="0"/>
    <x v="0"/>
    <s v="Accepted"/>
    <n v="0"/>
    <s v="no"/>
    <n v="20000"/>
    <s v="paid"/>
  </r>
  <r>
    <s v="C0401271P030"/>
    <s v="SMA"/>
    <s v="Dimensi Tiga"/>
    <s v="https://drive.google.com/open?id=19sA2w6MQjlalMV9oWRs0IF3cHVSwDJ5i"/>
    <s v="C0401271P030"/>
    <d v="2021-04-19T00:00:00"/>
    <d v="2021-04-26T00:00:00"/>
    <n v="-791"/>
    <x v="46"/>
    <n v="0"/>
    <x v="0"/>
    <s v="Accepted"/>
    <n v="0"/>
    <s v="no"/>
    <n v="20000"/>
    <s v="paid"/>
  </r>
  <r>
    <s v="C0401321P030"/>
    <s v="SMA"/>
    <s v="Dimensi Tiga"/>
    <s v="https://drive.google.com/open?id=1Euihsn9Ky1aes6LpyxyQwbXRkXQ_4Iq7"/>
    <s v="C0401321P030"/>
    <d v="2021-04-19T00:00:00"/>
    <d v="2021-04-26T00:00:00"/>
    <n v="-791"/>
    <x v="46"/>
    <n v="0"/>
    <x v="0"/>
    <s v="Accepted"/>
    <n v="0"/>
    <s v="yes"/>
    <n v="25000"/>
    <s v="paid"/>
  </r>
  <r>
    <s v="C0590531E001"/>
    <s v="SMA"/>
    <s v="Dimensi Tiga"/>
    <s v="https://drive.google.com/open?id=18OvABBwG4hW1sEmtHu1JmVqem4vp85yP"/>
    <s v="C0590531E001"/>
    <d v="2021-04-19T00:00:00"/>
    <d v="2021-04-26T00:00:00"/>
    <n v="-791"/>
    <x v="46"/>
    <n v="0"/>
    <x v="0"/>
    <s v="Accepted"/>
    <n v="0"/>
    <s v="yes"/>
    <n v="25000"/>
    <s v="paid"/>
  </r>
  <r>
    <s v="C0590541E001"/>
    <s v="SMA"/>
    <s v="Dimensi Tiga"/>
    <s v="https://drive.google.com/open?id=1fT6gKSjDaNNdFNrS_XwqQ1f246c3PGWc"/>
    <s v="C0590541E001"/>
    <d v="2021-04-19T00:00:00"/>
    <d v="2021-04-26T00:00:00"/>
    <n v="-791"/>
    <x v="46"/>
    <n v="0"/>
    <x v="0"/>
    <s v="Accepted"/>
    <n v="0"/>
    <s v="no"/>
    <n v="20000"/>
    <s v="paid"/>
  </r>
  <r>
    <s v="M0233251E004"/>
    <s v="SMA"/>
    <s v="Turunan"/>
    <s v="https://drive.google.com/open?id=1P1hpmAvDlDTa-KelzEXfDPQ3K-x04Vdz"/>
    <s v="M0233251E004"/>
    <d v="2021-03-27T00:00:00"/>
    <d v="2021-04-03T00:00:00"/>
    <n v="-814"/>
    <x v="47"/>
    <n v="0"/>
    <x v="0"/>
    <s v="Accepted"/>
    <n v="0"/>
    <s v="no"/>
    <n v="20000"/>
    <s v="paid"/>
  </r>
  <r>
    <s v="C0201541P089"/>
    <s v="SMA"/>
    <s v="Skalar Dan Vektor Serta Operasi Aljabar Vektor"/>
    <s v="https://drive.google.com/open?id=1DU0gQmtUgqfAWLBggfiewapJ85mzRpbj"/>
    <s v="C0201541P089"/>
    <d v="2021-04-05T00:00:00"/>
    <d v="2021-04-12T00:00:00"/>
    <n v="-805"/>
    <x v="47"/>
    <n v="0"/>
    <x v="0"/>
    <s v="Accepted"/>
    <n v="0"/>
    <s v="yes"/>
    <n v="25000"/>
    <s v="paid"/>
  </r>
  <r>
    <s v="M3070632b001"/>
    <s v="SMA"/>
    <s v="Grafik, Persamaan, Dan Pertidaksamaan Eksponen Dan Logaritma"/>
    <s v="https://drive.google.com/open?id=1ImiZOT0nBTMxJFUvG-EF7EPKMpLfgxLD"/>
    <s v="M3070632b001"/>
    <d v="2021-04-08T00:00:00"/>
    <d v="2021-04-15T00:00:00"/>
    <n v="-802"/>
    <x v="47"/>
    <n v="0"/>
    <x v="0"/>
    <s v="Accepted"/>
    <n v="1"/>
    <s v="yes"/>
    <n v="25000"/>
    <s v="paid"/>
  </r>
  <r>
    <s v="C0401211P029"/>
    <s v="SMA"/>
    <s v="Dimensi Tiga"/>
    <s v="https://drive.google.com/open?id=18NEfkfNnO0tiJh7X_24RFaf2-qlkbexY"/>
    <s v="C0401211P029"/>
    <d v="2021-04-19T00:00:00"/>
    <d v="2021-04-26T00:00:00"/>
    <n v="-791"/>
    <x v="47"/>
    <n v="0"/>
    <x v="0"/>
    <s v="Accepted"/>
    <n v="0"/>
    <s v="no"/>
    <n v="20000"/>
    <s v="paid"/>
  </r>
  <r>
    <s v="M3440652P009"/>
    <s v="SMA"/>
    <s v="Statistika Wajib"/>
    <s v="https://drive.google.com/open?id=1vqkufR4Chnm1SsrUaH10YwrIwWol1qdJ"/>
    <s v="M3440652P009"/>
    <d v="2021-04-26T00:00:00"/>
    <d v="2021-05-03T00:00:00"/>
    <n v="-784"/>
    <x v="48"/>
    <n v="0"/>
    <x v="0"/>
    <s v="Accepted"/>
    <n v="2"/>
    <s v="no"/>
    <n v="20000"/>
    <s v="paid"/>
  </r>
  <r>
    <s v="M3440662P012"/>
    <s v="SMA"/>
    <s v="Statistika Wajib"/>
    <s v="https://drive.google.com/open?id=1lIs6ujzr_wy4iD-KB5a_iEQUb1GTc8gZ"/>
    <s v="M3440662P012"/>
    <d v="2021-04-26T00:00:00"/>
    <d v="2021-05-03T00:00:00"/>
    <n v="-784"/>
    <x v="48"/>
    <n v="791"/>
    <x v="1"/>
    <s v="Rejected"/>
    <n v="1"/>
    <s v="yes"/>
    <n v="0"/>
    <s v="not yet"/>
  </r>
  <r>
    <s v="M3440662P013"/>
    <s v="SMA"/>
    <s v="Statistika Wajib"/>
    <s v="https://drive.google.com/open?id=1HTb5Ok2HNR1qBz74N_bYvanPBxD48nnb"/>
    <s v="M3440662P013"/>
    <d v="2021-04-26T00:00:00"/>
    <d v="2021-05-03T00:00:00"/>
    <n v="-784"/>
    <x v="48"/>
    <n v="0"/>
    <x v="0"/>
    <s v="Accepted"/>
    <n v="0"/>
    <s v="yes"/>
    <n v="25000"/>
    <s v="paid"/>
  </r>
  <r>
    <s v="M3440662P019"/>
    <s v="SMA"/>
    <s v="Statistika Wajib"/>
    <s v="https://drive.google.com/open?id=1hYV7e5Qe6RrZdCQ4XUxp316dsq0JK9V6"/>
    <s v="M3440662P019"/>
    <d v="2021-04-26T00:00:00"/>
    <d v="2021-05-03T00:00:00"/>
    <n v="-784"/>
    <x v="48"/>
    <n v="791"/>
    <x v="1"/>
    <s v="Rejected"/>
    <n v="1"/>
    <s v="yes"/>
    <n v="0"/>
    <s v="not yet"/>
  </r>
  <r>
    <s v="M3440672P020"/>
    <s v="SMA"/>
    <s v="Statistika Wajib"/>
    <s v="https://drive.google.com/open?id=1V6jbyQxvhcWuNmVBUKJLJjCCGEsxJO8B"/>
    <s v="M3440672P020"/>
    <d v="2021-04-26T00:00:00"/>
    <d v="2021-05-03T00:00:00"/>
    <n v="-784"/>
    <x v="48"/>
    <n v="791"/>
    <x v="1"/>
    <s v="Rejected"/>
    <n v="1"/>
    <s v="no"/>
    <n v="0"/>
    <s v="not yet"/>
  </r>
  <r>
    <s v="M3440672P021"/>
    <s v="SMA"/>
    <s v="Statistika Wajib"/>
    <s v="https://drive.google.com/open?id=1pbC_wTHgaqg3eUjt6HhEI2ZUbNdxhRE-"/>
    <s v="M3440672P021"/>
    <d v="2021-04-26T00:00:00"/>
    <d v="2021-05-03T00:00:00"/>
    <n v="-784"/>
    <x v="48"/>
    <n v="791"/>
    <x v="1"/>
    <s v="Rejected"/>
    <n v="1"/>
    <s v="yes"/>
    <n v="0"/>
    <s v="not yet"/>
  </r>
  <r>
    <s v="M3440672P023"/>
    <s v="SMA"/>
    <s v="Statistika Wajib"/>
    <s v="https://drive.google.com/open?id=10wKWtg36y8lqaX88M8I4Nm9l-X0K8ki1"/>
    <s v="M3440672P023"/>
    <d v="2021-04-26T00:00:00"/>
    <d v="2021-05-03T00:00:00"/>
    <n v="-784"/>
    <x v="48"/>
    <n v="0"/>
    <x v="0"/>
    <s v="Accepted"/>
    <n v="0"/>
    <s v="no"/>
    <n v="20000"/>
    <s v="paid"/>
  </r>
  <r>
    <s v="M3440672P024"/>
    <s v="SMA"/>
    <s v="Statistika Wajib"/>
    <s v="https://drive.google.com/open?id=1C2-kdZwSlIeXTJcRJOgnsLZ5OxTqgEcd"/>
    <s v="M3440672P024"/>
    <d v="2021-04-26T00:00:00"/>
    <d v="2021-05-03T00:00:00"/>
    <n v="-784"/>
    <x v="48"/>
    <n v="0"/>
    <x v="0"/>
    <s v="Accepted"/>
    <n v="1"/>
    <s v="no"/>
    <n v="20000"/>
    <s v="paid"/>
  </r>
  <r>
    <s v="M3440682P025"/>
    <s v="SMA"/>
    <s v="Statistika Wajib"/>
    <s v="https://drive.google.com/open?id=1QFU_TxCF_iEVh5L0YwVWzct_G3eQN2RV"/>
    <s v="M3440682P025"/>
    <d v="2021-04-26T00:00:00"/>
    <d v="2021-05-03T00:00:00"/>
    <n v="-784"/>
    <x v="48"/>
    <n v="791"/>
    <x v="1"/>
    <s v="Rejected"/>
    <n v="1"/>
    <s v="no"/>
    <n v="0"/>
    <s v="not yet"/>
  </r>
  <r>
    <s v="M3440682P026"/>
    <s v="SMA"/>
    <s v="Statistika Wajib"/>
    <s v="https://drive.google.com/open?id=1zMrtrpwvOcXzK-5RCQqmYL0_WlB4fbo8"/>
    <s v="M3440682P026"/>
    <d v="2021-04-26T00:00:00"/>
    <d v="2021-05-03T00:00:00"/>
    <n v="-784"/>
    <x v="48"/>
    <n v="791"/>
    <x v="1"/>
    <s v="Rejected"/>
    <n v="1"/>
    <s v="yes"/>
    <n v="0"/>
    <s v="not yet"/>
  </r>
  <r>
    <s v="C0630733E004"/>
    <s v="SMA"/>
    <s v="Transformasi"/>
    <s v="https://drive.google.com/open?id=1sJUHIHUG3Ip6QKP-8WHm0Zc9ThV5dCq-"/>
    <s v="C0630733E004"/>
    <d v="2021-04-26T00:00:00"/>
    <d v="2021-05-03T00:00:00"/>
    <n v="-784"/>
    <x v="48"/>
    <n v="0"/>
    <x v="0"/>
    <s v="Accepted"/>
    <n v="0"/>
    <s v="yes"/>
    <n v="25000"/>
    <s v="paid"/>
  </r>
  <r>
    <s v="B0097681E001"/>
    <s v="SMA"/>
    <s v="Trigonometri"/>
    <s v="https://drive.google.com/open?id=1j4Edukzrsed1SuiJElJ7TNwYPagQpLE8"/>
    <s v="B0097681E001"/>
    <d v="2021-05-04T00:00:00"/>
    <d v="2021-05-11T00:00:00"/>
    <n v="-776"/>
    <x v="49"/>
    <n v="0"/>
    <x v="0"/>
    <s v="Accepted"/>
    <n v="0"/>
    <s v="no"/>
    <n v="20000"/>
    <s v="paid"/>
  </r>
  <r>
    <s v="B0097701E001"/>
    <s v="SMA"/>
    <s v="Trigonometri"/>
    <s v="https://drive.google.com/open?id=1HQPqgtqYey0JTGxtGKtZA1y2VJsI24g0"/>
    <s v="B0097701E001"/>
    <d v="2021-05-04T00:00:00"/>
    <d v="2021-05-11T00:00:00"/>
    <n v="-776"/>
    <x v="49"/>
    <n v="0"/>
    <x v="0"/>
    <s v="Accepted"/>
    <n v="0"/>
    <s v="yes"/>
    <n v="25000"/>
    <s v="paid"/>
  </r>
  <r>
    <s v="B0097711P001"/>
    <s v="SMA"/>
    <s v="Trigonometri"/>
    <s v="https://drive.google.com/open?id=1hYAoJgCd4bbe7u7yT6jhl8Bu8V0ECVh1"/>
    <s v="B0097711P001"/>
    <d v="2021-05-04T00:00:00"/>
    <d v="2021-05-11T00:00:00"/>
    <n v="-776"/>
    <x v="49"/>
    <n v="0"/>
    <x v="0"/>
    <s v="Accepted"/>
    <n v="0"/>
    <s v="no"/>
    <n v="20000"/>
    <s v="paid"/>
  </r>
  <r>
    <s v="B0097751E003"/>
    <s v="SMA"/>
    <s v="Trigonometri"/>
    <s v="https://drive.google.com/open?id=1a5NqbVrTtXcWeEPnA8D78JImePyklTRa"/>
    <s v="B0097751E003"/>
    <d v="2021-05-04T00:00:00"/>
    <d v="2021-05-11T00:00:00"/>
    <n v="-776"/>
    <x v="49"/>
    <n v="0"/>
    <x v="0"/>
    <s v="Accepted"/>
    <n v="0"/>
    <s v="no"/>
    <n v="20000"/>
    <s v="paid"/>
  </r>
  <r>
    <s v="B0097951E009"/>
    <s v="SMA"/>
    <s v="Trigonometri"/>
    <s v="https://drive.google.com/open?id=1ibLZSwUxUFBG8hf1b7vE1mVcB8OLYxVh"/>
    <s v="B0097951E009"/>
    <d v="2021-05-04T00:00:00"/>
    <d v="2021-05-11T00:00:00"/>
    <n v="-776"/>
    <x v="49"/>
    <n v="0"/>
    <x v="0"/>
    <s v="Accepted"/>
    <n v="0"/>
    <s v="no"/>
    <n v="20000"/>
    <s v="paid"/>
  </r>
  <r>
    <s v="B0097971P001"/>
    <s v="SMA"/>
    <s v="Trigonometri"/>
    <s v="https://drive.google.com/open?id=1y1UX0YUNaQ0LkaLh8iKuhTGsIuEoC4mJ"/>
    <s v="B0097971P001"/>
    <d v="2021-05-04T00:00:00"/>
    <d v="2021-05-11T00:00:00"/>
    <n v="-776"/>
    <x v="49"/>
    <n v="0"/>
    <x v="0"/>
    <s v="Accepted"/>
    <n v="0"/>
    <s v="no"/>
    <n v="20000"/>
    <s v="paid"/>
  </r>
  <r>
    <s v="B0098051P018"/>
    <s v="SMA"/>
    <s v="Trigonometri"/>
    <s v="https://drive.google.com/open?id=1MnMtKn2oG6EnFeQ_EDVclzkpAFXCKjpd"/>
    <s v="B0098051P018"/>
    <d v="2021-05-04T00:00:00"/>
    <d v="2021-05-11T00:00:00"/>
    <n v="-776"/>
    <x v="49"/>
    <n v="0"/>
    <x v="0"/>
    <s v="Accepted"/>
    <n v="0"/>
    <s v="no"/>
    <n v="20000"/>
    <s v="paid"/>
  </r>
  <r>
    <s v="B0098071E001"/>
    <s v="SMA"/>
    <s v="Trigonometri"/>
    <s v="https://drive.google.com/open?id=1sFD4XTgYmSseKUwAwspg3zmTvMIbwJFQ"/>
    <s v="B0098071E001"/>
    <d v="2021-05-04T00:00:00"/>
    <d v="2021-05-11T00:00:00"/>
    <n v="-776"/>
    <x v="49"/>
    <n v="0"/>
    <x v="0"/>
    <s v="Accepted"/>
    <n v="0"/>
    <s v="no"/>
    <n v="20000"/>
    <s v="paid"/>
  </r>
  <r>
    <s v="B0098181E001"/>
    <s v="SMA"/>
    <s v="Trigonometri"/>
    <s v="https://drive.google.com/open?id=1q1DvRMeQTvk7fhbtq55dUSlj-wQgazoP"/>
    <s v="B0098181E001"/>
    <d v="2021-05-04T00:00:00"/>
    <d v="2021-05-11T00:00:00"/>
    <n v="-776"/>
    <x v="49"/>
    <n v="0"/>
    <x v="0"/>
    <s v="Accepted"/>
    <n v="0"/>
    <s v="no"/>
    <n v="20000"/>
    <s v="paid"/>
  </r>
  <r>
    <s v="B0098291P021"/>
    <s v="SMA"/>
    <s v="Trigonometri"/>
    <s v="https://drive.google.com/open?id=1LQ-tR_ud3jUGkOb107ctyt-C_fkjmRsq"/>
    <s v="B0098291P021"/>
    <d v="2021-05-04T00:00:00"/>
    <d v="2021-05-11T00:00:00"/>
    <n v="-776"/>
    <x v="49"/>
    <n v="0"/>
    <x v="0"/>
    <s v="Accepted"/>
    <n v="0"/>
    <s v="no"/>
    <n v="20000"/>
    <s v="paid"/>
  </r>
  <r>
    <s v="B0098311P027"/>
    <s v="SMA"/>
    <s v="Trigonometri"/>
    <s v="https://drive.google.com/open?id=185O_oULEDd_LEE_H3OzBIZL9TdsXFobO"/>
    <s v="B0098311P027"/>
    <d v="2021-05-04T00:00:00"/>
    <d v="2021-05-11T00:00:00"/>
    <n v="-776"/>
    <x v="49"/>
    <n v="0"/>
    <x v="0"/>
    <s v="Accepted"/>
    <n v="0"/>
    <s v="no"/>
    <n v="20000"/>
    <s v="paid"/>
  </r>
  <r>
    <s v="M3392691b014"/>
    <s v="SMA"/>
    <s v="Grafik, Persamaan, Dan Pertidaksamaan Eksponen Dan Logaritma"/>
    <s v="https://drive.google.com/open?id=1UuCuATSs5JyqQjRMPtMUoodBro6mO7IU"/>
    <s v="M3392691b014"/>
    <d v="2021-05-10T00:00:00"/>
    <d v="2021-05-17T00:00:00"/>
    <n v="-770"/>
    <x v="50"/>
    <n v="777"/>
    <x v="1"/>
    <s v="Rejected"/>
    <n v="1"/>
    <s v="no"/>
    <n v="0"/>
    <s v="not yet"/>
  </r>
  <r>
    <s v="B0098021E001"/>
    <s v="SMA"/>
    <s v="Trigonometri"/>
    <s v="https://drive.google.com/open?id=1NBHgYfP3597CTZyrC3C0nRyWTa2xvL1x"/>
    <s v="B0098021E001"/>
    <d v="2021-05-10T00:00:00"/>
    <d v="2021-05-17T00:00:00"/>
    <n v="-770"/>
    <x v="51"/>
    <n v="0"/>
    <x v="0"/>
    <s v="Accepted"/>
    <n v="0"/>
    <s v="yes"/>
    <n v="25000"/>
    <s v="paid"/>
  </r>
  <r>
    <s v="B0098111E001"/>
    <s v="SMA"/>
    <s v="Trigonometri"/>
    <s v="https://drive.google.com/open?id=1K6N1OeaU270xgRZFqyhYnFQTYnegVjv6"/>
    <s v="B0098111E001"/>
    <d v="2021-05-04T00:00:00"/>
    <d v="2021-05-11T00:00:00"/>
    <n v="-776"/>
    <x v="52"/>
    <n v="0"/>
    <x v="0"/>
    <s v="Accepted"/>
    <n v="0"/>
    <s v="no"/>
    <n v="20000"/>
    <s v="paid"/>
  </r>
  <r>
    <s v="S0220202a002"/>
    <s v="SD"/>
    <s v="Kecepatan Dan Debit"/>
    <s v="https://drive.google.com/open?id=1Ca5bVc8nSgfwQY0qWxIDrAMrMiE8R7Ph"/>
    <s v="S0220202a002"/>
    <d v="2021-06-07T00:00:00"/>
    <d v="2021-06-13T00:00:00"/>
    <n v="-743"/>
    <x v="53"/>
    <n v="0"/>
    <x v="0"/>
    <s v="Accepted"/>
    <n v="0"/>
    <s v="no"/>
    <n v="15000"/>
    <s v="paid"/>
  </r>
  <r>
    <s v="S0220202b002"/>
    <s v="SD"/>
    <s v="Kecepatan Dan Debit"/>
    <s v="https://drive.google.com/open?id=180HucIcP0ygk1sEUNwH0Q6FuNylpz3bO"/>
    <s v="S0220202b002"/>
    <d v="2021-06-07T00:00:00"/>
    <d v="2021-06-13T00:00:00"/>
    <n v="-743"/>
    <x v="53"/>
    <n v="0"/>
    <x v="0"/>
    <s v="Accepted"/>
    <n v="0"/>
    <s v="no"/>
    <n v="15000"/>
    <s v="paid"/>
  </r>
  <r>
    <s v="S0220202c002"/>
    <s v="SD"/>
    <s v="Kecepatan Dan Debit"/>
    <s v="https://drive.google.com/open?id=11280xWcluPtph45v3LFYqMFuk4y57q49"/>
    <s v="S0220202c002"/>
    <d v="2021-06-07T00:00:00"/>
    <d v="2021-06-13T00:00:00"/>
    <n v="-743"/>
    <x v="53"/>
    <n v="0"/>
    <x v="0"/>
    <s v="Accepted"/>
    <n v="0"/>
    <s v="no"/>
    <n v="15000"/>
    <s v="paid"/>
  </r>
  <r>
    <s v="S0220212E004"/>
    <s v="SD"/>
    <s v="Kecepatan Dan Debit"/>
    <s v="https://drive.google.com/open?id=1ushpSP0-ktm0xbS41NlLnqfKq4WQ_X7t"/>
    <s v="S0220212E004"/>
    <d v="2021-06-07T00:00:00"/>
    <d v="2021-06-13T00:00:00"/>
    <n v="-743"/>
    <x v="54"/>
    <n v="0"/>
    <x v="0"/>
    <s v="Accepted"/>
    <n v="0"/>
    <s v="no"/>
    <n v="15000"/>
    <s v="paid"/>
  </r>
  <r>
    <s v="S0220212E005"/>
    <s v="SD"/>
    <s v="Kecepatan Dan Debit"/>
    <s v="https://drive.google.com/open?id=1aBDiw4vCqj3YbQB92MDdSZFenzCoL8HA"/>
    <s v="S0220212E005"/>
    <d v="2021-06-07T00:00:00"/>
    <d v="2021-06-13T00:00:00"/>
    <n v="-743"/>
    <x v="54"/>
    <n v="0"/>
    <x v="0"/>
    <s v="Accepted"/>
    <n v="0"/>
    <s v="no"/>
    <n v="15000"/>
    <s v="paid"/>
  </r>
  <r>
    <s v="S0220212E006"/>
    <s v="SD"/>
    <s v="Kecepatan Dan Debit"/>
    <s v="https://drive.google.com/open?id=1kwuK7TOfnKM2H5R4VsRr0Ax3GfkiqzTM"/>
    <s v="S0220212E006"/>
    <d v="2021-06-07T00:00:00"/>
    <d v="2021-06-13T00:00:00"/>
    <n v="-743"/>
    <x v="54"/>
    <n v="0"/>
    <x v="0"/>
    <s v="Accepted"/>
    <n v="0"/>
    <s v="no"/>
    <n v="15000"/>
    <s v="paid"/>
  </r>
  <r>
    <s v="S0220212E007"/>
    <s v="SD"/>
    <s v="Kecepatan Dan Debit"/>
    <s v="https://drive.google.com/open?id=1JKha0OAoi3JZjnTvT9n9Rp6egpqfnmx1"/>
    <s v="S0220212E007"/>
    <d v="2021-06-07T00:00:00"/>
    <d v="2021-06-13T00:00:00"/>
    <n v="-743"/>
    <x v="54"/>
    <n v="0"/>
    <x v="0"/>
    <s v="Accepted"/>
    <n v="0"/>
    <s v="no"/>
    <n v="15000"/>
    <s v="paid"/>
  </r>
  <r>
    <s v="S0220212E008"/>
    <s v="SD"/>
    <s v="Kecepatan Dan Debit"/>
    <s v="https://drive.google.com/open?id=1jghmaKIwnuEu5_FsWP8Foq7bm-IVnHiS"/>
    <s v="S0220212E008"/>
    <d v="2021-06-07T00:00:00"/>
    <d v="2021-06-13T00:00:00"/>
    <n v="-743"/>
    <x v="54"/>
    <n v="0"/>
    <x v="0"/>
    <s v="Accepted"/>
    <n v="0"/>
    <s v="yes"/>
    <n v="18000"/>
    <s v="paid"/>
  </r>
  <r>
    <s v="S0371472E005"/>
    <s v="SD"/>
    <s v="Skala"/>
    <s v="https://drive.google.com/open?id=1VJKzZewciCVztyaq2WBk-kZQx9-DY8-K"/>
    <s v="S0371472E005"/>
    <d v="2021-06-10T00:00:00"/>
    <d v="2021-06-16T00:00:00"/>
    <n v="-740"/>
    <x v="54"/>
    <n v="0"/>
    <x v="0"/>
    <s v="Accepted"/>
    <n v="0"/>
    <s v="no"/>
    <n v="15000"/>
    <s v="paid"/>
  </r>
  <r>
    <s v="S0371581E001"/>
    <s v="SD"/>
    <s v="Skala"/>
    <s v="https://drive.google.com/open?id=1K5pPj-43yGXu42BoT-OLWIezq-IIRwCQ"/>
    <s v="S0371581E001"/>
    <d v="2021-06-10T00:00:00"/>
    <d v="2021-06-16T00:00:00"/>
    <n v="-740"/>
    <x v="55"/>
    <n v="0"/>
    <x v="0"/>
    <s v="Accepted"/>
    <n v="0"/>
    <s v="no"/>
    <n v="15000"/>
    <s v="paid"/>
  </r>
  <r>
    <s v="S0371652E003"/>
    <s v="SD"/>
    <s v="Skala"/>
    <s v="https://drive.google.com/open?id=1nzkUE8uY7nbCD5F2ylF8Ai4EJhTt91L_"/>
    <s v="S0371652E003"/>
    <d v="2021-06-10T00:00:00"/>
    <d v="2021-06-16T00:00:00"/>
    <n v="-740"/>
    <x v="55"/>
    <n v="0"/>
    <x v="0"/>
    <s v="Accepted"/>
    <n v="0"/>
    <s v="no"/>
    <n v="15000"/>
    <s v="paid"/>
  </r>
  <r>
    <s v="S0371791P004"/>
    <s v="SD"/>
    <s v="KPK dan FPB"/>
    <s v="https://drive.google.com/open?id=1Ya9ySzHeMtFrd13YWnj_rKOZiz9rt6im"/>
    <s v="S0371791P004"/>
    <d v="2021-06-10T00:00:00"/>
    <d v="2021-06-16T00:00:00"/>
    <n v="-740"/>
    <x v="55"/>
    <n v="0"/>
    <x v="0"/>
    <s v="Accepted"/>
    <n v="0"/>
    <s v="no"/>
    <n v="15000"/>
    <s v="paid"/>
  </r>
  <r>
    <s v="S0401451E001"/>
    <s v="SD"/>
    <s v="Kesebangunan Dan Simetri"/>
    <s v="https://drive.google.com/open?id=1WRsJEdttpz2HOYkeclfbmDJk7lPD6-G-"/>
    <s v="S0401451E001"/>
    <d v="2021-06-10T00:00:00"/>
    <d v="2021-06-16T00:00:00"/>
    <n v="-740"/>
    <x v="55"/>
    <n v="0"/>
    <x v="0"/>
    <s v="Accepted"/>
    <n v="0"/>
    <s v="no"/>
    <n v="15000"/>
    <s v="paid"/>
  </r>
  <r>
    <s v="S0041364E001"/>
    <s v="SD"/>
    <s v="Statistika 6"/>
    <s v="https://drive.google.com/open?id=1_c1ZNqYKjAmYHQIfK8j2I-Uz5NtpdQJA"/>
    <s v="S0041364E001"/>
    <d v="2021-06-18T00:00:00"/>
    <d v="2021-06-24T00:00:00"/>
    <n v="-732"/>
    <x v="56"/>
    <n v="0"/>
    <x v="0"/>
    <s v="Accepted"/>
    <n v="0"/>
    <s v="no"/>
    <n v="15000"/>
    <s v="paid"/>
  </r>
  <r>
    <s v="S0041365E001"/>
    <s v="SD"/>
    <s v="Statistika 6"/>
    <s v="https://drive.google.com/open?id=1lbs3pBkJKrZCr3sytr97_MIToxBudfgW"/>
    <s v="S0041365E001"/>
    <d v="2021-06-18T00:00:00"/>
    <d v="2021-06-24T00:00:00"/>
    <n v="-732"/>
    <x v="56"/>
    <n v="0"/>
    <x v="0"/>
    <s v="Accepted"/>
    <n v="0"/>
    <s v="no"/>
    <n v="15000"/>
    <s v="paid"/>
  </r>
  <r>
    <s v="S0041365E002"/>
    <s v="SD"/>
    <s v="Statistika 6"/>
    <s v="https://drive.google.com/open?id=1k78_WXTcLitW7IBPTRiKC7nFau5lVSIY"/>
    <s v="S0041365E002"/>
    <d v="2021-06-18T00:00:00"/>
    <d v="2021-06-24T00:00:00"/>
    <n v="-732"/>
    <x v="56"/>
    <n v="0"/>
    <x v="0"/>
    <s v="Accepted"/>
    <n v="0"/>
    <s v="no"/>
    <n v="15000"/>
    <s v="paid"/>
  </r>
  <r>
    <s v="S0041372E001"/>
    <s v="SD"/>
    <s v="Statistika 6"/>
    <s v="https://drive.google.com/open?id=1emiNN8OWCuZ9uBj2ObtWVbBFr2xurYq6"/>
    <s v="S0041372E001"/>
    <d v="2021-06-18T00:00:00"/>
    <d v="2021-06-24T00:00:00"/>
    <n v="-732"/>
    <x v="56"/>
    <n v="0"/>
    <x v="0"/>
    <s v="Accepted"/>
    <n v="0"/>
    <s v="no"/>
    <n v="15000"/>
    <s v="paid"/>
  </r>
  <r>
    <s v="S0041372E002"/>
    <s v="SD"/>
    <s v="Statistika 6"/>
    <s v="https://drive.google.com/open?id=1j_WQdXaGYGqfj2tVI3br8EuP1maztGOT"/>
    <s v="S0041372E002"/>
    <d v="2021-06-18T00:00:00"/>
    <d v="2021-06-24T00:00:00"/>
    <n v="-732"/>
    <x v="56"/>
    <n v="0"/>
    <x v="0"/>
    <s v="Accepted"/>
    <n v="0"/>
    <s v="no"/>
    <n v="15000"/>
    <s v="paid"/>
  </r>
  <r>
    <s v="S0041382E004"/>
    <s v="SD"/>
    <s v="Statistika 6"/>
    <s v="https://drive.google.com/open?id=1ZYqh_6OucFH9Zd-2InRc0A4hallsCwOU"/>
    <s v="S0041382E004"/>
    <d v="2021-06-18T00:00:00"/>
    <d v="2021-06-24T00:00:00"/>
    <n v="-732"/>
    <x v="56"/>
    <n v="0"/>
    <x v="0"/>
    <s v="Accepted"/>
    <n v="0"/>
    <s v="no"/>
    <n v="15000"/>
    <s v="paid"/>
  </r>
  <r>
    <s v="S0041382E005"/>
    <s v="SD"/>
    <s v="Statistika 6"/>
    <s v="https://drive.google.com/open?id=1BEGmkUKzy11pIRDnK4iVLcmZVlaRgK3i"/>
    <s v="S0041382E005"/>
    <d v="2021-06-18T00:00:00"/>
    <d v="2021-06-24T00:00:00"/>
    <n v="-732"/>
    <x v="56"/>
    <n v="0"/>
    <x v="0"/>
    <s v="Accepted"/>
    <n v="0"/>
    <s v="no"/>
    <n v="15000"/>
    <s v="paid"/>
  </r>
  <r>
    <s v="S0061951P014"/>
    <s v="SD"/>
    <s v="Pengumpulan Dan Penyajian Data"/>
    <s v="https://drive.google.com/open?id=1AIzxhRKmyL6N4YeON3I-XFxX37PLPTEn"/>
    <s v="S0061951P014"/>
    <d v="2021-06-20T00:00:00"/>
    <d v="2021-06-26T00:00:00"/>
    <n v="-730"/>
    <x v="57"/>
    <n v="0"/>
    <x v="0"/>
    <s v="Accepted"/>
    <n v="0"/>
    <s v="no"/>
    <n v="15000"/>
    <s v="paid"/>
  </r>
  <r>
    <s v="S0061951P015"/>
    <s v="SD"/>
    <s v="Pengumpulan Dan Penyajian Data"/>
    <s v="https://drive.google.com/open?id=1a7UoLtIJL9cYJCpqMOvW6TB7iPoCrFF2"/>
    <s v="S0061951P015"/>
    <d v="2021-06-20T00:00:00"/>
    <d v="2021-06-26T00:00:00"/>
    <n v="-730"/>
    <x v="57"/>
    <n v="0"/>
    <x v="0"/>
    <s v="Accepted"/>
    <n v="0"/>
    <s v="no"/>
    <n v="15000"/>
    <s v="paid"/>
  </r>
  <r>
    <s v="S0061961P018"/>
    <s v="SD"/>
    <s v="Pengumpulan Dan Penyajian Data"/>
    <s v="https://drive.google.com/open?id=11ChbygW4uXGhtILBsi6DA4FgkoDFrmIT"/>
    <s v="S0061961P018"/>
    <d v="2021-06-20T00:00:00"/>
    <d v="2021-06-26T00:00:00"/>
    <n v="-730"/>
    <x v="57"/>
    <n v="0"/>
    <x v="0"/>
    <s v="Accepted"/>
    <n v="0"/>
    <s v="no"/>
    <n v="15000"/>
    <s v="paid"/>
  </r>
  <r>
    <s v="S0410203E001"/>
    <s v="SD"/>
    <s v="KPK dan FPB"/>
    <s v="https://drive.google.com/open?id=1mm_Y49dZ_UFqN2ZR0k7tcvqbNYoUAkYQ"/>
    <s v="S0410203E001"/>
    <d v="2021-06-20T00:00:00"/>
    <d v="2021-06-26T00:00:00"/>
    <n v="-730"/>
    <x v="57"/>
    <n v="736"/>
    <x v="2"/>
    <s v="Rejected"/>
    <n v="1"/>
    <s v="no"/>
    <n v="0"/>
    <s v="not yet"/>
  </r>
  <r>
    <s v="S0442342E005"/>
    <s v="SD"/>
    <s v="Operasi Bilangan Pecahan"/>
    <s v="https://drive.google.com/open?id=1g_9OFNycUUvMDHSw55aU8d-TSWMK2nMI"/>
    <s v="S0442342E005"/>
    <d v="2021-06-20T00:00:00"/>
    <d v="2021-06-26T00:00:00"/>
    <n v="-730"/>
    <x v="58"/>
    <n v="0"/>
    <x v="0"/>
    <s v="Accepted"/>
    <n v="1"/>
    <s v="no"/>
    <n v="15000"/>
    <s v="paid"/>
  </r>
  <r>
    <s v="S0441723E002"/>
    <s v="SD"/>
    <s v="Operasi Bilangan Pecahan"/>
    <s v="https://drive.google.com/open?id=1Csx50Aibrc_LdD8xZMRM83LUPZhcIoNh"/>
    <s v="S0441723E002"/>
    <d v="2021-06-20T00:00:00"/>
    <d v="2021-06-26T00:00:00"/>
    <n v="-730"/>
    <x v="58"/>
    <n v="0"/>
    <x v="0"/>
    <s v="Accepted"/>
    <n v="1"/>
    <s v="no"/>
    <n v="15000"/>
    <s v="paid"/>
  </r>
  <r>
    <s v="S0441451E002"/>
    <s v="SD"/>
    <s v="Operasi Bilangan Pecahan"/>
    <s v="https://drive.google.com/open?id=1QX6vhl90YeNeIHi2xqrb3TFnZ-d3qRgY"/>
    <s v="S0441451E002"/>
    <d v="2021-06-20T00:00:00"/>
    <d v="2021-06-26T00:00:00"/>
    <n v="-730"/>
    <x v="58"/>
    <n v="0"/>
    <x v="0"/>
    <s v="Accepted"/>
    <n v="0"/>
    <s v="no"/>
    <n v="15000"/>
    <s v="paid"/>
  </r>
  <r>
    <s v="S0441451E003"/>
    <s v="SD"/>
    <s v="Operasi Bilangan Pecahan"/>
    <s v="https://drive.google.com/open?id=19Cqv7IRoE-9B41LlD3ZnGws0jgW824vr"/>
    <s v="S0441451E003"/>
    <d v="2021-06-20T00:00:00"/>
    <d v="2021-06-26T00:00:00"/>
    <n v="-730"/>
    <x v="58"/>
    <n v="0"/>
    <x v="0"/>
    <s v="Accepted"/>
    <n v="0"/>
    <s v="no"/>
    <n v="15000"/>
    <s v="paid"/>
  </r>
  <r>
    <s v="S0441451E004"/>
    <s v="SD"/>
    <s v="Operasi Bilangan Pecahan"/>
    <s v="https://drive.google.com/open?id=14c2YeNealdNQrs3T1dJZJ3njI9HT7MKT"/>
    <s v="S0441451E004"/>
    <d v="2021-06-20T00:00:00"/>
    <d v="2021-06-26T00:00:00"/>
    <n v="-730"/>
    <x v="58"/>
    <n v="0"/>
    <x v="0"/>
    <s v="Accepted"/>
    <n v="0"/>
    <s v="no"/>
    <n v="15000"/>
    <s v="paid"/>
  </r>
  <r>
    <s v="S0441451E005"/>
    <s v="SD"/>
    <s v="Operasi Bilangan Pecahan"/>
    <s v="https://drive.google.com/open?id=1v6vTgehHVncmdM5aVA2NcP1mI7un5AXR"/>
    <s v="S0441451E005"/>
    <d v="2021-06-20T00:00:00"/>
    <d v="2021-06-26T00:00:00"/>
    <n v="-730"/>
    <x v="58"/>
    <n v="0"/>
    <x v="0"/>
    <s v="Accepted"/>
    <n v="0"/>
    <s v="no"/>
    <n v="15000"/>
    <s v="paid"/>
  </r>
  <r>
    <s v="S0441452E001"/>
    <s v="SD"/>
    <s v="Operasi Bilangan Pecahan"/>
    <s v="https://drive.google.com/open?id=1VsWVVGvkCqB34eHIV_glnxMn2uSA-HTA"/>
    <s v="S0441452E001"/>
    <d v="2021-06-20T00:00:00"/>
    <d v="2021-06-26T00:00:00"/>
    <n v="-730"/>
    <x v="58"/>
    <n v="0"/>
    <x v="0"/>
    <s v="Accepted"/>
    <n v="0"/>
    <s v="no"/>
    <n v="15000"/>
    <s v="paid"/>
  </r>
  <r>
    <s v="S0441452E002"/>
    <s v="SD"/>
    <s v="Operasi Bilangan Pecahan"/>
    <s v="https://drive.google.com/open?id=1cUgJdnKUnhCk_lodJYHeLMRlNMflTOE7"/>
    <s v="S0441452E002"/>
    <d v="2021-06-20T00:00:00"/>
    <d v="2021-06-26T00:00:00"/>
    <n v="-730"/>
    <x v="58"/>
    <n v="0"/>
    <x v="0"/>
    <s v="Accepted"/>
    <n v="0"/>
    <s v="no"/>
    <n v="15000"/>
    <s v="paid"/>
  </r>
  <r>
    <s v="S0441452E003"/>
    <s v="SD"/>
    <s v="Operasi Bilangan Pecahan"/>
    <s v="https://drive.google.com/open?id=1vSQVlQbGikAZmaCwekjBUBGRfHUUZRFI"/>
    <s v="S0441452E003"/>
    <d v="2021-06-20T00:00:00"/>
    <d v="2021-06-26T00:00:00"/>
    <n v="-730"/>
    <x v="58"/>
    <n v="0"/>
    <x v="0"/>
    <s v="Accepted"/>
    <n v="0"/>
    <s v="no"/>
    <n v="15000"/>
    <s v="paid"/>
  </r>
  <r>
    <s v="S0441552E002"/>
    <s v="SD"/>
    <s v="KPK dan FPB"/>
    <s v="https://drive.google.com/open?id=1DkWyouFGqQeB9llME29Qwa5mHzoOPL51"/>
    <s v="S0441552E002"/>
    <d v="2021-06-20T00:00:00"/>
    <d v="2021-06-26T00:00:00"/>
    <n v="-730"/>
    <x v="58"/>
    <n v="0"/>
    <x v="0"/>
    <s v="Accepted"/>
    <n v="1"/>
    <s v="no"/>
    <n v="15000"/>
    <s v="paid"/>
  </r>
  <r>
    <s v="S0490091E002"/>
    <s v="SD"/>
    <s v="KPK dan FPB"/>
    <s v="https://drive.google.com/open?id=1FsBL71V4YbZnl7CADA8C7kFvd_OWQ3Ib"/>
    <s v="S0490091E002"/>
    <d v="2021-06-20T00:00:00"/>
    <d v="2021-06-26T00:00:00"/>
    <n v="-730"/>
    <x v="58"/>
    <n v="0"/>
    <x v="0"/>
    <s v="Accepted"/>
    <n v="0"/>
    <s v="no"/>
    <n v="15000"/>
    <s v="paid"/>
  </r>
  <r>
    <s v="S0490101E001"/>
    <s v="SD"/>
    <s v="KPK dan FPB"/>
    <s v="https://drive.google.com/open?id=1YYhmRjfjoPb_kOorPM0pq_nDY9v65jWa"/>
    <s v="S0490101E001"/>
    <d v="2021-06-20T00:00:00"/>
    <d v="2021-06-26T00:00:00"/>
    <n v="-730"/>
    <x v="58"/>
    <n v="0"/>
    <x v="0"/>
    <s v="Accepted"/>
    <n v="0"/>
    <s v="no"/>
    <n v="15000"/>
    <s v="paid"/>
  </r>
  <r>
    <s v="S0490101E002"/>
    <s v="SD"/>
    <s v="KPK dan FPB"/>
    <s v="https://drive.google.com/open?id=1znfDV2rCqCbBG5EheHQCGfisijxOg-Xg"/>
    <s v="S0490101E002"/>
    <d v="2021-06-20T00:00:00"/>
    <d v="2021-06-26T00:00:00"/>
    <n v="-730"/>
    <x v="58"/>
    <n v="0"/>
    <x v="0"/>
    <s v="Accepted"/>
    <n v="0"/>
    <s v="no"/>
    <n v="15000"/>
    <s v="paid"/>
  </r>
  <r>
    <s v="S0490101E003"/>
    <s v="SD"/>
    <s v="KPK dan FPB"/>
    <s v="https://drive.google.com/open?id=1NcdiEvI1RKQFcqrv9VvS2Q21G_JEqt3j"/>
    <s v="S0490101E003"/>
    <d v="2021-06-20T00:00:00"/>
    <d v="2021-06-26T00:00:00"/>
    <n v="-730"/>
    <x v="58"/>
    <n v="0"/>
    <x v="0"/>
    <s v="Accepted"/>
    <n v="0"/>
    <s v="no"/>
    <n v="15000"/>
    <s v="paid"/>
  </r>
  <r>
    <s v="S0220212E003"/>
    <s v="SD"/>
    <s v="Kecepatan Dan Debit"/>
    <s v="https://drive.google.com/open?id=1SYSlbFnkV01pJ--MB68A7pPW2DcthOuU"/>
    <s v="S0220212E003"/>
    <d v="2021-06-07T00:00:00"/>
    <d v="2021-06-13T00:00:00"/>
    <n v="-743"/>
    <x v="59"/>
    <n v="0"/>
    <x v="0"/>
    <s v="Accepted"/>
    <n v="1"/>
    <s v="no"/>
    <n v="15000"/>
    <s v="paid"/>
  </r>
  <r>
    <s v="S0371822E003"/>
    <s v="SD"/>
    <s v="Skala"/>
    <s v="https://drive.google.com/open?id=1W0bGKMFGRd7Ib9cpmrNQApXDYSdG6Y08"/>
    <s v="S0371822E003"/>
    <d v="2021-06-10T00:00:00"/>
    <d v="2021-06-16T00:00:00"/>
    <n v="-740"/>
    <x v="59"/>
    <n v="0"/>
    <x v="0"/>
    <s v="Accepted"/>
    <n v="1"/>
    <s v="no"/>
    <n v="15000"/>
    <s v="paid"/>
  </r>
  <r>
    <s v="S0371823E003"/>
    <s v="SD"/>
    <s v="Skala"/>
    <s v="https://drive.google.com/open?id=1XAuJLaHOkdjiEKwDiIXNW3H5Iq7fzH7n"/>
    <s v="S0371823E003"/>
    <d v="2021-06-10T00:00:00"/>
    <d v="2021-06-16T00:00:00"/>
    <n v="-740"/>
    <x v="59"/>
    <n v="0"/>
    <x v="0"/>
    <s v="Accepted"/>
    <n v="1"/>
    <s v="no"/>
    <n v="15000"/>
    <s v="paid"/>
  </r>
  <r>
    <s v="S0500531E004"/>
    <s v="SD"/>
    <s v="Bilangan Bulat"/>
    <s v="https://drive.google.com/open?id=14uKMjtBJwRPL5lYQZWVXDnb0EGT33U_0"/>
    <s v="S0500531E004"/>
    <d v="2021-06-25T00:00:00"/>
    <d v="2021-07-01T00:00:00"/>
    <n v="-725"/>
    <x v="59"/>
    <n v="0"/>
    <x v="0"/>
    <s v="Accepted"/>
    <n v="0"/>
    <s v="no"/>
    <n v="15000"/>
    <s v="paid"/>
  </r>
  <r>
    <s v="S0500531E005"/>
    <s v="SD"/>
    <s v="Bilangan Bulat"/>
    <s v="https://drive.google.com/open?id=1uvxgThguVq1Ug5I8oAL3yZT3kmEvZ6NV"/>
    <s v="S0500531E005"/>
    <d v="2021-06-25T00:00:00"/>
    <d v="2021-07-01T00:00:00"/>
    <n v="-725"/>
    <x v="59"/>
    <n v="0"/>
    <x v="0"/>
    <s v="Accepted"/>
    <n v="0"/>
    <s v="no"/>
    <n v="15000"/>
    <s v="paid"/>
  </r>
  <r>
    <s v="S0500531E006"/>
    <s v="SD"/>
    <s v="Bilangan Bulat"/>
    <s v="https://drive.google.com/open?id=1Cf79MPeuAn70V-nJPsSRRcQgaGSvDsDq"/>
    <s v="S0500531E006"/>
    <d v="2021-06-25T00:00:00"/>
    <d v="2021-07-01T00:00:00"/>
    <n v="-725"/>
    <x v="59"/>
    <n v="0"/>
    <x v="0"/>
    <s v="Accepted"/>
    <n v="0"/>
    <s v="no"/>
    <n v="15000"/>
    <s v="paid"/>
  </r>
  <r>
    <s v="S0500531E007"/>
    <s v="SD"/>
    <s v="Bilangan Bulat"/>
    <s v="https://drive.google.com/open?id=1l6dMb3pJi6LSS07DvwJTxxQlvS4bbYTc"/>
    <s v="S0500531E007"/>
    <d v="2021-06-25T00:00:00"/>
    <d v="2021-07-01T00:00:00"/>
    <n v="-725"/>
    <x v="59"/>
    <n v="0"/>
    <x v="0"/>
    <s v="Accepted"/>
    <n v="0"/>
    <s v="no"/>
    <n v="15000"/>
    <s v="paid"/>
  </r>
  <r>
    <s v="S0500531E008"/>
    <s v="SD"/>
    <s v="Bilangan Bulat"/>
    <s v="https://drive.google.com/open?id=1liSfb7I9YiU77wY9kcBVNQQbfIQjUDpA"/>
    <s v="S0500531E008"/>
    <d v="2021-06-25T00:00:00"/>
    <d v="2021-07-01T00:00:00"/>
    <n v="-725"/>
    <x v="59"/>
    <n v="0"/>
    <x v="0"/>
    <s v="Accepted"/>
    <n v="0"/>
    <s v="no"/>
    <n v="15000"/>
    <s v="paid"/>
  </r>
  <r>
    <s v="S0500541E001"/>
    <s v="SD"/>
    <s v="Bilangan Bulat"/>
    <s v="https://drive.google.com/open?id=1F2B36B1QkC4-Jqh10u2ISbG9BIFUOBrv"/>
    <s v="S0500541E001"/>
    <d v="2021-06-25T00:00:00"/>
    <d v="2021-07-01T00:00:00"/>
    <n v="-725"/>
    <x v="59"/>
    <n v="0"/>
    <x v="0"/>
    <s v="Accepted"/>
    <n v="0"/>
    <s v="no"/>
    <n v="15000"/>
    <s v="paid"/>
  </r>
  <r>
    <s v="S0500541E002"/>
    <s v="SD"/>
    <s v="Bilangan Bulat"/>
    <s v="https://drive.google.com/open?id=1hdU-A6-Mc-oNPncpy3MXpxHWsWCbzsOb"/>
    <s v="S0500541E002"/>
    <d v="2021-06-25T00:00:00"/>
    <d v="2021-07-01T00:00:00"/>
    <n v="-725"/>
    <x v="59"/>
    <n v="0"/>
    <x v="0"/>
    <s v="Accepted"/>
    <n v="0"/>
    <s v="no"/>
    <n v="15000"/>
    <s v="paid"/>
  </r>
  <r>
    <s v="S0500541E003"/>
    <s v="SD"/>
    <s v="Bilangan Bulat"/>
    <s v="https://drive.google.com/open?id=1lXOsrzBdqFJ7v-xjwLZDN-s-R03T41qP"/>
    <s v="S0500541E003"/>
    <d v="2021-06-25T00:00:00"/>
    <d v="2021-07-01T00:00:00"/>
    <n v="-725"/>
    <x v="59"/>
    <n v="0"/>
    <x v="0"/>
    <s v="Accepted"/>
    <n v="0"/>
    <s v="no"/>
    <n v="15000"/>
    <s v="paid"/>
  </r>
  <r>
    <s v="S0500541E004"/>
    <s v="SD"/>
    <s v="Bilangan Bulat"/>
    <s v="https://drive.google.com/open?id=141Ax2bpdmZtQa2xJbA4pmXqBT6jZy4Gt"/>
    <s v="S0500541E004"/>
    <d v="2021-06-25T00:00:00"/>
    <d v="2021-07-01T00:00:00"/>
    <n v="-725"/>
    <x v="59"/>
    <n v="0"/>
    <x v="0"/>
    <s v="Accepted"/>
    <n v="0"/>
    <s v="no"/>
    <n v="15000"/>
    <s v="paid"/>
  </r>
  <r>
    <s v="S0500541E005"/>
    <s v="SD"/>
    <s v="Bilangan Bulat"/>
    <s v="https://drive.google.com/open?id=1wGHgXcmnuzc2IhECvwV0F_vGO3t9ehPk"/>
    <s v="S0500541E005"/>
    <d v="2021-06-25T00:00:00"/>
    <d v="2021-07-01T00:00:00"/>
    <n v="-725"/>
    <x v="60"/>
    <n v="0"/>
    <x v="0"/>
    <s v="Accepted"/>
    <n v="0"/>
    <s v="no"/>
    <n v="15000"/>
    <s v="paid"/>
  </r>
  <r>
    <s v="S0500551E006"/>
    <s v="SD"/>
    <s v="Bilangan Bulat"/>
    <s v="https://drive.google.com/open?id=1U0du47Pdvmuw6BlcVhYAggfARNz8B4M9"/>
    <s v="S0500551E006"/>
    <d v="2021-06-25T00:00:00"/>
    <d v="2021-07-01T00:00:00"/>
    <n v="-725"/>
    <x v="60"/>
    <n v="0"/>
    <x v="0"/>
    <s v="Accepted"/>
    <n v="0"/>
    <s v="no"/>
    <n v="15000"/>
    <s v="paid"/>
  </r>
  <r>
    <s v="S0500551E007"/>
    <s v="SD"/>
    <s v="Bilangan Bulat"/>
    <s v="https://drive.google.com/open?id=1lBFQMWhVPua6ImDICTWCH_2Ix6iM73po"/>
    <s v="S0500551E007"/>
    <d v="2021-06-25T00:00:00"/>
    <d v="2021-07-01T00:00:00"/>
    <n v="-725"/>
    <x v="60"/>
    <n v="0"/>
    <x v="0"/>
    <s v="Accepted"/>
    <n v="0"/>
    <s v="no"/>
    <n v="15000"/>
    <s v="paid"/>
  </r>
  <r>
    <s v="S0500551E008"/>
    <s v="SD"/>
    <s v="Bilangan Bulat"/>
    <s v="https://drive.google.com/open?id=1mlhayIAjxeilxdiLzt8g47uAMhUnHAsV"/>
    <s v="S0500551E008"/>
    <d v="2021-06-25T00:00:00"/>
    <d v="2021-07-01T00:00:00"/>
    <n v="-725"/>
    <x v="60"/>
    <n v="0"/>
    <x v="0"/>
    <s v="Accepted"/>
    <n v="0"/>
    <s v="no"/>
    <n v="15000"/>
    <s v="paid"/>
  </r>
  <r>
    <s v="S0500551E009"/>
    <s v="SD"/>
    <s v="Bilangan Bulat"/>
    <s v="https://drive.google.com/open?id=1_dcHuLaYyfAR2CwkvPfjlm9IEIv7dzUf"/>
    <s v="S0500551E009"/>
    <d v="2021-06-25T00:00:00"/>
    <d v="2021-07-01T00:00:00"/>
    <n v="-725"/>
    <x v="60"/>
    <n v="0"/>
    <x v="0"/>
    <s v="Accepted"/>
    <n v="0"/>
    <s v="no"/>
    <n v="15000"/>
    <s v="paid"/>
  </r>
  <r>
    <s v="S0500552E001"/>
    <s v="SD"/>
    <s v="Bilangan Bulat"/>
    <s v="https://drive.google.com/open?id=1jfQiZLsUHsg45Um4eKZJW2UvdSYm-C7E"/>
    <s v="S0500552E001"/>
    <d v="2021-06-25T00:00:00"/>
    <d v="2021-07-01T00:00:00"/>
    <n v="-725"/>
    <x v="60"/>
    <n v="0"/>
    <x v="0"/>
    <s v="Accepted"/>
    <n v="0"/>
    <s v="no"/>
    <n v="15000"/>
    <s v="paid"/>
  </r>
  <r>
    <s v="S0500552E002"/>
    <s v="SD"/>
    <s v="Bilangan Bulat"/>
    <s v="https://drive.google.com/open?id=1YGHjgM7hVrxIkrdQu_G0yPoB8ENQljwY"/>
    <s v="S0500552E002"/>
    <d v="2021-06-25T00:00:00"/>
    <d v="2021-07-01T00:00:00"/>
    <n v="-725"/>
    <x v="60"/>
    <n v="0"/>
    <x v="0"/>
    <s v="Accepted"/>
    <n v="0"/>
    <s v="no"/>
    <n v="15000"/>
    <s v="paid"/>
  </r>
  <r>
    <s v="S0500552E003"/>
    <s v="SD"/>
    <s v="Bilangan Bulat"/>
    <s v="https://drive.google.com/open?id=1mu4dFprg2T5giVdL7hfzKi3ZuQyngFOb"/>
    <s v="S0500552E003"/>
    <d v="2021-06-25T00:00:00"/>
    <d v="2021-07-01T00:00:00"/>
    <n v="-725"/>
    <x v="60"/>
    <n v="0"/>
    <x v="0"/>
    <s v="Accepted"/>
    <n v="0"/>
    <s v="no"/>
    <n v="15000"/>
    <s v="paid"/>
  </r>
  <r>
    <s v="S0500552E004"/>
    <s v="SD"/>
    <s v="Bilangan Bulat"/>
    <s v="https://drive.google.com/open?id=1ZER8pH4L_Us7V8iCGmQClyUGheLGorVM"/>
    <s v="S0500552E004"/>
    <d v="2021-06-25T00:00:00"/>
    <d v="2021-07-01T00:00:00"/>
    <n v="-725"/>
    <x v="60"/>
    <n v="0"/>
    <x v="0"/>
    <s v="Accepted"/>
    <n v="0"/>
    <s v="no"/>
    <n v="15000"/>
    <s v="paid"/>
  </r>
  <r>
    <s v="S0500552E005"/>
    <s v="SD"/>
    <s v="Bilangan Bulat"/>
    <s v="https://drive.google.com/open?id=1bpdhWU5Ass8XBpIHdNj-XJxkIQBckUfp"/>
    <s v="S0500552E005"/>
    <d v="2021-06-25T00:00:00"/>
    <d v="2021-07-01T00:00:00"/>
    <n v="-725"/>
    <x v="60"/>
    <n v="0"/>
    <x v="0"/>
    <s v="Accepted"/>
    <n v="0"/>
    <s v="no"/>
    <n v="15000"/>
    <s v="paid"/>
  </r>
  <r>
    <s v="S0500553E001"/>
    <s v="SD"/>
    <s v="Bilangan Bulat"/>
    <s v="https://drive.google.com/open?id=13D3ehDG-3EQTFNMAo0X0wGQl2_a33wqJ"/>
    <s v="S0500553E001"/>
    <d v="2021-06-25T00:00:00"/>
    <d v="2021-07-01T00:00:00"/>
    <n v="-725"/>
    <x v="60"/>
    <n v="0"/>
    <x v="0"/>
    <s v="Accepted"/>
    <n v="0"/>
    <s v="no"/>
    <n v="15000"/>
    <s v="paid"/>
  </r>
  <r>
    <s v="S0500553E002"/>
    <s v="SD"/>
    <s v="Bilangan Bulat"/>
    <s v="https://drive.google.com/open?id=1xS7amEO1a1fG_sAZ3W6iD6fxGX9elLEm"/>
    <s v="S0500553E002"/>
    <d v="2021-06-25T00:00:00"/>
    <d v="2021-07-01T00:00:00"/>
    <n v="-725"/>
    <x v="60"/>
    <n v="0"/>
    <x v="0"/>
    <s v="Accepted"/>
    <n v="0"/>
    <s v="no"/>
    <n v="15000"/>
    <s v="paid"/>
  </r>
  <r>
    <s v="S0500553E003"/>
    <s v="SD"/>
    <s v="Bilangan Bulat"/>
    <s v="https://drive.google.com/open?id=1wEXMdey5ti9qah2uPJTYGKGOdL8JPOhF"/>
    <s v="S0500553E003"/>
    <d v="2021-06-25T00:00:00"/>
    <d v="2021-07-01T00:00:00"/>
    <n v="-725"/>
    <x v="60"/>
    <n v="0"/>
    <x v="0"/>
    <s v="Accepted"/>
    <n v="0"/>
    <s v="no"/>
    <n v="15000"/>
    <s v="paid"/>
  </r>
  <r>
    <s v="S0500553E004"/>
    <s v="SD"/>
    <s v="Bilangan Bulat"/>
    <s v="https://drive.google.com/open?id=15W-eQKb6C1dpp9aonu1P6MGZLcOcW7iU"/>
    <s v="S0500553E004"/>
    <d v="2021-06-25T00:00:00"/>
    <d v="2021-07-01T00:00:00"/>
    <n v="-725"/>
    <x v="60"/>
    <n v="0"/>
    <x v="0"/>
    <s v="Accepted"/>
    <n v="0"/>
    <s v="no"/>
    <n v="15000"/>
    <s v="paid"/>
  </r>
  <r>
    <s v="S0500553E005"/>
    <s v="SD"/>
    <s v="Bilangan Bulat"/>
    <s v="https://drive.google.com/open?id=1omKNjLY5vBiLiQMxQHnwZhv3FEdu4yNA"/>
    <s v="S0500553E005"/>
    <d v="2021-06-25T00:00:00"/>
    <d v="2021-07-01T00:00:00"/>
    <n v="-725"/>
    <x v="60"/>
    <n v="0"/>
    <x v="0"/>
    <s v="Accepted"/>
    <n v="0"/>
    <s v="no"/>
    <n v="15000"/>
    <s v="paid"/>
  </r>
  <r>
    <s v="S0500563E006"/>
    <s v="SD"/>
    <s v="Bilangan Bulat"/>
    <s v="https://drive.google.com/open?id=1loaeYLCJwGxqGanhVyT2Z1CkhDNi-Ju-"/>
    <s v="S0500563E006"/>
    <d v="2021-06-25T00:00:00"/>
    <d v="2021-07-01T00:00:00"/>
    <n v="-725"/>
    <x v="60"/>
    <n v="0"/>
    <x v="0"/>
    <s v="Accepted"/>
    <n v="0"/>
    <s v="no"/>
    <n v="15000"/>
    <s v="paid"/>
  </r>
  <r>
    <s v="S0500563E007"/>
    <s v="SD"/>
    <s v="Bilangan Bulat"/>
    <s v="https://drive.google.com/open?id=15PMwlRcphXO1NSsDFWcJmFkvmDcIZu_S"/>
    <s v="S0500563E007"/>
    <d v="2021-06-25T00:00:00"/>
    <d v="2021-07-01T00:00:00"/>
    <n v="-725"/>
    <x v="60"/>
    <n v="0"/>
    <x v="0"/>
    <s v="Accepted"/>
    <n v="0"/>
    <s v="no"/>
    <n v="15000"/>
    <s v="paid"/>
  </r>
  <r>
    <s v="S0500563E008"/>
    <s v="SD"/>
    <s v="Bilangan Bulat"/>
    <s v="https://drive.google.com/open?id=19fcearIh2Il7MUB4AciwEVwRVj1_cIVc"/>
    <s v="S0500563E008"/>
    <d v="2021-06-25T00:00:00"/>
    <d v="2021-07-01T00:00:00"/>
    <n v="-725"/>
    <x v="60"/>
    <n v="0"/>
    <x v="0"/>
    <s v="Accepted"/>
    <n v="0"/>
    <s v="no"/>
    <n v="15000"/>
    <s v="paid"/>
  </r>
  <r>
    <s v="S0500563E009"/>
    <s v="SD"/>
    <s v="Bilangan Bulat"/>
    <s v="https://drive.google.com/open?id=1WK50T5l43ffLuNDu3mRQZhdglNfWM9QU"/>
    <s v="S0500563E009"/>
    <d v="2021-06-25T00:00:00"/>
    <d v="2021-07-01T00:00:00"/>
    <n v="-725"/>
    <x v="60"/>
    <n v="0"/>
    <x v="0"/>
    <s v="Accepted"/>
    <n v="0"/>
    <s v="no"/>
    <n v="15000"/>
    <s v="paid"/>
  </r>
  <r>
    <s v="S0500563E010"/>
    <s v="SD"/>
    <s v="Bilangan Bulat"/>
    <s v="https://drive.google.com/open?id=1lMN7r0aywMgw1vK_cs8FtYJ15dPYWkzr"/>
    <s v="S0500563E010"/>
    <d v="2021-06-25T00:00:00"/>
    <d v="2021-07-01T00:00:00"/>
    <n v="-725"/>
    <x v="60"/>
    <n v="0"/>
    <x v="0"/>
    <s v="Accepted"/>
    <n v="0"/>
    <s v="no"/>
    <n v="15000"/>
    <s v="paid"/>
  </r>
  <r>
    <s v="S0500561E001"/>
    <s v="SD"/>
    <s v="Bilangan Bulat"/>
    <s v="https://drive.google.com/open?id=1jNkhjWT_xtZ3BIil4tY8H3tF1kh5eBB-"/>
    <s v="S0500561E001"/>
    <d v="2021-06-25T00:00:00"/>
    <d v="2021-07-01T00:00:00"/>
    <n v="-725"/>
    <x v="60"/>
    <n v="0"/>
    <x v="0"/>
    <s v="Accepted"/>
    <n v="0"/>
    <s v="no"/>
    <n v="15000"/>
    <s v="paid"/>
  </r>
  <r>
    <s v="S0371591a001"/>
    <s v="SD"/>
    <s v="Skala"/>
    <s v="https://drive.google.com/open?id=1GBE6bUs1xqfyql03XrAJIH_SLQWSU6NT"/>
    <s v="S0371591a001"/>
    <d v="2021-06-10T00:00:00"/>
    <d v="2021-06-16T00:00:00"/>
    <n v="-740"/>
    <x v="61"/>
    <n v="0"/>
    <x v="0"/>
    <s v="Accepted"/>
    <n v="1"/>
    <s v="yes"/>
    <n v="18000"/>
    <s v="paid"/>
  </r>
  <r>
    <s v="S0441551E010"/>
    <s v="SD"/>
    <s v="Operasi Bilangan Pecahan"/>
    <s v="https://drive.google.com/open?id=1Io7-dzAHlsNPon6hR_ONw5dcXojZ1hFU"/>
    <s v="S0441551E010"/>
    <d v="2021-06-20T00:00:00"/>
    <d v="2021-06-26T00:00:00"/>
    <n v="-730"/>
    <x v="61"/>
    <n v="736"/>
    <x v="2"/>
    <s v="Rejected"/>
    <n v="1"/>
    <s v="yes"/>
    <n v="0"/>
    <s v="not yet"/>
  </r>
  <r>
    <s v="S0300991E001"/>
    <s v="SD"/>
    <s v="Operasi Bilangan Pecahan"/>
    <s v="https://drive.google.com/open?id=1HOoe0jrZnOHbF1szrce_ZmcPydhf5Qam"/>
    <s v="S0300991E001"/>
    <d v="2021-06-28T00:00:00"/>
    <d v="2021-07-04T00:00:00"/>
    <n v="-722"/>
    <x v="62"/>
    <n v="0"/>
    <x v="0"/>
    <s v="Accepted"/>
    <n v="0"/>
    <s v="no"/>
    <n v="15000"/>
    <s v="paid"/>
  </r>
  <r>
    <s v="S0301003E001"/>
    <s v="SD"/>
    <s v="Operasi Bilangan Pecahan"/>
    <s v="https://drive.google.com/open?id=1Ho2q2fKBUaBkHfak-7P_2px7gjAaVW4F"/>
    <s v="S0301003E001"/>
    <d v="2021-06-28T00:00:00"/>
    <d v="2021-07-04T00:00:00"/>
    <n v="-722"/>
    <x v="62"/>
    <n v="0"/>
    <x v="0"/>
    <s v="Accepted"/>
    <n v="0"/>
    <s v="no"/>
    <n v="15000"/>
    <s v="paid"/>
  </r>
  <r>
    <s v="S0301022E001"/>
    <s v="SD"/>
    <s v="Operasi Bilangan Pecahan"/>
    <s v="https://drive.google.com/open?id=1lX7pjhSg9K7HjkBQCw0lpY9Uit-QS1zc"/>
    <s v="S0301022E001"/>
    <d v="2021-06-28T00:00:00"/>
    <d v="2021-07-04T00:00:00"/>
    <n v="-722"/>
    <x v="62"/>
    <n v="0"/>
    <x v="0"/>
    <s v="Accepted"/>
    <n v="0"/>
    <s v="no"/>
    <n v="15000"/>
    <s v="paid"/>
  </r>
  <r>
    <s v="S0301042E006"/>
    <s v="SD"/>
    <s v="Operasi Bilangan Pecahan"/>
    <s v="https://drive.google.com/open?id=1W9V-oZhYY4ZOhdn2swcKBf8uxTD6IxOQ"/>
    <s v="S0301042E006"/>
    <d v="2021-06-28T00:00:00"/>
    <d v="2021-07-04T00:00:00"/>
    <n v="-722"/>
    <x v="62"/>
    <n v="0"/>
    <x v="0"/>
    <s v="Accepted"/>
    <n v="0"/>
    <s v="no"/>
    <n v="15000"/>
    <s v="paid"/>
  </r>
  <r>
    <s v="S0301051E001"/>
    <s v="SD"/>
    <s v="Operasi Bilangan Pecahan"/>
    <s v="https://drive.google.com/open?id=1-qHZAxdmmLNxGHOLp0SRJ3PSx5de9xYh"/>
    <s v="S0301051E001"/>
    <d v="2021-06-28T00:00:00"/>
    <d v="2021-07-04T00:00:00"/>
    <n v="-722"/>
    <x v="62"/>
    <n v="0"/>
    <x v="0"/>
    <s v="Accepted"/>
    <n v="0"/>
    <s v="no"/>
    <n v="15000"/>
    <s v="paid"/>
  </r>
  <r>
    <s v="S0301051E002"/>
    <s v="SD"/>
    <s v="Operasi Bilangan Pecahan"/>
    <s v="https://drive.google.com/open?id=1MFMpEYj5LfqqniBcOVF9kab7ONTxS3Q6"/>
    <s v="S0301051E002"/>
    <d v="2021-06-28T00:00:00"/>
    <d v="2021-07-04T00:00:00"/>
    <n v="-722"/>
    <x v="62"/>
    <n v="0"/>
    <x v="0"/>
    <s v="Accepted"/>
    <n v="0"/>
    <s v="no"/>
    <n v="15000"/>
    <s v="paid"/>
  </r>
  <r>
    <s v="S0301051E003"/>
    <s v="SD"/>
    <s v="Operasi Bilangan Pecahan"/>
    <s v="https://drive.google.com/open?id=17UuPaSUn1DjSKX0bjMzYSPV0cqWDwrWQ"/>
    <s v="S0301051E003"/>
    <d v="2021-06-28T00:00:00"/>
    <d v="2021-07-04T00:00:00"/>
    <n v="-722"/>
    <x v="62"/>
    <n v="0"/>
    <x v="0"/>
    <s v="Accepted"/>
    <n v="0"/>
    <s v="no"/>
    <n v="15000"/>
    <s v="paid"/>
  </r>
  <r>
    <s v="S0301051E005"/>
    <s v="SD"/>
    <s v="Operasi Bilangan Pecahan"/>
    <s v="https://drive.google.com/open?id=1w11CqDENUIZyvRwjcCF9NZUIoZNyeM5K"/>
    <s v="S0301051E005"/>
    <d v="2021-06-28T00:00:00"/>
    <d v="2021-07-04T00:00:00"/>
    <n v="-722"/>
    <x v="62"/>
    <n v="0"/>
    <x v="0"/>
    <s v="Accepted"/>
    <n v="0"/>
    <s v="no"/>
    <n v="15000"/>
    <s v="paid"/>
  </r>
  <r>
    <s v="S0041401P001"/>
    <s v="SD"/>
    <s v="Statistika 6"/>
    <s v="https://drive.google.com/open?id=13pntwI3CcNyUZF0Tq7C3LwO6P4Dc9Xb2"/>
    <s v="S0041401P001"/>
    <d v="2021-06-18T00:00:00"/>
    <d v="2021-06-24T00:00:00"/>
    <n v="-732"/>
    <x v="63"/>
    <n v="0"/>
    <x v="0"/>
    <s v="Accepted"/>
    <n v="0"/>
    <s v="no"/>
    <n v="15000"/>
    <s v="paid"/>
  </r>
  <r>
    <s v="S0041401P002"/>
    <s v="SD"/>
    <s v="Statistika 6"/>
    <s v="https://drive.google.com/open?id=1p82zDz6cW54oVCsDlJGagwBuclIRMU7Y"/>
    <s v="S0041401P002"/>
    <d v="2021-06-18T00:00:00"/>
    <d v="2021-06-24T00:00:00"/>
    <n v="-732"/>
    <x v="63"/>
    <n v="0"/>
    <x v="0"/>
    <s v="Accepted"/>
    <n v="0"/>
    <s v="no"/>
    <n v="15000"/>
    <s v="paid"/>
  </r>
  <r>
    <s v="S0061971P019"/>
    <s v="SD"/>
    <s v="Pengumpulan Dan Penyajian Data"/>
    <s v="https://drive.google.com/open?id=1CCVjREcsmNP96vYD0HnTf2Dj3aUuPRPE"/>
    <s v="S0061971P019"/>
    <d v="2021-06-20T00:00:00"/>
    <d v="2021-06-26T00:00:00"/>
    <n v="-730"/>
    <x v="63"/>
    <n v="0"/>
    <x v="0"/>
    <s v="Accepted"/>
    <n v="0"/>
    <s v="no"/>
    <n v="15000"/>
    <s v="paid"/>
  </r>
  <r>
    <s v="S0061971P020"/>
    <s v="SD"/>
    <s v="Pengumpulan Dan Penyajian Data"/>
    <s v="https://drive.google.com/open?id=1g9IN3cSskwp0CwtQJzS4JqWISaAhU8hM"/>
    <s v="S0061971P020"/>
    <d v="2021-06-20T00:00:00"/>
    <d v="2021-06-26T00:00:00"/>
    <n v="-730"/>
    <x v="63"/>
    <n v="0"/>
    <x v="0"/>
    <s v="Accepted"/>
    <n v="0"/>
    <s v="no"/>
    <n v="15000"/>
    <s v="paid"/>
  </r>
  <r>
    <s v="S0300962E001"/>
    <s v="SD"/>
    <s v="Operasi Bilangan Pecahan"/>
    <s v="https://drive.google.com/open?id=18NpkxQ_IsllZrF9sdPZteGKRQNJruuy_"/>
    <s v="S0300962E001"/>
    <d v="2021-06-28T00:00:00"/>
    <d v="2021-07-04T00:00:00"/>
    <n v="-722"/>
    <x v="63"/>
    <n v="0"/>
    <x v="0"/>
    <s v="Accepted"/>
    <n v="0"/>
    <s v="no"/>
    <n v="15000"/>
    <s v="paid"/>
  </r>
  <r>
    <s v="S0300962E002"/>
    <s v="SD"/>
    <s v="Operasi Bilangan Pecahan"/>
    <s v="https://drive.google.com/open?id=1-ugTkG6dTNQvSXvjcm4-rSAIBDafUvd9"/>
    <s v="S0300962E002"/>
    <d v="2021-06-28T00:00:00"/>
    <d v="2021-07-04T00:00:00"/>
    <n v="-722"/>
    <x v="63"/>
    <n v="0"/>
    <x v="0"/>
    <s v="Accepted"/>
    <n v="0"/>
    <s v="no"/>
    <n v="15000"/>
    <s v="paid"/>
  </r>
  <r>
    <s v="S0300962E003"/>
    <s v="SD"/>
    <s v="Operasi Bilangan Pecahan"/>
    <s v="https://drive.google.com/open?id=1R_ww2oSzwTu5hwgIY1uy5-3qtCoTGh6N"/>
    <s v="S0300962E003"/>
    <d v="2021-06-28T00:00:00"/>
    <d v="2021-07-04T00:00:00"/>
    <n v="-722"/>
    <x v="63"/>
    <n v="0"/>
    <x v="0"/>
    <s v="Accepted"/>
    <n v="0"/>
    <s v="no"/>
    <n v="15000"/>
    <s v="paid"/>
  </r>
  <r>
    <s v="S0301001E001"/>
    <s v="SD"/>
    <s v="Operasi Bilangan Pecahan"/>
    <s v="https://drive.google.com/open?id=17N9Dcrj3i-vRCaljxIQ3XtLEJFs4Me0g"/>
    <s v="S0301001E001"/>
    <d v="2021-06-28T00:00:00"/>
    <d v="2021-07-04T00:00:00"/>
    <n v="-722"/>
    <x v="64"/>
    <n v="0"/>
    <x v="0"/>
    <s v="Accepted"/>
    <n v="0"/>
    <s v="no"/>
    <n v="15000"/>
    <s v="paid"/>
  </r>
  <r>
    <s v="S0301001E002"/>
    <s v="SD"/>
    <s v="Operasi Bilangan Pecahan"/>
    <s v="https://drive.google.com/open?id=1BOUt4jV3exxdmR7aySRslourd5kBhbY0"/>
    <s v="S0301001E002"/>
    <d v="2021-06-28T00:00:00"/>
    <d v="2021-07-04T00:00:00"/>
    <n v="-722"/>
    <x v="64"/>
    <n v="0"/>
    <x v="0"/>
    <s v="Accepted"/>
    <n v="0"/>
    <s v="no"/>
    <n v="15000"/>
    <s v="paid"/>
  </r>
  <r>
    <s v="S0301001E003"/>
    <s v="SD"/>
    <s v="Operasi Bilangan Pecahan"/>
    <s v="https://drive.google.com/open?id=11-XVSOYyZpFaCh-yFCShIYjsYEc9hVPq"/>
    <s v="S0301001E003"/>
    <d v="2021-06-28T00:00:00"/>
    <d v="2021-07-04T00:00:00"/>
    <n v="-722"/>
    <x v="64"/>
    <n v="0"/>
    <x v="0"/>
    <s v="Accepted"/>
    <n v="0"/>
    <s v="no"/>
    <n v="15000"/>
    <s v="paid"/>
  </r>
  <r>
    <s v="S0301001E004"/>
    <s v="SD"/>
    <s v="Operasi Bilangan Pecahan"/>
    <s v="https://drive.google.com/open?id=11Mi9W5lRVjbogVaAp73NE-qmJzWo1X2f"/>
    <s v="S0301001E004"/>
    <d v="2021-06-28T00:00:00"/>
    <d v="2021-07-04T00:00:00"/>
    <n v="-722"/>
    <x v="64"/>
    <n v="0"/>
    <x v="0"/>
    <s v="Accepted"/>
    <n v="0"/>
    <s v="no"/>
    <n v="15000"/>
    <s v="paid"/>
  </r>
  <r>
    <s v="S0301002E001"/>
    <s v="SD"/>
    <s v="Operasi Bilangan Pecahan"/>
    <s v="https://drive.google.com/open?id=1uyECuVt-VmRRPvWhuECC5mhT5s3Lrv-u"/>
    <s v="S0301002E001"/>
    <d v="2021-06-28T00:00:00"/>
    <d v="2021-07-04T00:00:00"/>
    <n v="-722"/>
    <x v="64"/>
    <n v="0"/>
    <x v="0"/>
    <s v="Accepted"/>
    <n v="0"/>
    <s v="no"/>
    <n v="15000"/>
    <s v="paid"/>
  </r>
  <r>
    <s v="S0301002E002"/>
    <s v="SD"/>
    <s v="Operasi Bilangan Pecahan"/>
    <s v="https://drive.google.com/open?id=1QON2Cxof4enI3bepM3gGY1vdlJlv2cc4"/>
    <s v="S0301002E002"/>
    <d v="2021-06-28T00:00:00"/>
    <d v="2021-07-04T00:00:00"/>
    <n v="-722"/>
    <x v="64"/>
    <n v="0"/>
    <x v="0"/>
    <s v="Accepted"/>
    <n v="0"/>
    <s v="no"/>
    <n v="15000"/>
    <s v="paid"/>
  </r>
  <r>
    <s v="S0301002E003"/>
    <s v="SD"/>
    <s v="Operasi Bilangan Pecahan"/>
    <s v="https://drive.google.com/open?id=198q6WUuJREFVNmxslubWY49d_1NPgreO"/>
    <s v="S0301002E003"/>
    <d v="2021-06-28T00:00:00"/>
    <d v="2021-07-04T00:00:00"/>
    <n v="-722"/>
    <x v="65"/>
    <n v="0"/>
    <x v="0"/>
    <s v="Accepted"/>
    <n v="0"/>
    <s v="no"/>
    <n v="15000"/>
    <s v="paid"/>
  </r>
  <r>
    <s v="S0301002E004"/>
    <s v="SD"/>
    <s v="Operasi Bilangan Pecahan"/>
    <s v="https://drive.google.com/open?id=1L-HFi_-4K47wzWpyyOPvpWwGJVFu2mEc"/>
    <s v="S0301002E004"/>
    <d v="2021-06-28T00:00:00"/>
    <d v="2021-07-04T00:00:00"/>
    <n v="-722"/>
    <x v="65"/>
    <n v="0"/>
    <x v="0"/>
    <s v="Accepted"/>
    <n v="0"/>
    <s v="no"/>
    <n v="15000"/>
    <s v="paid"/>
  </r>
  <r>
    <s v="S0301021E001"/>
    <s v="SD"/>
    <s v="Operasi Bilangan Pecahan"/>
    <s v="https://drive.google.com/open?id=1AuTdP59oCbAVTVId-DBaPN7umuSU6ARN"/>
    <s v="S0301021E001"/>
    <d v="2021-06-28T00:00:00"/>
    <d v="2021-07-04T00:00:00"/>
    <n v="-722"/>
    <x v="65"/>
    <n v="0"/>
    <x v="0"/>
    <s v="Accepted"/>
    <n v="0"/>
    <s v="no"/>
    <n v="15000"/>
    <s v="paid"/>
  </r>
  <r>
    <s v="S0301021E004"/>
    <s v="SD"/>
    <s v="Operasi Bilangan Pecahan"/>
    <s v="https://drive.google.com/open?id=1F2vJE5awnUBjwhPFKKSpO_ylr6NUvliQ"/>
    <s v="S0301021E004"/>
    <d v="2021-06-28T00:00:00"/>
    <d v="2021-07-04T00:00:00"/>
    <n v="-722"/>
    <x v="65"/>
    <n v="0"/>
    <x v="0"/>
    <s v="Accepted"/>
    <n v="0"/>
    <s v="no"/>
    <n v="15000"/>
    <s v="paid"/>
  </r>
  <r>
    <s v="S0301032E002"/>
    <s v="SD"/>
    <s v="Operasi Bilangan Pecahan"/>
    <s v="https://drive.google.com/open?id=1m_nLDb3tMo0PtQcWec4kuRwFFHM-LEEt"/>
    <s v="S0301032E002"/>
    <d v="2021-06-28T00:00:00"/>
    <d v="2021-07-04T00:00:00"/>
    <n v="-722"/>
    <x v="65"/>
    <n v="0"/>
    <x v="0"/>
    <s v="Accepted"/>
    <n v="0"/>
    <s v="no"/>
    <n v="15000"/>
    <s v="paid"/>
  </r>
  <r>
    <s v="S0301032E004"/>
    <s v="SD"/>
    <s v="Operasi Bilangan Pecahan"/>
    <s v="https://drive.google.com/open?id=1Mv1WCjpaXvWF-CNohvwC5cmEj_qHCNlI"/>
    <s v="S0301032E004"/>
    <d v="2021-06-28T00:00:00"/>
    <d v="2021-07-04T00:00:00"/>
    <n v="-722"/>
    <x v="65"/>
    <n v="0"/>
    <x v="0"/>
    <s v="Accepted"/>
    <n v="0"/>
    <s v="no"/>
    <n v="15000"/>
    <s v="paid"/>
  </r>
  <r>
    <s v="S0301051E004"/>
    <s v="SD"/>
    <s v="Operasi Bilangan Pecahan"/>
    <s v="https://drive.google.com/open?id=1Te2O1yMqxHSbEFxX7vQ4E3Fw2PK3Z-Xa"/>
    <s v="S0301051E004"/>
    <d v="2021-06-28T00:00:00"/>
    <d v="2021-07-04T00:00:00"/>
    <n v="-722"/>
    <x v="65"/>
    <n v="0"/>
    <x v="0"/>
    <s v="Accepted"/>
    <n v="0"/>
    <s v="no"/>
    <n v="15000"/>
    <s v="paid"/>
  </r>
  <r>
    <s v="S0301051E007"/>
    <s v="SD"/>
    <s v="Operasi Bilangan Pecahan"/>
    <s v="https://drive.google.com/open?id=1CnLy1K7H6KQqD29HqatTa5KBhWS9xj4d"/>
    <s v="S0301051E007"/>
    <d v="2021-06-28T00:00:00"/>
    <d v="2021-07-04T00:00:00"/>
    <n v="-722"/>
    <x v="65"/>
    <n v="0"/>
    <x v="0"/>
    <s v="Accepted"/>
    <n v="0"/>
    <s v="no"/>
    <n v="15000"/>
    <s v="paid"/>
  </r>
  <r>
    <s v="S0301051E008"/>
    <s v="SD"/>
    <s v="Operasi Bilangan Pecahan"/>
    <s v="https://drive.google.com/open?id=1omz-6iL_1DRmYf1nV5hkols5fcVfiOaF"/>
    <s v="S0301051E008"/>
    <d v="2021-06-28T00:00:00"/>
    <d v="2021-07-04T00:00:00"/>
    <n v="-722"/>
    <x v="65"/>
    <n v="0"/>
    <x v="0"/>
    <s v="Accepted"/>
    <n v="0"/>
    <s v="no"/>
    <n v="15000"/>
    <s v="paid"/>
  </r>
  <r>
    <s v="S0380912E011"/>
    <s v="SD"/>
    <s v="Pecahan"/>
    <s v="https://drive.google.com/open?id=1Z_1rv36Q_oe9V3hybBFPp9SFTesHXXuw"/>
    <s v="S0380912E011"/>
    <d v="2021-06-28T00:00:00"/>
    <d v="2021-07-04T00:00:00"/>
    <n v="-722"/>
    <x v="65"/>
    <n v="0"/>
    <x v="0"/>
    <s v="Accepted"/>
    <n v="0"/>
    <s v="no"/>
    <n v="15000"/>
    <s v="paid"/>
  </r>
  <r>
    <s v="S0380912E012"/>
    <s v="SD"/>
    <s v="Pecahan"/>
    <s v="https://drive.google.com/open?id=1d9ttjJJkE2u_FVlBqb3Gs_C1iQ3XCcEG"/>
    <s v="S0380912E012"/>
    <d v="2021-06-28T00:00:00"/>
    <d v="2021-07-04T00:00:00"/>
    <n v="-722"/>
    <x v="65"/>
    <n v="0"/>
    <x v="0"/>
    <s v="Accepted"/>
    <n v="0"/>
    <s v="no"/>
    <n v="15000"/>
    <s v="paid"/>
  </r>
  <r>
    <s v="S0380912E013"/>
    <s v="SD"/>
    <s v="Pecahan"/>
    <s v="https://drive.google.com/open?id=1HjZpZSYE_wQqegT9t8IaabN4B9DiFb7B"/>
    <s v="S0380912E013"/>
    <d v="2021-06-28T00:00:00"/>
    <d v="2021-07-04T00:00:00"/>
    <n v="-722"/>
    <x v="65"/>
    <n v="0"/>
    <x v="0"/>
    <s v="Accepted"/>
    <n v="0"/>
    <s v="no"/>
    <n v="15000"/>
    <s v="paid"/>
  </r>
  <r>
    <s v="S0380912E015"/>
    <s v="SD"/>
    <s v="Pecahan"/>
    <s v="https://drive.google.com/open?id=1jiW3_yIQFqU3OtX8gRMFiadeTErgG5U5"/>
    <s v="S0380912E015"/>
    <d v="2021-06-28T00:00:00"/>
    <d v="2021-07-04T00:00:00"/>
    <n v="-722"/>
    <x v="65"/>
    <n v="0"/>
    <x v="0"/>
    <s v="Accepted"/>
    <n v="0"/>
    <s v="no"/>
    <n v="15000"/>
    <s v="paid"/>
  </r>
  <r>
    <s v="S0301032E003"/>
    <s v="SD"/>
    <s v="Operasi Bilangan Pecahan"/>
    <s v="https://drive.google.com/open?id=1uqCtBTFIiCVpv-EycHeLu47D7X9ZG0Mt"/>
    <s v="S0301032E003"/>
    <d v="2021-06-28T00:00:00"/>
    <d v="2021-07-04T00:00:00"/>
    <n v="-722"/>
    <x v="66"/>
    <n v="0"/>
    <x v="0"/>
    <s v="Accepted"/>
    <n v="0"/>
    <s v="no"/>
    <n v="15000"/>
    <s v="paid"/>
  </r>
  <r>
    <s v="S0380912E014"/>
    <s v="SD"/>
    <s v="Pecahan"/>
    <s v="https://drive.google.com/open?id=1oBI4Thzl3dY57O7cljILpx8A3iK_9i1i"/>
    <s v="S0380912E014"/>
    <d v="2021-06-28T00:00:00"/>
    <d v="2021-07-04T00:00:00"/>
    <n v="-722"/>
    <x v="66"/>
    <n v="0"/>
    <x v="0"/>
    <s v="Accepted"/>
    <n v="0"/>
    <s v="no"/>
    <n v="15000"/>
    <s v="paid"/>
  </r>
  <r>
    <s v="S0380922E001"/>
    <s v="SD"/>
    <s v="Operasi Bilangan Pecahan"/>
    <s v="https://drive.google.com/open?id=1-VqAAg-qjAIV2y_6xU7OOgjPhpSH0TcQ"/>
    <s v="S0380922E001"/>
    <d v="2021-06-28T00:00:00"/>
    <d v="2021-07-04T00:00:00"/>
    <n v="-722"/>
    <x v="66"/>
    <n v="0"/>
    <x v="0"/>
    <s v="Accepted"/>
    <n v="0"/>
    <s v="no"/>
    <n v="15000"/>
    <s v="paid"/>
  </r>
  <r>
    <s v="S0061961P016"/>
    <s v="SD"/>
    <s v="Pengumpulan Dan Penyajian Data"/>
    <s v="https://drive.google.com/open?id=1KtMu1g8ymnWGQtR1lUPSt9O8qEzBCh0S"/>
    <s v="S0061961P016"/>
    <d v="2021-07-05T00:00:00"/>
    <d v="2021-07-11T00:00:00"/>
    <n v="-715"/>
    <x v="67"/>
    <n v="0"/>
    <x v="0"/>
    <s v="Accepted"/>
    <n v="1"/>
    <s v="no"/>
    <n v="15000"/>
    <s v="paid"/>
  </r>
  <r>
    <s v="S0442363E004"/>
    <s v="SD"/>
    <s v="Operasi Bilangan Pecahan"/>
    <s v="https://drive.google.com/open?id=1Bp1zCbAbuOUrsGBttsjHTv8YkGfqzSFx"/>
    <s v="S0442363E004"/>
    <d v="2021-07-05T00:00:00"/>
    <d v="2021-07-11T00:00:00"/>
    <n v="-715"/>
    <x v="68"/>
    <n v="0"/>
    <x v="0"/>
    <s v="Accepted"/>
    <n v="1"/>
    <s v="yes"/>
    <n v="18000"/>
    <s v="paid"/>
  </r>
  <r>
    <s v="S0300952E004"/>
    <s v="SD"/>
    <s v="Operasi Bilangan Pecahan"/>
    <s v="https://drive.google.com/open?id=1XTvlrRkRS3PELbdVHYVrhsw6jUJykSqw"/>
    <s v="S0300952E004"/>
    <d v="2021-07-05T00:00:00"/>
    <d v="2021-07-11T00:00:00"/>
    <n v="-715"/>
    <x v="69"/>
    <n v="0"/>
    <x v="0"/>
    <s v="Accepted"/>
    <n v="0"/>
    <s v="yes"/>
    <n v="18000"/>
    <s v="paid"/>
  </r>
  <r>
    <s v="S0061961P017"/>
    <s v="SD"/>
    <s v="Pengumpulan Dan Penyajian Data"/>
    <s v="https://drive.google.com/open?id=1CRmOObGMqRWhmgUmtpkKG0vD7CipiCM5"/>
    <s v="S0061961P017"/>
    <d v="2021-07-05T00:00:00"/>
    <d v="2021-07-11T00:00:00"/>
    <n v="-715"/>
    <x v="70"/>
    <n v="0"/>
    <x v="0"/>
    <s v="Accepted"/>
    <n v="1"/>
    <s v="no"/>
    <n v="15000"/>
    <s v="paid"/>
  </r>
  <r>
    <s v="S0380922E002"/>
    <s v="SD"/>
    <s v="Operasi Bilangan Pecahan"/>
    <s v="https://drive.google.com/open?id=1nEEZsyYAzOI1uZwhCW69IWvDQotSOyCO"/>
    <s v="S0380922E002"/>
    <d v="2021-07-05T00:00:00"/>
    <d v="2021-07-11T00:00:00"/>
    <n v="-715"/>
    <x v="70"/>
    <n v="0"/>
    <x v="0"/>
    <s v="Accepted"/>
    <n v="0"/>
    <s v="yes"/>
    <n v="18000"/>
    <s v="paid"/>
  </r>
  <r>
    <s v="S0041513E004"/>
    <s v="SD"/>
    <s v="Bangun Ruang Sisi Lengkung"/>
    <s v="https://drive.google.com/open?id=17O3_04mVHETpd1_Nygdnfn1Q14qA3nRF"/>
    <s v="S0041513E004"/>
    <d v="2021-07-05T00:00:00"/>
    <d v="2021-07-11T00:00:00"/>
    <n v="-715"/>
    <x v="70"/>
    <n v="0"/>
    <x v="0"/>
    <s v="Accepted"/>
    <n v="0"/>
    <s v="no"/>
    <n v="15000"/>
    <s v="paid"/>
  </r>
  <r>
    <s v="S0050931E001"/>
    <s v="SD"/>
    <s v="Bangun Ruang Sisi Lengkung"/>
    <s v="https://drive.google.com/open?id=170sMxZdORIgcOgOEFlcbl-qxNH4SXEhc"/>
    <s v="S0050931E001"/>
    <d v="2021-07-05T00:00:00"/>
    <d v="2021-07-11T00:00:00"/>
    <n v="-715"/>
    <x v="70"/>
    <n v="0"/>
    <x v="0"/>
    <s v="Accepted"/>
    <n v="0"/>
    <s v="no"/>
    <n v="15000"/>
    <s v="paid"/>
  </r>
  <r>
    <s v="S0041541P022"/>
    <s v="SD"/>
    <s v="Bangun Ruang Sisi Lengkung"/>
    <s v="https://drive.google.com/open?id=1VBFVHdxrjK_ivVdNBQRzYXjq92K6M8Uk"/>
    <s v="S0041541P022"/>
    <d v="2021-07-05T00:00:00"/>
    <d v="2021-07-11T00:00:00"/>
    <n v="-715"/>
    <x v="70"/>
    <n v="0"/>
    <x v="0"/>
    <s v="Accepted"/>
    <n v="0"/>
    <s v="no"/>
    <n v="15000"/>
    <s v="paid"/>
  </r>
  <r>
    <s v="S0041562E004"/>
    <s v="SD"/>
    <s v="Bangun Ruang Sisi Lengkung"/>
    <s v="https://drive.google.com/open?id=1Q5NgrdlMNuvponVt8ys-blLD7CxvceGq"/>
    <s v="S0041562E004"/>
    <d v="2021-07-05T00:00:00"/>
    <d v="2021-07-11T00:00:00"/>
    <n v="-715"/>
    <x v="70"/>
    <n v="0"/>
    <x v="0"/>
    <s v="Accepted"/>
    <n v="0"/>
    <s v="no"/>
    <n v="15000"/>
    <s v="paid"/>
  </r>
  <r>
    <s v="S0050892E001"/>
    <s v="SD"/>
    <s v="Bangun Ruang Sisi Lengkung"/>
    <s v="https://drive.google.com/open?id=11RHgSOIRSrmRqfQ5SQAuZFQv7tMrajXk"/>
    <s v="S0050892E001"/>
    <d v="2021-07-05T00:00:00"/>
    <d v="2021-07-11T00:00:00"/>
    <n v="-715"/>
    <x v="70"/>
    <n v="0"/>
    <x v="0"/>
    <s v="Accepted"/>
    <n v="0"/>
    <s v="no"/>
    <n v="15000"/>
    <s v="paid"/>
  </r>
  <r>
    <s v="S0050901E003"/>
    <s v="SD"/>
    <s v="Bangun Ruang Sisi Lengkung"/>
    <s v="https://drive.google.com/open?id=1Sqd1IfRGGcpo7g_ncidL8ZqKvKqC8D1a"/>
    <s v="S0050901E003"/>
    <d v="2021-07-05T00:00:00"/>
    <d v="2021-07-11T00:00:00"/>
    <n v="-715"/>
    <x v="70"/>
    <n v="0"/>
    <x v="0"/>
    <s v="Accepted"/>
    <n v="0"/>
    <s v="no"/>
    <n v="15000"/>
    <s v="paid"/>
  </r>
  <r>
    <s v="S0050901E004"/>
    <s v="SD"/>
    <s v="Bangun Ruang Sisi Lengkung"/>
    <s v="https://drive.google.com/open?id=1OkFe-BoyM6LSFOx9qYjlo6otG1xsgYJ7"/>
    <s v="S0050901E004"/>
    <d v="2021-07-05T00:00:00"/>
    <d v="2021-07-11T00:00:00"/>
    <n v="-715"/>
    <x v="70"/>
    <n v="0"/>
    <x v="0"/>
    <s v="Accepted"/>
    <n v="0"/>
    <s v="no"/>
    <n v="15000"/>
    <s v="paid"/>
  </r>
  <r>
    <s v="S0050921E001"/>
    <s v="SD"/>
    <s v="Bangun Ruang Sisi Lengkung"/>
    <s v="https://drive.google.com/open?id=1AISnUvHmBixo7i19oC16M_eeOcrWZyYX"/>
    <s v="S0050921E001"/>
    <d v="2021-07-05T00:00:00"/>
    <d v="2021-07-11T00:00:00"/>
    <n v="-715"/>
    <x v="70"/>
    <n v="0"/>
    <x v="0"/>
    <s v="Accepted"/>
    <n v="0"/>
    <s v="no"/>
    <n v="15000"/>
    <s v="paid"/>
  </r>
  <r>
    <s v="S0442352E010"/>
    <s v="SD"/>
    <s v="Operasi Bilangan Pecahan"/>
    <s v="https://drive.google.com/open?id=1kJUsNn-iZJwn_-T7iDp2QIb8knozsjTR"/>
    <s v="S0442352E010"/>
    <d v="2021-07-05T00:00:00"/>
    <d v="2021-07-11T00:00:00"/>
    <n v="-715"/>
    <x v="71"/>
    <n v="0"/>
    <x v="0"/>
    <s v="Accepted"/>
    <n v="1"/>
    <s v="no"/>
    <n v="15000"/>
    <s v="paid"/>
  </r>
  <r>
    <s v="S0300952E005"/>
    <s v="SD"/>
    <s v="Operasi Bilangan Pecahan"/>
    <s v="https://drive.google.com/open?id=1eHgYU0LPdGxlOWqrCDodbp5HBLDn1ChA"/>
    <s v="S0300952E005"/>
    <d v="2021-07-05T00:00:00"/>
    <d v="2021-07-11T00:00:00"/>
    <n v="-715"/>
    <x v="71"/>
    <n v="0"/>
    <x v="0"/>
    <s v="Accepted"/>
    <n v="0"/>
    <s v="yes"/>
    <n v="18000"/>
    <s v="paid"/>
  </r>
  <r>
    <s v="S0300952E006"/>
    <s v="SD"/>
    <s v="Operasi Bilangan Pecahan"/>
    <s v="https://drive.google.com/open?id=1seuQ8J59EYeBq3hRGpxZ9lMSW-QgmP6D"/>
    <s v="S0300952E006"/>
    <d v="2021-07-05T00:00:00"/>
    <d v="2021-07-11T00:00:00"/>
    <n v="-715"/>
    <x v="71"/>
    <n v="0"/>
    <x v="0"/>
    <s v="Accepted"/>
    <n v="0"/>
    <s v="yes"/>
    <n v="18000"/>
    <s v="paid"/>
  </r>
  <r>
    <s v="S0300952E007"/>
    <s v="SD"/>
    <s v="Operasi Bilangan Pecahan"/>
    <s v="https://drive.google.com/open?id=1PTC5RV0uPPymYrcuGdCejG-P2UjAQq0l"/>
    <s v="S0300952E007"/>
    <d v="2021-07-05T00:00:00"/>
    <d v="2021-07-11T00:00:00"/>
    <n v="-715"/>
    <x v="71"/>
    <n v="0"/>
    <x v="0"/>
    <s v="Accepted"/>
    <n v="0"/>
    <s v="yes"/>
    <n v="18000"/>
    <s v="paid"/>
  </r>
  <r>
    <s v="S0300952E008"/>
    <s v="SD"/>
    <s v="Operasi Bilangan Pecahan"/>
    <s v="https://drive.google.com/open?id=1XJgu2GYbUVtNV8WZW-INl6_7n0ROk2Ck"/>
    <s v="S0300952E008"/>
    <d v="2021-07-05T00:00:00"/>
    <d v="2021-07-11T00:00:00"/>
    <n v="-715"/>
    <x v="71"/>
    <n v="0"/>
    <x v="0"/>
    <s v="Accepted"/>
    <n v="0"/>
    <s v="yes"/>
    <n v="18000"/>
    <s v="paid"/>
  </r>
  <r>
    <s v="S0050952E001"/>
    <s v="SD"/>
    <s v="Bangun Ruang Sisi Lengkung"/>
    <s v="https://drive.google.com/open?id=1060uoJJHmGBWWvmcFYFAfAmUfUBScUVS"/>
    <s v="S0050952E001"/>
    <d v="2021-07-05T00:00:00"/>
    <d v="2021-07-11T00:00:00"/>
    <n v="-715"/>
    <x v="71"/>
    <n v="0"/>
    <x v="0"/>
    <s v="Accepted"/>
    <n v="0"/>
    <s v="no"/>
    <n v="15000"/>
    <s v="paid"/>
  </r>
  <r>
    <s v="S0501001E001"/>
    <s v="SD"/>
    <s v="Bangun Datar"/>
    <s v="https://drive.google.com/open?id=12OYWKGZT71lZC3VvvVbVyCVEkGmT_zPy"/>
    <s v="S0501001E001"/>
    <d v="2021-07-05T00:00:00"/>
    <d v="2021-07-11T00:00:00"/>
    <n v="-715"/>
    <x v="71"/>
    <n v="0"/>
    <x v="0"/>
    <s v="Accepted"/>
    <n v="0"/>
    <s v="no"/>
    <n v="15000"/>
    <s v="paid"/>
  </r>
  <r>
    <s v="S0501001E002"/>
    <s v="SD"/>
    <s v="Bangun Datar"/>
    <s v="https://drive.google.com/open?id=1jtSOlrJhbJiPZpSU8tQ19yCs1cC4XiQN"/>
    <s v="S0501001E002"/>
    <d v="2021-07-05T00:00:00"/>
    <d v="2021-07-11T00:00:00"/>
    <n v="-715"/>
    <x v="71"/>
    <n v="0"/>
    <x v="0"/>
    <s v="Accepted"/>
    <n v="0"/>
    <s v="no"/>
    <n v="15000"/>
    <s v="paid"/>
  </r>
  <r>
    <s v="S0501011E004"/>
    <s v="SD"/>
    <s v="Bangun Datar"/>
    <s v="https://drive.google.com/open?id=1ZNrz4D_BAqK1pU23FgYw57EfhU-M-Ez5"/>
    <s v="S0501011E004"/>
    <d v="2021-07-05T00:00:00"/>
    <d v="2021-07-11T00:00:00"/>
    <n v="-715"/>
    <x v="71"/>
    <n v="0"/>
    <x v="0"/>
    <s v="Accepted"/>
    <n v="0"/>
    <s v="no"/>
    <n v="15000"/>
    <s v="paid"/>
  </r>
  <r>
    <s v="S0501011E005"/>
    <s v="SD"/>
    <s v="Bangun Datar"/>
    <s v="https://drive.google.com/open?id=1mWmyE-uQ5w2spra2Z4-ufvQ5c9Jnr_1C"/>
    <s v="S0501011E005"/>
    <d v="2021-07-05T00:00:00"/>
    <d v="2021-07-11T00:00:00"/>
    <n v="-715"/>
    <x v="71"/>
    <n v="0"/>
    <x v="0"/>
    <s v="Accepted"/>
    <n v="0"/>
    <s v="no"/>
    <n v="15000"/>
    <s v="paid"/>
  </r>
  <r>
    <s v="S0501011E008"/>
    <s v="SD"/>
    <s v="Bangun Datar"/>
    <s v="https://drive.google.com/open?id=15LnBRmXm_kWOMbU69urVdA7xaWjwmgKx"/>
    <s v="S0501011E008"/>
    <d v="2021-07-05T00:00:00"/>
    <d v="2021-07-11T00:00:00"/>
    <n v="-715"/>
    <x v="71"/>
    <n v="0"/>
    <x v="0"/>
    <s v="Accepted"/>
    <n v="0"/>
    <s v="no"/>
    <n v="15000"/>
    <s v="paid"/>
  </r>
  <r>
    <s v="S0501011E009"/>
    <s v="SD"/>
    <s v="Bangun Datar"/>
    <s v="https://drive.google.com/open?id=1qSxOjZgS9Q2ttVaT-wMc8CRW45PS_R2X"/>
    <s v="S0501011E009"/>
    <d v="2021-07-05T00:00:00"/>
    <d v="2021-07-11T00:00:00"/>
    <n v="-715"/>
    <x v="71"/>
    <n v="0"/>
    <x v="0"/>
    <s v="Accepted"/>
    <n v="0"/>
    <s v="no"/>
    <n v="15000"/>
    <s v="paid"/>
  </r>
  <r>
    <s v="S0501011E010"/>
    <s v="SD"/>
    <s v="Bangun Datar"/>
    <s v="https://drive.google.com/open?id=1FIT9OcqJRcKeOZ3VQw4GUlDXMW5qrKaP"/>
    <s v="S0501011E010"/>
    <d v="2021-07-05T00:00:00"/>
    <d v="2021-07-11T00:00:00"/>
    <n v="-715"/>
    <x v="71"/>
    <n v="0"/>
    <x v="0"/>
    <s v="Accepted"/>
    <n v="0"/>
    <s v="no"/>
    <n v="15000"/>
    <s v="paid"/>
  </r>
  <r>
    <s v="S0501031E005"/>
    <s v="SD"/>
    <s v="Bangun Datar"/>
    <s v="https://drive.google.com/open?id=1neAGWoiEIGaAo1aigSd84vil3wRBUYLH"/>
    <s v="S0501031E005"/>
    <d v="2021-07-05T00:00:00"/>
    <d v="2021-07-11T00:00:00"/>
    <n v="-715"/>
    <x v="71"/>
    <n v="0"/>
    <x v="0"/>
    <s v="Accepted"/>
    <n v="0"/>
    <s v="no"/>
    <n v="15000"/>
    <s v="paid"/>
  </r>
  <r>
    <s v="S0050901E001"/>
    <s v="SD"/>
    <s v="Bangun Ruang Sisi Lengkung"/>
    <s v="https://drive.google.com/open?id=1imvyTs3fXxNO0TPTxczuPcY0j37tTjIB"/>
    <s v="S0050901E001"/>
    <d v="2021-07-05T00:00:00"/>
    <d v="2021-07-11T00:00:00"/>
    <n v="-715"/>
    <x v="71"/>
    <n v="0"/>
    <x v="0"/>
    <s v="Accepted"/>
    <n v="0"/>
    <s v="no"/>
    <n v="15000"/>
    <s v="paid"/>
  </r>
  <r>
    <s v="S0050931E004"/>
    <s v="SD"/>
    <s v="Bangun Ruang Sisi Lengkung"/>
    <s v="https://drive.google.com/open?id=1oy7y9mH_Ww66tE97SPYC3Nm2ySwbSXjO"/>
    <s v="S0050931E004"/>
    <d v="2021-07-05T00:00:00"/>
    <d v="2021-07-11T00:00:00"/>
    <n v="-715"/>
    <x v="71"/>
    <n v="0"/>
    <x v="0"/>
    <s v="Accepted"/>
    <n v="0"/>
    <s v="no"/>
    <n v="15000"/>
    <s v="paid"/>
  </r>
  <r>
    <s v="S0490091E001"/>
    <s v="SD"/>
    <s v="KPK dan FPB"/>
    <s v="https://drive.google.com/open?id=1YeHn5PDZgTwuXUm58prER0hYTTKKPBi1"/>
    <s v="S0490091E001"/>
    <d v="2021-07-05T00:00:00"/>
    <d v="2021-07-11T00:00:00"/>
    <n v="-715"/>
    <x v="72"/>
    <n v="0"/>
    <x v="0"/>
    <s v="Accepted"/>
    <n v="1"/>
    <s v="no"/>
    <n v="15000"/>
    <s v="paid"/>
  </r>
  <r>
    <s v="S0490101E005"/>
    <s v="SD"/>
    <s v="KPK dan FPB"/>
    <s v="https://drive.google.com/open?id=1l3U55XE3CuhkGxw00ikvAIbFPAvjhTwb"/>
    <s v="S0490101E005"/>
    <d v="2021-07-05T00:00:00"/>
    <d v="2021-07-11T00:00:00"/>
    <n v="-715"/>
    <x v="72"/>
    <n v="0"/>
    <x v="0"/>
    <s v="Accepted"/>
    <n v="1"/>
    <s v="no"/>
    <n v="15000"/>
    <s v="paid"/>
  </r>
  <r>
    <s v="S0490101E007"/>
    <s v="SD"/>
    <s v="KPK dan FPB"/>
    <s v="https://drive.google.com/open?id=1WhXlx3EPRz6SE4Ke4Em4BaKHsPOr9N9P"/>
    <s v="S0490101E007"/>
    <d v="2021-07-05T00:00:00"/>
    <d v="2021-07-11T00:00:00"/>
    <n v="-715"/>
    <x v="72"/>
    <n v="0"/>
    <x v="0"/>
    <s v="Accepted"/>
    <n v="1"/>
    <s v="no"/>
    <n v="15000"/>
    <s v="paid"/>
  </r>
  <r>
    <s v="S0490101E008"/>
    <s v="SD"/>
    <s v="KPK dan FPB"/>
    <s v="https://drive.google.com/open?id=1MwwBtriBafhm4ZwJIj9mB8zgPB-oHUC3"/>
    <s v="S0490101E008"/>
    <d v="2021-07-05T00:00:00"/>
    <d v="2021-07-11T00:00:00"/>
    <n v="-715"/>
    <x v="72"/>
    <n v="0"/>
    <x v="0"/>
    <s v="Accepted"/>
    <n v="1"/>
    <s v="no"/>
    <n v="15000"/>
    <s v="paid"/>
  </r>
  <r>
    <s v="S0490101E010"/>
    <s v="SD"/>
    <s v="KPK dan FPB"/>
    <s v="https://drive.google.com/open?id=1KG0VP48ys1x7bQ6K30uA-QWyH-kOvV97"/>
    <s v="S0490101E010"/>
    <d v="2021-07-05T00:00:00"/>
    <d v="2021-07-11T00:00:00"/>
    <n v="-715"/>
    <x v="72"/>
    <n v="0"/>
    <x v="0"/>
    <s v="Accepted"/>
    <n v="1"/>
    <s v="no"/>
    <n v="15000"/>
    <s v="paid"/>
  </r>
  <r>
    <s v="S0490102E001"/>
    <s v="SD"/>
    <s v="KPK dan FPB"/>
    <s v="https://drive.google.com/open?id=1NTUa-8QoGQq2Jm0TVc84YMGga2W_Tt66"/>
    <s v="S0490102E001"/>
    <d v="2021-07-05T00:00:00"/>
    <d v="2021-07-11T00:00:00"/>
    <n v="-715"/>
    <x v="72"/>
    <n v="0"/>
    <x v="0"/>
    <s v="Accepted"/>
    <n v="1"/>
    <s v="no"/>
    <n v="15000"/>
    <s v="paid"/>
  </r>
  <r>
    <s v="S0490112E002"/>
    <s v="SD"/>
    <s v="KPK dan FPB"/>
    <s v="https://drive.google.com/open?id=1NpUszQYk51Ty9p_DNcBza9Z7vWaiCZHc"/>
    <s v="S0490112E002"/>
    <d v="2021-07-05T00:00:00"/>
    <d v="2021-07-11T00:00:00"/>
    <n v="-715"/>
    <x v="72"/>
    <n v="0"/>
    <x v="0"/>
    <s v="Accepted"/>
    <n v="1"/>
    <s v="no"/>
    <n v="15000"/>
    <s v="paid"/>
  </r>
  <r>
    <s v="S0490112E004"/>
    <s v="SD"/>
    <s v="KPK dan FPB"/>
    <s v="https://drive.google.com/open?id=1PwSIiP60mptw8SCmJ-btXmC6RCEVQFUC"/>
    <s v="S0490112E004"/>
    <d v="2021-07-05T00:00:00"/>
    <d v="2021-07-11T00:00:00"/>
    <n v="-715"/>
    <x v="72"/>
    <n v="0"/>
    <x v="0"/>
    <s v="Accepted"/>
    <n v="1"/>
    <s v="yes"/>
    <n v="18000"/>
    <s v="paid"/>
  </r>
  <r>
    <s v="S0300961E001"/>
    <s v="SD"/>
    <s v="Operasi Bilangan Pecahan"/>
    <s v="https://drive.google.com/open?id=1mU9o2WGnIj0dPrZJq0QQ34kpqzDJC1im"/>
    <s v="S0300961E001"/>
    <d v="2021-07-05T00:00:00"/>
    <d v="2021-07-11T00:00:00"/>
    <n v="-715"/>
    <x v="72"/>
    <n v="0"/>
    <x v="0"/>
    <s v="Accepted"/>
    <n v="1"/>
    <s v="no"/>
    <n v="15000"/>
    <s v="paid"/>
  </r>
  <r>
    <s v="S0300962E004"/>
    <s v="SD"/>
    <s v="Operasi Bilangan Pecahan"/>
    <s v="https://drive.google.com/open?id=15QSRhZUQvK0UApNQ5v3joHaRN-7tozE2"/>
    <s v="S0300962E004"/>
    <d v="2021-07-05T00:00:00"/>
    <d v="2021-07-11T00:00:00"/>
    <n v="-715"/>
    <x v="72"/>
    <n v="0"/>
    <x v="0"/>
    <s v="Accepted"/>
    <n v="1"/>
    <s v="no"/>
    <n v="15000"/>
    <s v="paid"/>
  </r>
  <r>
    <s v="S0501031E006"/>
    <s v="SD"/>
    <s v="Bangun Datar"/>
    <s v="https://drive.google.com/open?id=1XSR2NkkPnUn2hD4rA9oZTmfBD_GGvISC"/>
    <s v="S0501031E006"/>
    <d v="2021-07-05T00:00:00"/>
    <d v="2021-07-11T00:00:00"/>
    <n v="-715"/>
    <x v="72"/>
    <n v="0"/>
    <x v="0"/>
    <s v="Accepted"/>
    <n v="0"/>
    <s v="no"/>
    <n v="15000"/>
    <s v="paid"/>
  </r>
  <r>
    <s v="S0501031E007"/>
    <s v="SD"/>
    <s v="Bangun Datar"/>
    <s v="https://drive.google.com/open?id=16LA7ezGSUwMyUFiQI-Y_qEVLHSPqj1Qw"/>
    <s v="S0501031E007"/>
    <d v="2021-07-05T00:00:00"/>
    <d v="2021-07-11T00:00:00"/>
    <n v="-715"/>
    <x v="72"/>
    <n v="0"/>
    <x v="0"/>
    <s v="Accepted"/>
    <n v="0"/>
    <s v="no"/>
    <n v="15000"/>
    <s v="paid"/>
  </r>
  <r>
    <s v="S0501031E008"/>
    <s v="SD"/>
    <s v="Bangun Datar"/>
    <s v="https://drive.google.com/open?id=1bO3knMAyj8BJPeMZlr7EiTsT5ZClqYv7"/>
    <s v="S0501031E008"/>
    <d v="2021-07-05T00:00:00"/>
    <d v="2021-07-11T00:00:00"/>
    <n v="-715"/>
    <x v="72"/>
    <n v="0"/>
    <x v="0"/>
    <s v="Accepted"/>
    <n v="0"/>
    <s v="no"/>
    <n v="15000"/>
    <s v="paid"/>
  </r>
  <r>
    <s v="S0501031E009"/>
    <s v="SD"/>
    <s v="Bangun Datar"/>
    <s v="https://drive.google.com/open?id=1Kx7q9EXxYLGLFbuK6F_JpuMq8bL5PClP"/>
    <s v="S0501031E009"/>
    <d v="2021-07-05T00:00:00"/>
    <d v="2021-07-11T00:00:00"/>
    <n v="-715"/>
    <x v="72"/>
    <n v="0"/>
    <x v="0"/>
    <s v="Accepted"/>
    <n v="0"/>
    <s v="no"/>
    <n v="15000"/>
    <s v="paid"/>
  </r>
  <r>
    <s v="S0501031E010"/>
    <s v="SD"/>
    <s v="Bangun Datar"/>
    <s v="https://drive.google.com/open?id=1EkI4cpDLkaHnqbXl2HRJS1H_iKpP9n8D"/>
    <s v="S0501031E010"/>
    <d v="2021-07-05T00:00:00"/>
    <d v="2021-07-11T00:00:00"/>
    <n v="-715"/>
    <x v="72"/>
    <n v="0"/>
    <x v="0"/>
    <s v="Accepted"/>
    <n v="0"/>
    <s v="no"/>
    <n v="15000"/>
    <s v="paid"/>
  </r>
  <r>
    <s v="S0501051E001"/>
    <s v="SD"/>
    <s v="Bangun Datar"/>
    <s v="https://drive.google.com/open?id=1UGtCfIVsjWh2O9jSXQ1Is3Jpw5yMdVIA"/>
    <s v="S0501051E001"/>
    <d v="2021-07-05T00:00:00"/>
    <d v="2021-07-11T00:00:00"/>
    <n v="-715"/>
    <x v="72"/>
    <n v="0"/>
    <x v="0"/>
    <s v="Accepted"/>
    <n v="0"/>
    <s v="no"/>
    <n v="15000"/>
    <s v="paid"/>
  </r>
  <r>
    <s v="S0501052E001"/>
    <s v="SD"/>
    <s v="Bangun Datar"/>
    <s v="https://drive.google.com/open?id=12h4k590LjO-uwbNw56OWSbvqrZY4jJvk"/>
    <s v="S0501052E001"/>
    <d v="2021-07-05T00:00:00"/>
    <d v="2021-07-11T00:00:00"/>
    <n v="-715"/>
    <x v="72"/>
    <n v="0"/>
    <x v="0"/>
    <s v="Accepted"/>
    <n v="0"/>
    <s v="no"/>
    <n v="15000"/>
    <s v="paid"/>
  </r>
  <r>
    <s v="S0501052E002"/>
    <s v="SD"/>
    <s v="Bangun Datar"/>
    <s v="https://drive.google.com/open?id=1iR6HSgaHfzhj-Wt816pha9Lid1VJALre"/>
    <s v="S0501052E002"/>
    <d v="2021-07-05T00:00:00"/>
    <d v="2021-07-11T00:00:00"/>
    <n v="-715"/>
    <x v="72"/>
    <n v="0"/>
    <x v="0"/>
    <s v="Accepted"/>
    <n v="0"/>
    <s v="no"/>
    <n v="15000"/>
    <s v="paid"/>
  </r>
  <r>
    <s v="S0501101E002"/>
    <s v="SD"/>
    <s v="Bangun Ruang"/>
    <s v="https://drive.google.com/open?id=1hJ5Zfu0tDHzO5AALYu0KoNPrifZpbptP"/>
    <s v="S0501101E002"/>
    <d v="2021-07-05T00:00:00"/>
    <d v="2021-07-11T00:00:00"/>
    <n v="-715"/>
    <x v="72"/>
    <n v="0"/>
    <x v="0"/>
    <s v="Accepted"/>
    <n v="0"/>
    <s v="no"/>
    <n v="15000"/>
    <s v="paid"/>
  </r>
  <r>
    <s v="S0501101E003"/>
    <s v="SD"/>
    <s v="Bangun Ruang"/>
    <s v="https://drive.google.com/open?id=17YlS7PXiSMrqwCP7E_WZMCPLLa8afC00"/>
    <s v="S0501101E003"/>
    <d v="2021-07-05T00:00:00"/>
    <d v="2021-07-11T00:00:00"/>
    <n v="-715"/>
    <x v="72"/>
    <n v="0"/>
    <x v="0"/>
    <s v="Accepted"/>
    <n v="0"/>
    <s v="no"/>
    <n v="15000"/>
    <s v="paid"/>
  </r>
  <r>
    <s v="S0501101E004"/>
    <s v="SD"/>
    <s v="Bangun Ruang"/>
    <s v="https://drive.google.com/open?id=1kJX-k-8NWKmmUIdjQiMtKFBjyBlr32jZ"/>
    <s v="S0501101E004"/>
    <d v="2021-07-05T00:00:00"/>
    <d v="2021-07-11T00:00:00"/>
    <n v="-715"/>
    <x v="72"/>
    <n v="0"/>
    <x v="0"/>
    <s v="Accepted"/>
    <n v="0"/>
    <s v="no"/>
    <n v="15000"/>
    <s v="paid"/>
  </r>
  <r>
    <s v="S0501101E005"/>
    <s v="SD"/>
    <s v="Bangun Ruang"/>
    <s v="https://drive.google.com/open?id=1algcfUIHDlr0Rn2XYEa_swfafas2SFx-"/>
    <s v="S0501101E005"/>
    <d v="2021-07-05T00:00:00"/>
    <d v="2021-07-11T00:00:00"/>
    <n v="-715"/>
    <x v="72"/>
    <n v="0"/>
    <x v="0"/>
    <s v="Accepted"/>
    <n v="0"/>
    <s v="no"/>
    <n v="15000"/>
    <s v="paid"/>
  </r>
  <r>
    <s v="S0501112E001"/>
    <s v="SD"/>
    <s v="Bangun Ruang"/>
    <s v="https://drive.google.com/open?id=1KbCXoTsrecVxiT2Pll5MriloAdcB3BWs"/>
    <s v="S0501112E001"/>
    <d v="2021-07-05T00:00:00"/>
    <d v="2021-07-11T00:00:00"/>
    <n v="-715"/>
    <x v="72"/>
    <n v="0"/>
    <x v="0"/>
    <s v="Accepted"/>
    <n v="0"/>
    <s v="no"/>
    <n v="15000"/>
    <s v="paid"/>
  </r>
  <r>
    <s v="S0490101E006"/>
    <s v="SD"/>
    <s v="KPK dan FPB"/>
    <s v="https://drive.google.com/open?id=1JeEJJYCrL-R3DtMeUv5eJ5sgwBt3AJpX"/>
    <s v="S0490101E006"/>
    <d v="2021-07-12T00:00:00"/>
    <d v="2021-07-18T00:00:00"/>
    <n v="-708"/>
    <x v="73"/>
    <n v="714"/>
    <x v="2"/>
    <s v="Rejected"/>
    <n v="1"/>
    <s v="no"/>
    <n v="0"/>
    <s v="not yet"/>
  </r>
  <r>
    <s v="S0441723E001"/>
    <s v="SD"/>
    <s v="Operasi Bilangan Pecahan"/>
    <s v="https://drive.google.com/open?id=1JDkiznhSPJKQTyAEn5G6zeoVbThy5uNi"/>
    <s v="S0441723E001"/>
    <d v="2021-07-12T00:00:00"/>
    <d v="2021-07-18T00:00:00"/>
    <n v="-708"/>
    <x v="74"/>
    <n v="714"/>
    <x v="2"/>
    <s v="Rejected"/>
    <n v="1"/>
    <s v="yes"/>
    <n v="0"/>
    <s v="not yet"/>
  </r>
  <r>
    <s v="S0501011E003"/>
    <s v="SD"/>
    <s v="Bangun Datar"/>
    <s v="https://drive.google.com/open?id=1zb62WYlqV7g3GfffjkSgWsQgVJr3zVRP"/>
    <s v="S0501011E003"/>
    <d v="2021-07-05T00:00:00"/>
    <d v="2021-07-11T00:00:00"/>
    <n v="-715"/>
    <x v="75"/>
    <n v="0"/>
    <x v="0"/>
    <s v="Accepted"/>
    <n v="0"/>
    <s v="yes"/>
    <n v="18000"/>
    <s v="paid"/>
  </r>
  <r>
    <s v="S0501011E006"/>
    <s v="SD"/>
    <s v="Bangun Datar"/>
    <s v="https://drive.google.com/open?id=19gwLy2UlZav6pBkoWpjLE4L0BPB9XiDh"/>
    <s v="S0501011E006"/>
    <d v="2021-07-05T00:00:00"/>
    <d v="2021-07-11T00:00:00"/>
    <n v="-715"/>
    <x v="75"/>
    <n v="0"/>
    <x v="0"/>
    <s v="Accepted"/>
    <n v="0"/>
    <s v="yes"/>
    <n v="18000"/>
    <s v="paid"/>
  </r>
  <r>
    <s v="S0501011E007"/>
    <s v="SD"/>
    <s v="Bangun Datar"/>
    <s v="https://drive.google.com/open?id=1OojLo7MshjN1cLXQRgHMB7Npx78zsYpy"/>
    <s v="S0501011E007"/>
    <d v="2021-07-05T00:00:00"/>
    <d v="2021-07-11T00:00:00"/>
    <n v="-715"/>
    <x v="75"/>
    <n v="0"/>
    <x v="0"/>
    <s v="Accepted"/>
    <n v="0"/>
    <s v="yes"/>
    <n v="18000"/>
    <s v="paid"/>
  </r>
  <r>
    <s v="S0501041E001"/>
    <s v="SD"/>
    <s v="Bangun Datar"/>
    <s v="https://drive.google.com/open?id=1CccR1iqM2r8cvogCTb5WqPIGYifX9hdR"/>
    <s v="S0501041E001"/>
    <d v="2021-07-05T00:00:00"/>
    <d v="2021-07-11T00:00:00"/>
    <n v="-715"/>
    <x v="75"/>
    <n v="0"/>
    <x v="0"/>
    <s v="Accepted"/>
    <n v="0"/>
    <s v="yes"/>
    <n v="18000"/>
    <s v="paid"/>
  </r>
  <r>
    <s v="S0501041E002"/>
    <s v="SD"/>
    <s v="Bangun Datar"/>
    <s v="https://drive.google.com/open?id=16sDRPljjo86QejjY4a3S52j4mqz1tv5-"/>
    <s v="S0501041E002"/>
    <d v="2021-07-05T00:00:00"/>
    <d v="2021-07-11T00:00:00"/>
    <n v="-715"/>
    <x v="75"/>
    <n v="0"/>
    <x v="0"/>
    <s v="Accepted"/>
    <n v="0"/>
    <s v="yes"/>
    <n v="18000"/>
    <s v="paid"/>
  </r>
  <r>
    <s v="S0501042E001"/>
    <s v="SD"/>
    <s v="Bangun Datar"/>
    <s v="https://drive.google.com/open?id=1s7DNT9ap0CJy9O1M83nqcmHIW1bt5vKe"/>
    <s v="S0501042E001"/>
    <d v="2021-07-05T00:00:00"/>
    <d v="2021-07-11T00:00:00"/>
    <n v="-715"/>
    <x v="75"/>
    <n v="0"/>
    <x v="0"/>
    <s v="Accepted"/>
    <n v="0"/>
    <s v="yes"/>
    <n v="18000"/>
    <s v="paid"/>
  </r>
  <r>
    <s v="S0501042E002"/>
    <s v="SD"/>
    <s v="Bangun Datar"/>
    <s v="https://drive.google.com/open?id=1Vw4z_WVSB4D4DO_mUjvV-9M9Grni8sdi"/>
    <s v="S0501042E002"/>
    <d v="2021-07-05T00:00:00"/>
    <d v="2021-07-11T00:00:00"/>
    <n v="-715"/>
    <x v="75"/>
    <n v="0"/>
    <x v="0"/>
    <s v="Accepted"/>
    <n v="0"/>
    <s v="yes"/>
    <n v="18000"/>
    <s v="paid"/>
  </r>
  <r>
    <s v="S0501042E003"/>
    <s v="SD"/>
    <s v="Bangun Datar"/>
    <s v="https://drive.google.com/open?id=1RVSHI9Zses5LaibNBj-JVvOtq5OJEkiU"/>
    <s v="S0501042E003"/>
    <d v="2021-07-05T00:00:00"/>
    <d v="2021-07-11T00:00:00"/>
    <n v="-715"/>
    <x v="75"/>
    <n v="721"/>
    <x v="2"/>
    <s v="Rejected"/>
    <n v="1"/>
    <s v="yes"/>
    <n v="0"/>
    <s v="not yet"/>
  </r>
  <r>
    <s v="S0501042E004"/>
    <s v="SD"/>
    <s v="Bangun Datar"/>
    <s v="https://drive.google.com/open?id=1ya5RaYeDTQc0AwYP9f_zy-dEDD_FvHr1"/>
    <s v="S0501042E004"/>
    <d v="2021-07-05T00:00:00"/>
    <d v="2021-07-11T00:00:00"/>
    <n v="-715"/>
    <x v="75"/>
    <n v="721"/>
    <x v="2"/>
    <s v="Rejected"/>
    <n v="1"/>
    <s v="yes"/>
    <n v="0"/>
    <s v="not yet"/>
  </r>
  <r>
    <s v="S0050922E001"/>
    <s v="SD"/>
    <s v="Bangun Ruang Sisi Lengkung"/>
    <s v="https://drive.google.com/open?id=1gHJDo7egxO6M6lx6r50IKn37_7TSedE0"/>
    <s v="S0050922E001"/>
    <d v="2021-07-05T00:00:00"/>
    <d v="2021-07-11T00:00:00"/>
    <n v="-715"/>
    <x v="75"/>
    <n v="721"/>
    <x v="2"/>
    <s v="Rejected"/>
    <n v="1"/>
    <s v="yes"/>
    <n v="0"/>
    <s v="not yet"/>
  </r>
  <r>
    <s v="S0050931E002"/>
    <s v="SD"/>
    <s v="Bangun Ruang Sisi Lengkung"/>
    <s v="https://drive.google.com/open?id=1a5p_050vIKRU8aYjk48UEFf6BkbRWIMN"/>
    <s v="S0050931E002"/>
    <d v="2021-07-05T00:00:00"/>
    <d v="2021-07-11T00:00:00"/>
    <n v="-715"/>
    <x v="75"/>
    <n v="721"/>
    <x v="2"/>
    <s v="Rejected"/>
    <n v="1"/>
    <s v="yes"/>
    <n v="0"/>
    <s v="not yet"/>
  </r>
  <r>
    <s v="S0371591b001"/>
    <s v="SD"/>
    <s v="Skala"/>
    <s v="https://drive.google.com/open?id=1pt7gFu6zVrIsuhDseLaghfpn0clpdywl"/>
    <s v="S0371591b001"/>
    <d v="2021-07-12T00:00:00"/>
    <d v="2021-07-18T00:00:00"/>
    <n v="-708"/>
    <x v="75"/>
    <n v="0"/>
    <x v="0"/>
    <s v="Accepted"/>
    <n v="0"/>
    <s v="yes"/>
    <n v="18000"/>
    <s v="paid"/>
  </r>
  <r>
    <s v="S0441451E001"/>
    <s v="SD"/>
    <s v="Operasi Bilangan Pecahan"/>
    <s v="https://drive.google.com/open?id=1CEMm4E7KajdBN4mflBntYioc_uDb9w5y"/>
    <s v="S0441451E001"/>
    <d v="2021-07-12T00:00:00"/>
    <d v="2021-07-18T00:00:00"/>
    <n v="-708"/>
    <x v="75"/>
    <n v="714"/>
    <x v="2"/>
    <s v="Rejected"/>
    <n v="1"/>
    <s v="no"/>
    <n v="0"/>
    <s v="not yet"/>
  </r>
  <r>
    <s v="S0301021E003"/>
    <s v="SD"/>
    <s v="Operasi Bilangan Pecahan"/>
    <s v="https://drive.google.com/open?id=1KFTe0RknaTKGd26PkBzTmEkOjHO2UYLq"/>
    <s v="S0301021E003"/>
    <d v="2021-07-12T00:00:00"/>
    <d v="2021-07-18T00:00:00"/>
    <n v="-708"/>
    <x v="75"/>
    <n v="0"/>
    <x v="0"/>
    <s v="Accepted"/>
    <n v="1"/>
    <s v="no"/>
    <n v="15000"/>
    <s v="paid"/>
  </r>
  <r>
    <s v="S0301031E001"/>
    <s v="SD"/>
    <s v="Operasi Bilangan Pecahan"/>
    <s v="https://drive.google.com/open?id=1bX4yOXwugQqMdrW6guOjvn9uxL3BihA1"/>
    <s v="S0301031E001"/>
    <d v="2021-07-12T00:00:00"/>
    <d v="2021-07-18T00:00:00"/>
    <n v="-708"/>
    <x v="75"/>
    <n v="0"/>
    <x v="0"/>
    <s v="Accepted"/>
    <n v="1"/>
    <s v="no"/>
    <n v="15000"/>
    <s v="paid"/>
  </r>
  <r>
    <s v="S0301042E005"/>
    <s v="SD"/>
    <s v="Operasi Bilangan Pecahan"/>
    <s v="https://drive.google.com/open?id=1xU0W_khFoRmTs9Il1btRSjSK4dV5e6ed"/>
    <s v="S0301042E005"/>
    <d v="2021-07-12T00:00:00"/>
    <d v="2021-07-18T00:00:00"/>
    <n v="-708"/>
    <x v="75"/>
    <n v="0"/>
    <x v="0"/>
    <s v="Accepted"/>
    <n v="1"/>
    <s v="no"/>
    <n v="15000"/>
    <s v="paid"/>
  </r>
  <r>
    <s v="S0301051E006"/>
    <s v="SD"/>
    <s v="Operasi Bilangan Pecahan"/>
    <s v="https://drive.google.com/open?id=17numnPsXmuQhMU7mImqQS2cf8sEVundO"/>
    <s v="S0301051E006"/>
    <d v="2021-07-12T00:00:00"/>
    <d v="2021-07-18T00:00:00"/>
    <n v="-708"/>
    <x v="75"/>
    <n v="0"/>
    <x v="0"/>
    <s v="Accepted"/>
    <n v="1"/>
    <s v="no"/>
    <n v="15000"/>
    <s v="paid"/>
  </r>
  <r>
    <s v="S0301051E009"/>
    <s v="SD"/>
    <s v="Operasi Bilangan Pecahan"/>
    <s v="https://drive.google.com/open?id=1Yy0nn300eLczYASx_NSYkYqyiaO88Fxl"/>
    <s v="S0301051E009"/>
    <d v="2021-07-12T00:00:00"/>
    <d v="2021-07-18T00:00:00"/>
    <n v="-708"/>
    <x v="75"/>
    <n v="0"/>
    <x v="0"/>
    <s v="Accepted"/>
    <n v="1"/>
    <s v="no"/>
    <n v="15000"/>
    <s v="paid"/>
  </r>
  <r>
    <s v="S0380912E016"/>
    <s v="SD"/>
    <s v="Pecahan"/>
    <s v="https://drive.google.com/open?id=17smxs5mCbTCn2d38m09TFJ5_epxhPczB"/>
    <s v="S0380912E016"/>
    <d v="2021-07-12T00:00:00"/>
    <d v="2021-07-18T00:00:00"/>
    <n v="-708"/>
    <x v="75"/>
    <n v="0"/>
    <x v="0"/>
    <s v="Accepted"/>
    <n v="1"/>
    <s v="no"/>
    <n v="15000"/>
    <s v="paid"/>
  </r>
  <r>
    <s v="S0380912E017"/>
    <s v="SD"/>
    <s v="Pecahan"/>
    <s v="https://drive.google.com/open?id=1vB-Ei-fHdtzNICDhnMG6dDKVTbDRqXiM"/>
    <s v="S0380912E017"/>
    <d v="2021-07-12T00:00:00"/>
    <d v="2021-07-18T00:00:00"/>
    <n v="-708"/>
    <x v="75"/>
    <n v="0"/>
    <x v="0"/>
    <s v="Accepted"/>
    <n v="1"/>
    <s v="no"/>
    <n v="15000"/>
    <s v="paid"/>
  </r>
  <r>
    <s v="S0380921E002"/>
    <s v="SD"/>
    <s v="Operasi Bilangan Pecahan"/>
    <s v="https://drive.google.com/open?id=1K_Ru4ysLI7TmjGOVlo7MGw-8ieqgNMqT"/>
    <s v="S0380921E002"/>
    <d v="2021-07-12T00:00:00"/>
    <d v="2021-07-18T00:00:00"/>
    <n v="-708"/>
    <x v="75"/>
    <n v="0"/>
    <x v="0"/>
    <s v="Accepted"/>
    <n v="1"/>
    <s v="no"/>
    <n v="15000"/>
    <s v="paid"/>
  </r>
  <r>
    <s v="S0040843E004"/>
    <s v="SD"/>
    <s v="Lingkaran"/>
    <s v="https://drive.google.com/open?id=1dl3pjdeXYUP4YoKeZy3GY5QZco4lFusu"/>
    <s v="S0040843E004"/>
    <d v="2021-07-12T00:00:00"/>
    <d v="2021-07-18T00:00:00"/>
    <n v="-708"/>
    <x v="75"/>
    <n v="0"/>
    <x v="0"/>
    <s v="Accepted"/>
    <n v="0"/>
    <s v="yes"/>
    <n v="18000"/>
    <s v="paid"/>
  </r>
  <r>
    <s v="S0040841E001"/>
    <s v="SD"/>
    <s v="Lingkaran"/>
    <s v="https://drive.google.com/open?id=1WgHY8NI0AQDIRk_0EkdrHqFjNR76L1zC"/>
    <s v="S0040841E001"/>
    <d v="2021-07-12T00:00:00"/>
    <d v="2021-07-18T00:00:00"/>
    <n v="-708"/>
    <x v="75"/>
    <n v="0"/>
    <x v="0"/>
    <s v="Accepted"/>
    <n v="0"/>
    <s v="yes"/>
    <n v="18000"/>
    <s v="paid"/>
  </r>
  <r>
    <s v="S0030881a002"/>
    <s v="SD"/>
    <s v="Lingkaran"/>
    <s v="https://drive.google.com/open?id=1KxAgk4nw7aTzj2N3OwKoUZoilucKrp2H"/>
    <s v="S0030881a002"/>
    <d v="2021-07-12T00:00:00"/>
    <d v="2021-07-18T00:00:00"/>
    <n v="-708"/>
    <x v="75"/>
    <n v="0"/>
    <x v="0"/>
    <s v="Accepted"/>
    <n v="0"/>
    <s v="yes"/>
    <n v="18000"/>
    <s v="paid"/>
  </r>
  <r>
    <s v="S0370511E010"/>
    <s v="SD"/>
    <s v="Kecepatan Dan Debit"/>
    <s v="https://drive.google.com/open?id=1mJd2CkunCk0bfAWLPv7ZvUiHQc2uIYRo"/>
    <s v="S0370511E010"/>
    <d v="2021-07-12T00:00:00"/>
    <d v="2021-07-18T00:00:00"/>
    <n v="-708"/>
    <x v="75"/>
    <n v="0"/>
    <x v="0"/>
    <s v="Accepted"/>
    <n v="0"/>
    <s v="no"/>
    <n v="15000"/>
    <s v="paid"/>
  </r>
  <r>
    <s v="S0390851E003"/>
    <s v="SD"/>
    <s v="Operasi Bilangan Pecahan"/>
    <s v="https://drive.google.com/open?id=1hH8qO7s8pJZXwT7XVDdWrRfTgVhnxfr8"/>
    <s v="S0390851E003"/>
    <d v="2021-07-12T00:00:00"/>
    <d v="2021-07-18T00:00:00"/>
    <n v="-708"/>
    <x v="75"/>
    <n v="0"/>
    <x v="0"/>
    <s v="Accepted"/>
    <n v="0"/>
    <s v="yes"/>
    <n v="18000"/>
    <s v="paid"/>
  </r>
  <r>
    <s v="S0040811E002"/>
    <s v="SD"/>
    <s v="Lingkaran"/>
    <s v="https://drive.google.com/open?id=1g2fYZhV23mtVqWO5ryAWOzimqKdsSM6P"/>
    <s v="S0040811E002"/>
    <d v="2021-07-12T00:00:00"/>
    <d v="2021-07-18T00:00:00"/>
    <n v="-708"/>
    <x v="75"/>
    <n v="0"/>
    <x v="0"/>
    <s v="Accepted"/>
    <n v="0"/>
    <s v="yes"/>
    <n v="18000"/>
    <s v="paid"/>
  </r>
  <r>
    <s v="S0371452E004"/>
    <s v="SD"/>
    <s v="Skala"/>
    <s v="https://drive.google.com/open?id=10NlhjlhbquIHBJiVFwuCM5KgSbneR0kz"/>
    <s v="S0371452E004"/>
    <d v="2021-07-12T00:00:00"/>
    <d v="2021-07-18T00:00:00"/>
    <n v="-708"/>
    <x v="75"/>
    <n v="0"/>
    <x v="0"/>
    <s v="Accepted"/>
    <n v="0"/>
    <s v="no"/>
    <n v="15000"/>
    <s v="paid"/>
  </r>
  <r>
    <s v="S0390822E004"/>
    <s v="SD"/>
    <s v="Operasi Bilangan Pecahan"/>
    <s v="https://drive.google.com/open?id=1Sb74Id5UgPOOGyCu5feUoLHHVKqFwKEG"/>
    <s v="S0390822E004"/>
    <d v="2021-07-12T00:00:00"/>
    <d v="2021-07-18T00:00:00"/>
    <n v="-708"/>
    <x v="75"/>
    <n v="0"/>
    <x v="0"/>
    <s v="Accepted"/>
    <n v="0"/>
    <s v="no"/>
    <n v="15000"/>
    <s v="paid"/>
  </r>
  <r>
    <s v="S0501131E001"/>
    <s v="SD"/>
    <s v="Bangun Ruang"/>
    <s v="https://drive.google.com/open?id=1yJL8ojXanVPZ09T-qCaGByCI3bUFjKSx"/>
    <s v="S0501131E001"/>
    <d v="2021-07-05T00:00:00"/>
    <d v="2021-07-11T00:00:00"/>
    <n v="-715"/>
    <x v="76"/>
    <n v="721"/>
    <x v="2"/>
    <s v="Rejected"/>
    <n v="1"/>
    <s v="yes"/>
    <n v="0"/>
    <s v="not yet"/>
  </r>
  <r>
    <s v="S0220202E001"/>
    <s v="SD"/>
    <s v="Kecepatan Dan Debit"/>
    <s v="https://drive.google.com/open?id=1mae7Xis61Sm53mNPumoiES6onv6w8o4n"/>
    <s v="S0220202E001"/>
    <d v="2021-07-12T00:00:00"/>
    <d v="2021-07-18T00:00:00"/>
    <n v="-708"/>
    <x v="76"/>
    <n v="0"/>
    <x v="0"/>
    <s v="Accepted"/>
    <n v="1"/>
    <s v="no"/>
    <n v="15000"/>
    <s v="paid"/>
  </r>
  <r>
    <s v="S0501081E001"/>
    <s v="SD"/>
    <s v="Bangun Ruang"/>
    <s v="https://drive.google.com/open?id=1Ri_6MmCiy13CglVyhYz6Vl6LW1O2B4eG"/>
    <s v="S0501081E001"/>
    <d v="2021-07-12T00:00:00"/>
    <d v="2021-07-18T00:00:00"/>
    <n v="-708"/>
    <x v="76"/>
    <n v="0"/>
    <x v="0"/>
    <s v="Accepted"/>
    <n v="1"/>
    <s v="no"/>
    <n v="15000"/>
    <s v="paid"/>
  </r>
  <r>
    <s v="S0501091E002"/>
    <s v="SD"/>
    <s v="Bangun Ruang"/>
    <s v="https://drive.google.com/open?id=1Rd-MR2YCl6R_hJhp3nmiEXIYtmYmRJsp"/>
    <s v="S0501091E002"/>
    <d v="2021-07-12T00:00:00"/>
    <d v="2021-07-18T00:00:00"/>
    <n v="-708"/>
    <x v="76"/>
    <n v="0"/>
    <x v="0"/>
    <s v="Accepted"/>
    <n v="1"/>
    <s v="no"/>
    <n v="15000"/>
    <s v="paid"/>
  </r>
  <r>
    <s v="S0501101E001"/>
    <s v="SD"/>
    <s v="Bangun Ruang"/>
    <s v="https://drive.google.com/open?id=13F8O9S2Yu2eLaXWI6o7aVMmGLEDGjzBq"/>
    <s v="S0501101E001"/>
    <d v="2021-07-12T00:00:00"/>
    <d v="2021-07-18T00:00:00"/>
    <n v="-708"/>
    <x v="76"/>
    <n v="0"/>
    <x v="0"/>
    <s v="Accepted"/>
    <n v="1"/>
    <s v="no"/>
    <n v="15000"/>
    <s v="paid"/>
  </r>
  <r>
    <s v="S0170115E001"/>
    <s v="SD"/>
    <s v="Pecahan"/>
    <s v="https://drive.google.com/open?id=1hRtViTdbSEYwdLkI2uNsOqAuJtIbhb32"/>
    <s v="S0170115E001"/>
    <d v="2021-07-12T00:00:00"/>
    <d v="2021-07-18T00:00:00"/>
    <n v="-708"/>
    <x v="76"/>
    <n v="0"/>
    <x v="0"/>
    <s v="Accepted"/>
    <n v="0"/>
    <s v="no"/>
    <n v="15000"/>
    <s v="paid"/>
  </r>
  <r>
    <s v="S0140531P001"/>
    <s v="SD"/>
    <s v="Kecepatan Dan Debit"/>
    <s v="https://drive.google.com/open?id=1ULoQH-PcgydWcQROKnDFM_DejuK_gctB"/>
    <s v="S0140531P001"/>
    <d v="2021-07-12T00:00:00"/>
    <d v="2021-07-18T00:00:00"/>
    <n v="-708"/>
    <x v="76"/>
    <n v="0"/>
    <x v="0"/>
    <s v="Accepted"/>
    <n v="0"/>
    <s v="no"/>
    <n v="15000"/>
    <s v="paid"/>
  </r>
  <r>
    <s v="S0140531P002"/>
    <s v="SD"/>
    <s v="Kecepatan Dan Debit"/>
    <s v="https://drive.google.com/open?id=12wTKsDK8Z8hRETMbW2nnFc_jlWkYA9RH"/>
    <s v="S0140531P002"/>
    <d v="2021-07-12T00:00:00"/>
    <d v="2021-07-18T00:00:00"/>
    <n v="-708"/>
    <x v="76"/>
    <n v="0"/>
    <x v="0"/>
    <s v="Accepted"/>
    <n v="0"/>
    <s v="no"/>
    <n v="15000"/>
    <s v="paid"/>
  </r>
  <r>
    <s v="S0140531P003"/>
    <s v="SD"/>
    <s v="Kecepatan Dan Debit"/>
    <s v="https://drive.google.com/open?id=13NaA4GSgL-LvGsfw7El1q2H5FsUaBkzP"/>
    <s v="S0140531P003"/>
    <d v="2021-07-12T00:00:00"/>
    <d v="2021-07-18T00:00:00"/>
    <n v="-708"/>
    <x v="76"/>
    <n v="0"/>
    <x v="0"/>
    <s v="Accepted"/>
    <n v="0"/>
    <s v="no"/>
    <n v="15000"/>
    <s v="paid"/>
  </r>
  <r>
    <s v="S0140531P004"/>
    <s v="SD"/>
    <s v="Kecepatan Dan Debit"/>
    <s v="https://drive.google.com/open?id=1tP9oAjlnIEkn2AUN2mQk_-qj7tWa-SqH"/>
    <s v="S0140531P004"/>
    <d v="2021-07-12T00:00:00"/>
    <d v="2021-07-18T00:00:00"/>
    <n v="-708"/>
    <x v="76"/>
    <n v="0"/>
    <x v="0"/>
    <s v="Accepted"/>
    <n v="0"/>
    <s v="no"/>
    <n v="15000"/>
    <s v="paid"/>
  </r>
  <r>
    <s v="S0140531P005"/>
    <s v="SD"/>
    <s v="Kecepatan Dan Debit"/>
    <s v="https://drive.google.com/open?id=1Bmi_ml7ythdQLLv_tyQOz0pxSY8K-2TT"/>
    <s v="S0140531P005"/>
    <d v="2021-07-12T00:00:00"/>
    <d v="2021-07-18T00:00:00"/>
    <n v="-708"/>
    <x v="76"/>
    <n v="0"/>
    <x v="0"/>
    <s v="Accepted"/>
    <n v="0"/>
    <s v="no"/>
    <n v="15000"/>
    <s v="paid"/>
  </r>
  <r>
    <s v="S0140531P006"/>
    <s v="SD"/>
    <s v="Kecepatan Dan Debit"/>
    <s v="https://drive.google.com/open?id=15gZBrCifnTdNWrCoWKBkCQZNEMlG3V3l"/>
    <s v="S0140531P006"/>
    <d v="2021-07-12T00:00:00"/>
    <d v="2021-07-18T00:00:00"/>
    <n v="-708"/>
    <x v="76"/>
    <n v="0"/>
    <x v="0"/>
    <s v="Accepted"/>
    <n v="0"/>
    <s v="no"/>
    <n v="15000"/>
    <s v="paid"/>
  </r>
  <r>
    <s v="S0140531P007"/>
    <s v="SD"/>
    <s v="Kecepatan Dan Debit"/>
    <s v="https://drive.google.com/open?id=19vWJeEZAvJ62ad8PXFsmzDeDegnoU7u9"/>
    <s v="S0140531P007"/>
    <d v="2021-07-12T00:00:00"/>
    <d v="2021-07-18T00:00:00"/>
    <n v="-708"/>
    <x v="76"/>
    <n v="0"/>
    <x v="0"/>
    <s v="Accepted"/>
    <n v="0"/>
    <s v="no"/>
    <n v="15000"/>
    <s v="paid"/>
  </r>
  <r>
    <s v="S0390851E004"/>
    <s v="SD"/>
    <s v="Operasi Bilangan Pecahan"/>
    <s v="https://drive.google.com/open?id=1bOzbXSzzyte_qvZ39OpHSbiKXchzfjq4"/>
    <s v="S0390851E004"/>
    <d v="2021-07-12T00:00:00"/>
    <d v="2021-07-18T00:00:00"/>
    <n v="-708"/>
    <x v="76"/>
    <n v="0"/>
    <x v="0"/>
    <s v="Accepted"/>
    <n v="0"/>
    <s v="yes"/>
    <n v="18000"/>
    <s v="paid"/>
  </r>
  <r>
    <s v="S0140531P008"/>
    <s v="SD"/>
    <s v="Kecepatan Dan Debit"/>
    <s v="https://drive.google.com/open?id=1W5VoYTHvABt9tQdeIePQnq-7APutQnr1"/>
    <s v="S0140531P008"/>
    <d v="2021-07-12T00:00:00"/>
    <d v="2021-07-18T00:00:00"/>
    <n v="-708"/>
    <x v="76"/>
    <n v="0"/>
    <x v="0"/>
    <s v="Accepted"/>
    <n v="0"/>
    <s v="no"/>
    <n v="15000"/>
    <s v="paid"/>
  </r>
  <r>
    <s v="S0370501E001"/>
    <s v="SD"/>
    <s v="Kecepatan Dan Debit"/>
    <s v="https://drive.google.com/open?id=1gRO46ziZ247ebSECqmNHkXA_ShaoIKNM"/>
    <s v="S0370501E001"/>
    <d v="2021-07-12T00:00:00"/>
    <d v="2021-07-18T00:00:00"/>
    <n v="-708"/>
    <x v="76"/>
    <n v="0"/>
    <x v="0"/>
    <s v="Accepted"/>
    <n v="0"/>
    <s v="no"/>
    <n v="15000"/>
    <s v="paid"/>
  </r>
  <r>
    <s v="S0371452E001"/>
    <s v="SD"/>
    <s v="Skala"/>
    <s v="https://drive.google.com/open?id=104rHjv7QoterLeRVr6qrovNra8gjOo64"/>
    <s v="S0371452E001"/>
    <d v="2021-07-12T00:00:00"/>
    <d v="2021-07-18T00:00:00"/>
    <n v="-708"/>
    <x v="76"/>
    <n v="0"/>
    <x v="0"/>
    <s v="Accepted"/>
    <n v="0"/>
    <s v="no"/>
    <n v="15000"/>
    <s v="paid"/>
  </r>
  <r>
    <s v="S0371452E003"/>
    <s v="SD"/>
    <s v="Skala"/>
    <s v="https://drive.google.com/open?id=1SHNg1eCqcxs4sv22UPOp2nJjRjykY-3g"/>
    <s v="S0371452E003"/>
    <d v="2021-07-12T00:00:00"/>
    <d v="2021-07-18T00:00:00"/>
    <n v="-708"/>
    <x v="76"/>
    <n v="0"/>
    <x v="0"/>
    <s v="Accepted"/>
    <n v="0"/>
    <s v="no"/>
    <n v="15000"/>
    <s v="paid"/>
  </r>
  <r>
    <s v="S0380851E009"/>
    <s v="SD"/>
    <s v="Pecahan"/>
    <s v="https://drive.google.com/open?id=1tuf4nQuNAfv0rNcOA66-7uPJPCLLfAWJ"/>
    <s v="S0380851E009"/>
    <d v="2021-07-19T00:00:00"/>
    <d v="2021-07-25T00:00:00"/>
    <n v="-701"/>
    <x v="77"/>
    <n v="0"/>
    <x v="0"/>
    <s v="Accepted"/>
    <n v="0"/>
    <s v="yes"/>
    <n v="18000"/>
    <s v="paid"/>
  </r>
  <r>
    <s v="S0380851E010"/>
    <s v="SD"/>
    <s v="Pecahan"/>
    <s v="https://drive.google.com/open?id=171Htab1eEOc4Alx53lFl4NYJnKthI-lA"/>
    <s v="S0380851E010"/>
    <d v="2021-07-19T00:00:00"/>
    <d v="2021-07-25T00:00:00"/>
    <n v="-701"/>
    <x v="77"/>
    <n v="0"/>
    <x v="0"/>
    <s v="Accepted"/>
    <n v="0"/>
    <s v="yes"/>
    <n v="18000"/>
    <s v="paid"/>
  </r>
  <r>
    <s v="S0380852E003"/>
    <s v="SD"/>
    <s v="Pecahan"/>
    <s v="https://drive.google.com/open?id=164J7IkVuToS2hBw6tKgEK_82rxJESJds"/>
    <s v="S0380852E003"/>
    <d v="2021-07-19T00:00:00"/>
    <d v="2021-07-25T00:00:00"/>
    <n v="-701"/>
    <x v="77"/>
    <n v="0"/>
    <x v="0"/>
    <s v="Accepted"/>
    <n v="0"/>
    <s v="yes"/>
    <n v="18000"/>
    <s v="paid"/>
  </r>
  <r>
    <s v="S0380852E005"/>
    <s v="SD"/>
    <s v="Pecahan"/>
    <s v="https://drive.google.com/open?id=1gxvkLfzMrZB6xk3sHm-WK4QTZR8CW32t"/>
    <s v="S0380852E005"/>
    <d v="2021-07-19T00:00:00"/>
    <d v="2021-07-25T00:00:00"/>
    <n v="-701"/>
    <x v="77"/>
    <n v="0"/>
    <x v="0"/>
    <s v="Accepted"/>
    <n v="0"/>
    <s v="yes"/>
    <n v="18000"/>
    <s v="paid"/>
  </r>
  <r>
    <s v="S0380852E007"/>
    <s v="SD"/>
    <s v="Pecahan"/>
    <s v="https://drive.google.com/open?id=1ZyVVf7k67jyo8vK8RAEt7H8Q3rH0gX3U"/>
    <s v="S0380852E007"/>
    <d v="2021-07-19T00:00:00"/>
    <d v="2021-07-25T00:00:00"/>
    <n v="-701"/>
    <x v="77"/>
    <n v="0"/>
    <x v="0"/>
    <s v="Accepted"/>
    <n v="0"/>
    <s v="yes"/>
    <n v="18000"/>
    <s v="paid"/>
  </r>
  <r>
    <s v="S0380852E009"/>
    <s v="SD"/>
    <s v="Pecahan"/>
    <s v="https://drive.google.com/open?id=1N6e4up5EDAioUtaSv8Wnhc2QtKu7_Jsj"/>
    <s v="S0380852E009"/>
    <d v="2021-07-19T00:00:00"/>
    <d v="2021-07-25T00:00:00"/>
    <n v="-701"/>
    <x v="77"/>
    <n v="0"/>
    <x v="0"/>
    <s v="Accepted"/>
    <n v="0"/>
    <s v="yes"/>
    <n v="18000"/>
    <s v="paid"/>
  </r>
  <r>
    <s v="S0380852E010"/>
    <s v="SD"/>
    <s v="Pecahan"/>
    <s v="https://drive.google.com/open?id=1LLrx-IiP9TSzsqKxnxq3KsyDq-yb_BPe"/>
    <s v="S0380852E010"/>
    <d v="2021-07-19T00:00:00"/>
    <d v="2021-07-25T00:00:00"/>
    <n v="-701"/>
    <x v="77"/>
    <n v="0"/>
    <x v="0"/>
    <s v="Accepted"/>
    <n v="0"/>
    <s v="yes"/>
    <n v="18000"/>
    <s v="paid"/>
  </r>
  <r>
    <s v="S0380902E006"/>
    <s v="SD"/>
    <s v="Pecahan"/>
    <s v="https://drive.google.com/open?id=1i-3AsQjU063NgD8YkfpPI45H3torF9H-"/>
    <s v="S0380902E006"/>
    <d v="2021-07-19T00:00:00"/>
    <d v="2021-07-25T00:00:00"/>
    <n v="-701"/>
    <x v="77"/>
    <n v="0"/>
    <x v="0"/>
    <s v="Accepted"/>
    <n v="0"/>
    <s v="no"/>
    <n v="15000"/>
    <s v="paid"/>
  </r>
  <r>
    <s v="S0380941E004"/>
    <s v="SD"/>
    <s v="Operasi Bilangan Pecahan"/>
    <s v="https://drive.google.com/open?id=1isOljPq655sbr6RRpJ9b_JafYkJHTo9y"/>
    <s v="S0380941E004"/>
    <d v="2021-07-19T00:00:00"/>
    <d v="2021-07-25T00:00:00"/>
    <n v="-701"/>
    <x v="77"/>
    <n v="0"/>
    <x v="0"/>
    <s v="Accepted"/>
    <n v="0"/>
    <s v="yes"/>
    <n v="18000"/>
    <s v="paid"/>
  </r>
  <r>
    <s v="S0380941E005"/>
    <s v="SD"/>
    <s v="Operasi Bilangan Pecahan"/>
    <s v="https://drive.google.com/open?id=1rsOJsPjJgtpKO6lCt1aW2KbuJV1omF73"/>
    <s v="S0380941E005"/>
    <d v="2021-07-19T00:00:00"/>
    <d v="2021-07-25T00:00:00"/>
    <n v="-701"/>
    <x v="77"/>
    <n v="0"/>
    <x v="0"/>
    <s v="Accepted"/>
    <n v="0"/>
    <s v="no"/>
    <n v="15000"/>
    <s v="paid"/>
  </r>
  <r>
    <s v="S0380961E001"/>
    <s v="SD"/>
    <s v="Operasi Bilangan Pecahan"/>
    <s v="https://drive.google.com/open?id=1k1tIaaQ8_o208S_Fbx65u9OksWkWPl1j"/>
    <s v="S0380961E001"/>
    <d v="2021-07-19T00:00:00"/>
    <d v="2021-07-25T00:00:00"/>
    <n v="-701"/>
    <x v="77"/>
    <n v="0"/>
    <x v="0"/>
    <s v="Accepted"/>
    <n v="0"/>
    <s v="no"/>
    <n v="15000"/>
    <s v="paid"/>
  </r>
  <r>
    <s v="S0380961E006"/>
    <s v="SD"/>
    <s v="Operasi Bilangan Pecahan"/>
    <s v="https://drive.google.com/open?id=1oHChClPX4Fw3xjEmv5xJz0I6VEKb0HPK"/>
    <s v="S0380961E006"/>
    <d v="2021-07-19T00:00:00"/>
    <d v="2021-07-25T00:00:00"/>
    <n v="-701"/>
    <x v="77"/>
    <n v="0"/>
    <x v="0"/>
    <s v="Accepted"/>
    <n v="0"/>
    <s v="no"/>
    <n v="15000"/>
    <s v="paid"/>
  </r>
  <r>
    <s v="S0381051E016"/>
    <s v="SD"/>
    <s v="Operasi Bilangan Pecahan"/>
    <s v="https://drive.google.com/open?id=1MtrtjCYV27Ww6rHEZasaSoDgF5s3S5VC"/>
    <s v="S0381051E016"/>
    <d v="2021-07-19T00:00:00"/>
    <d v="2021-07-25T00:00:00"/>
    <n v="-701"/>
    <x v="77"/>
    <n v="0"/>
    <x v="0"/>
    <s v="Accepted"/>
    <n v="0"/>
    <s v="yes"/>
    <n v="18000"/>
    <s v="paid"/>
  </r>
  <r>
    <s v="S0381321P001"/>
    <s v="SD"/>
    <s v="Pecahan"/>
    <s v="https://drive.google.com/open?id=1E9LV6Jv2qUxKyJw471RZ9iSyClu-yzIf"/>
    <s v="S0381321P001"/>
    <d v="2021-07-19T00:00:00"/>
    <d v="2021-07-25T00:00:00"/>
    <n v="-701"/>
    <x v="77"/>
    <n v="0"/>
    <x v="0"/>
    <s v="Accepted"/>
    <n v="0"/>
    <s v="yes"/>
    <n v="18000"/>
    <s v="paid"/>
  </r>
  <r>
    <s v="S0381321P003"/>
    <s v="SD"/>
    <s v="Pecahan"/>
    <s v="https://drive.google.com/open?id=1RHTFFbw2_kguu05ttdHPRdDs0L9IhW3_"/>
    <s v="S0381321P003"/>
    <d v="2021-07-19T00:00:00"/>
    <d v="2021-07-25T00:00:00"/>
    <n v="-701"/>
    <x v="77"/>
    <n v="0"/>
    <x v="0"/>
    <s v="Accepted"/>
    <n v="0"/>
    <s v="no"/>
    <n v="15000"/>
    <s v="paid"/>
  </r>
  <r>
    <s v="S0381321P004"/>
    <s v="SD"/>
    <s v="Pecahan"/>
    <s v="https://drive.google.com/open?id=1wmDiwvhnnv0L9P3TlPWsIlCoWjWNBPiY"/>
    <s v="S0381321P004"/>
    <d v="2021-07-19T00:00:00"/>
    <d v="2021-07-25T00:00:00"/>
    <n v="-701"/>
    <x v="77"/>
    <n v="0"/>
    <x v="0"/>
    <s v="Accepted"/>
    <n v="0"/>
    <s v="no"/>
    <n v="15000"/>
    <s v="paid"/>
  </r>
  <r>
    <s v="S0381351P021"/>
    <s v="SD"/>
    <s v="Operasi Bilangan Pecahan"/>
    <s v="https://drive.google.com/open?id=1zyxuR_f4hbxsDBux_gNw_UbaTVEBDIUW"/>
    <s v="S0381351P021"/>
    <d v="2021-07-19T00:00:00"/>
    <d v="2021-07-25T00:00:00"/>
    <n v="-701"/>
    <x v="77"/>
    <n v="0"/>
    <x v="0"/>
    <s v="Accepted"/>
    <n v="0"/>
    <s v="no"/>
    <n v="15000"/>
    <s v="paid"/>
  </r>
  <r>
    <s v="S0381362E001"/>
    <s v="SD"/>
    <s v="Pecahan"/>
    <s v="https://drive.google.com/open?id=1EqaCVhXzVIR0DDWbIfM9dWIWpC3u3r-s"/>
    <s v="S0381362E001"/>
    <d v="2021-07-19T00:00:00"/>
    <d v="2021-07-25T00:00:00"/>
    <n v="-701"/>
    <x v="77"/>
    <n v="0"/>
    <x v="0"/>
    <s v="Accepted"/>
    <n v="0"/>
    <s v="yes"/>
    <n v="18000"/>
    <s v="paid"/>
  </r>
  <r>
    <s v="S0380622E001"/>
    <s v="SD"/>
    <s v="Bangun Datar"/>
    <s v="https://drive.google.com/open?id=17EPCv4M31p_ZpvK0WP5XVslVoX7a8Rx2"/>
    <s v="S0380622E001"/>
    <d v="2021-07-19T00:00:00"/>
    <d v="2021-07-25T00:00:00"/>
    <n v="-701"/>
    <x v="77"/>
    <n v="0"/>
    <x v="0"/>
    <s v="Accepted"/>
    <n v="0"/>
    <s v="no"/>
    <n v="15000"/>
    <s v="paid"/>
  </r>
  <r>
    <s v="S0380622E004"/>
    <s v="SD"/>
    <s v="Bangun Datar"/>
    <s v="https://drive.google.com/open?id=1h-xIIZ1ktb_hfqdPwFRpOsDfxXrx_TZl"/>
    <s v="S0380622E004"/>
    <d v="2021-07-19T00:00:00"/>
    <d v="2021-07-25T00:00:00"/>
    <n v="-701"/>
    <x v="77"/>
    <n v="0"/>
    <x v="0"/>
    <s v="Accepted"/>
    <n v="0"/>
    <s v="no"/>
    <n v="15000"/>
    <s v="paid"/>
  </r>
  <r>
    <s v="S0380622E005"/>
    <s v="SD"/>
    <s v="Bangun Datar"/>
    <s v="https://drive.google.com/open?id=1j0gb3bJftBDK1XAJhqZ4NwxpW6zLAR-8"/>
    <s v="S0380622E005"/>
    <d v="2021-07-19T00:00:00"/>
    <d v="2021-07-25T00:00:00"/>
    <n v="-701"/>
    <x v="77"/>
    <n v="0"/>
    <x v="0"/>
    <s v="Accepted"/>
    <n v="0"/>
    <s v="no"/>
    <n v="15000"/>
    <s v="paid"/>
  </r>
  <r>
    <s v="S0440551E001"/>
    <s v="SD"/>
    <s v="Bangun Datar"/>
    <s v="https://drive.google.com/open?id=11kY819-0cguyurUNE0v5nJfLa5Fj_T-G"/>
    <s v="S0440551E001"/>
    <d v="2021-07-19T00:00:00"/>
    <d v="2021-07-25T00:00:00"/>
    <n v="-701"/>
    <x v="77"/>
    <n v="0"/>
    <x v="0"/>
    <s v="Accepted"/>
    <n v="0"/>
    <s v="no"/>
    <n v="15000"/>
    <s v="paid"/>
  </r>
  <r>
    <s v="S0380961E007"/>
    <s v="SD"/>
    <s v="Operasi Bilangan Pecahan"/>
    <s v="https://drive.google.com/open?id=16VFYsSWmSjhfiiwElQusrcGRWh7yOGfk"/>
    <s v="S0380961E007"/>
    <d v="2021-07-19T00:00:00"/>
    <d v="2021-07-25T00:00:00"/>
    <n v="-701"/>
    <x v="78"/>
    <n v="0"/>
    <x v="0"/>
    <s v="Accepted"/>
    <n v="0"/>
    <s v="no"/>
    <n v="15000"/>
    <s v="paid"/>
  </r>
  <r>
    <s v="S0380991E005"/>
    <s v="SD"/>
    <s v="Operasi Bilangan Pecahan"/>
    <s v="https://drive.google.com/open?id=1FcZNvM_pEdx6G5rjzCiZus67ZD10JHdh"/>
    <s v="S0380991E005"/>
    <d v="2021-07-19T00:00:00"/>
    <d v="2021-07-25T00:00:00"/>
    <n v="-701"/>
    <x v="78"/>
    <n v="0"/>
    <x v="0"/>
    <s v="Accepted"/>
    <n v="0"/>
    <s v="no"/>
    <n v="15000"/>
    <s v="paid"/>
  </r>
  <r>
    <s v="S0380991E006"/>
    <s v="SD"/>
    <s v="Operasi Bilangan Pecahan"/>
    <s v="https://drive.google.com/open?id=1EJthIi9dcYIlNFl9nZ93oULceiP6bYGK"/>
    <s v="S0380991E006"/>
    <d v="2021-07-19T00:00:00"/>
    <d v="2021-07-25T00:00:00"/>
    <n v="-701"/>
    <x v="78"/>
    <n v="0"/>
    <x v="0"/>
    <s v="Accepted"/>
    <n v="0"/>
    <s v="no"/>
    <n v="15000"/>
    <s v="paid"/>
  </r>
  <r>
    <s v="S0380992E001"/>
    <s v="SD"/>
    <s v="Operasi Bilangan Pecahan"/>
    <s v="https://drive.google.com/open?id=1F7L147uaaVr9h9xQVHl_0TkgpzeIfJfv"/>
    <s v="S0380992E001"/>
    <d v="2021-07-19T00:00:00"/>
    <d v="2021-07-25T00:00:00"/>
    <n v="-701"/>
    <x v="78"/>
    <n v="0"/>
    <x v="0"/>
    <s v="Accepted"/>
    <n v="0"/>
    <s v="no"/>
    <n v="15000"/>
    <s v="paid"/>
  </r>
  <r>
    <s v="S0490101E004"/>
    <s v="SD"/>
    <s v="KPK dan FPB"/>
    <s v="https://drive.google.com/open?id=1yroBWluDKQTZyGtfrrs6hogWUUynnkYD"/>
    <s v="S0490101E004"/>
    <d v="2021-07-26T00:00:00"/>
    <d v="2021-08-01T00:00:00"/>
    <n v="-694"/>
    <x v="79"/>
    <n v="700"/>
    <x v="2"/>
    <s v="Rejected"/>
    <n v="1"/>
    <s v="no"/>
    <n v="0"/>
    <s v="not yet"/>
  </r>
  <r>
    <s v="S0490101E009"/>
    <s v="SD"/>
    <s v="KPK dan FPB"/>
    <s v="https://drive.google.com/open?id=1dsv4XuOR48d-PK4ITsnl1EPWVZusvieE"/>
    <s v="S0490101E009"/>
    <d v="2021-07-26T00:00:00"/>
    <d v="2021-08-01T00:00:00"/>
    <n v="-694"/>
    <x v="79"/>
    <n v="700"/>
    <x v="2"/>
    <s v="Rejected"/>
    <n v="1"/>
    <s v="no"/>
    <n v="0"/>
    <s v="not yet"/>
  </r>
  <r>
    <s v="S0490112E003"/>
    <s v="SD"/>
    <s v="KPK dan FPB"/>
    <s v="https://drive.google.com/open?id=1xoMWOiCh347u06tpgeOscKMHwVVkIMLj"/>
    <s v="S0490112E003"/>
    <d v="2021-07-26T00:00:00"/>
    <d v="2021-08-01T00:00:00"/>
    <n v="-694"/>
    <x v="80"/>
    <n v="700"/>
    <x v="2"/>
    <s v="Rejected"/>
    <n v="1"/>
    <s v="no"/>
    <n v="0"/>
    <s v="not yet"/>
  </r>
  <r>
    <s v="S0510382E003"/>
    <s v="SD"/>
    <s v="Operasi Bilangan Pecahan"/>
    <s v="https://drive.google.com/open?id=1Dh94sqhEhcl2vCwkMidshxd4PqGopGlK"/>
    <s v="S0510382E003"/>
    <d v="2021-07-26T00:00:00"/>
    <d v="2021-08-01T00:00:00"/>
    <n v="-694"/>
    <x v="80"/>
    <n v="0"/>
    <x v="0"/>
    <s v="Accepted"/>
    <n v="0"/>
    <s v="no"/>
    <n v="15000"/>
    <s v="paid"/>
  </r>
  <r>
    <s v="S0510382E004"/>
    <s v="SD"/>
    <s v="Operasi Bilangan Pecahan"/>
    <s v="https://drive.google.com/open?id=1A5CX6Zz8fABpe5DHgMPZAClpFncL32-q"/>
    <s v="S0510382E004"/>
    <d v="2021-07-26T00:00:00"/>
    <d v="2021-08-01T00:00:00"/>
    <n v="-694"/>
    <x v="80"/>
    <n v="0"/>
    <x v="0"/>
    <s v="Accepted"/>
    <n v="0"/>
    <s v="no"/>
    <n v="15000"/>
    <s v="paid"/>
  </r>
  <r>
    <s v="S0510382E005"/>
    <s v="SD"/>
    <s v="Operasi Bilangan Pecahan"/>
    <s v="https://drive.google.com/open?id=18mt9YMJeH3Oyc84NiJr6zCCfEGxqk74-"/>
    <s v="S0510382E005"/>
    <d v="2021-07-26T00:00:00"/>
    <d v="2021-08-01T00:00:00"/>
    <n v="-694"/>
    <x v="80"/>
    <n v="0"/>
    <x v="0"/>
    <s v="Accepted"/>
    <n v="0"/>
    <s v="no"/>
    <n v="15000"/>
    <s v="paid"/>
  </r>
  <r>
    <s v="S0510382E006"/>
    <s v="SD"/>
    <s v="Operasi Bilangan Pecahan"/>
    <s v="https://drive.google.com/open?id=1oRos7v6kmiV-XYoKAsFMfG_GIDiZ-J8r"/>
    <s v="S0510382E006"/>
    <d v="2021-07-26T00:00:00"/>
    <d v="2021-08-01T00:00:00"/>
    <n v="-694"/>
    <x v="80"/>
    <n v="0"/>
    <x v="0"/>
    <s v="Accepted"/>
    <n v="0"/>
    <s v="no"/>
    <n v="15000"/>
    <s v="paid"/>
  </r>
  <r>
    <s v="S0510382E007"/>
    <s v="SD"/>
    <s v="Operasi Bilangan Pecahan"/>
    <s v="https://drive.google.com/open?id=1uTN-UYYCM1HyhV1otYGvyNDQfWlhaHgO"/>
    <s v="S0510382E007"/>
    <d v="2021-07-26T00:00:00"/>
    <d v="2021-08-01T00:00:00"/>
    <n v="-694"/>
    <x v="80"/>
    <n v="0"/>
    <x v="0"/>
    <s v="Accepted"/>
    <n v="0"/>
    <s v="no"/>
    <n v="15000"/>
    <s v="paid"/>
  </r>
  <r>
    <s v="S0510382E008"/>
    <s v="SD"/>
    <s v="Operasi Bilangan Pecahan"/>
    <s v="https://drive.google.com/open?id=12tPTWvv74KrYFrsRDka62k7fVk4EVxxv"/>
    <s v="S0510382E008"/>
    <d v="2021-07-26T00:00:00"/>
    <d v="2021-08-01T00:00:00"/>
    <n v="-694"/>
    <x v="80"/>
    <n v="0"/>
    <x v="0"/>
    <s v="Accepted"/>
    <n v="0"/>
    <s v="no"/>
    <n v="15000"/>
    <s v="paid"/>
  </r>
  <r>
    <s v="S0510382E009"/>
    <s v="SD"/>
    <s v="Operasi Bilangan Pecahan"/>
    <s v="https://drive.google.com/open?id=1fTfo0kggrO70DUXsIhGSB3DMDfOoDtAV"/>
    <s v="S0510382E009"/>
    <d v="2021-07-26T00:00:00"/>
    <d v="2021-08-01T00:00:00"/>
    <n v="-694"/>
    <x v="80"/>
    <n v="0"/>
    <x v="0"/>
    <s v="Accepted"/>
    <n v="0"/>
    <s v="no"/>
    <n v="15000"/>
    <s v="paid"/>
  </r>
  <r>
    <s v="S0510382E010"/>
    <s v="SD"/>
    <s v="Operasi Bilangan Pecahan"/>
    <s v="https://drive.google.com/open?id=18H0akrUqYkoNr3VzD80h51wf3FpKRhwC"/>
    <s v="S0510382E010"/>
    <d v="2021-07-26T00:00:00"/>
    <d v="2021-08-01T00:00:00"/>
    <n v="-694"/>
    <x v="80"/>
    <n v="0"/>
    <x v="0"/>
    <s v="Accepted"/>
    <n v="0"/>
    <s v="no"/>
    <n v="15000"/>
    <s v="paid"/>
  </r>
  <r>
    <s v="S0510382E011"/>
    <s v="SD"/>
    <s v="Operasi Bilangan Pecahan"/>
    <s v="https://drive.google.com/open?id=1DRd7_Gsfze0yIBRIAO05DijoFE5MdNOe"/>
    <s v="S0510382E011"/>
    <d v="2021-07-26T00:00:00"/>
    <d v="2021-08-01T00:00:00"/>
    <n v="-694"/>
    <x v="80"/>
    <n v="0"/>
    <x v="0"/>
    <s v="Accepted"/>
    <n v="0"/>
    <s v="no"/>
    <n v="15000"/>
    <s v="paid"/>
  </r>
  <r>
    <s v="S0510382E012"/>
    <s v="SD"/>
    <s v="Operasi Bilangan Pecahan"/>
    <s v="https://drive.google.com/open?id=1nprs-znKX56mNRg1VS13JTUTZOg9vQG-"/>
    <s v="S0510382E012"/>
    <d v="2021-07-26T00:00:00"/>
    <d v="2021-08-01T00:00:00"/>
    <n v="-694"/>
    <x v="80"/>
    <n v="0"/>
    <x v="0"/>
    <s v="Accepted"/>
    <n v="0"/>
    <s v="no"/>
    <n v="15000"/>
    <s v="paid"/>
  </r>
  <r>
    <s v="S0510382E013"/>
    <s v="SD"/>
    <s v="Operasi Bilangan Pecahan"/>
    <s v="https://drive.google.com/open?id=1g5zW3RHOmyeNwW7BF0LiBcAmaQhz9iPj"/>
    <s v="S0510382E013"/>
    <d v="2021-07-26T00:00:00"/>
    <d v="2021-08-01T00:00:00"/>
    <n v="-694"/>
    <x v="80"/>
    <n v="0"/>
    <x v="0"/>
    <s v="Accepted"/>
    <n v="0"/>
    <s v="no"/>
    <n v="15000"/>
    <s v="paid"/>
  </r>
  <r>
    <s v="S0510382E014"/>
    <s v="SD"/>
    <s v="Operasi Bilangan Pecahan"/>
    <s v="https://drive.google.com/open?id=1XhRahaOeZDykSopTGAMQcVS6infrAxtk"/>
    <s v="S0510382E014"/>
    <d v="2021-07-26T00:00:00"/>
    <d v="2021-08-01T00:00:00"/>
    <n v="-694"/>
    <x v="80"/>
    <n v="0"/>
    <x v="0"/>
    <s v="Accepted"/>
    <n v="0"/>
    <s v="no"/>
    <n v="15000"/>
    <s v="paid"/>
  </r>
  <r>
    <s v="S0510382E015"/>
    <s v="SD"/>
    <s v="Operasi Bilangan Pecahan"/>
    <s v="https://drive.google.com/open?id=1vh_4gTTl7GIUp9rpkG7zHOo-1QCkUrNi"/>
    <s v="S0510382E015"/>
    <d v="2021-07-26T00:00:00"/>
    <d v="2021-08-01T00:00:00"/>
    <n v="-694"/>
    <x v="80"/>
    <n v="0"/>
    <x v="0"/>
    <s v="Accepted"/>
    <n v="0"/>
    <s v="no"/>
    <n v="15000"/>
    <s v="paid"/>
  </r>
  <r>
    <s v="S0510382E016"/>
    <s v="SD"/>
    <s v="Operasi Bilangan Pecahan"/>
    <s v="https://drive.google.com/open?id=13rn5FMLfw1JNV_qkV6B5FdAUmhceP-pN"/>
    <s v="S0510382E016"/>
    <d v="2021-07-26T00:00:00"/>
    <d v="2021-08-01T00:00:00"/>
    <n v="-694"/>
    <x v="80"/>
    <n v="0"/>
    <x v="0"/>
    <s v="Accepted"/>
    <n v="0"/>
    <s v="no"/>
    <n v="15000"/>
    <s v="paid"/>
  </r>
  <r>
    <s v="S0510382E017"/>
    <s v="SD"/>
    <s v="Operasi Bilangan Pecahan"/>
    <s v="https://drive.google.com/open?id=1tESm6bZJXOO9VtAO0DaxI94G0MeqihXD"/>
    <s v="S0510382E017"/>
    <d v="2021-07-26T00:00:00"/>
    <d v="2021-08-01T00:00:00"/>
    <n v="-694"/>
    <x v="80"/>
    <n v="0"/>
    <x v="0"/>
    <s v="Accepted"/>
    <n v="0"/>
    <s v="no"/>
    <n v="15000"/>
    <s v="paid"/>
  </r>
  <r>
    <s v="S0510382E018"/>
    <s v="SD"/>
    <s v="Operasi Bilangan Pecahan"/>
    <s v="https://drive.google.com/open?id=12fNQgoKdz_9onazOqXhZQsXDbWIVMn4C"/>
    <s v="S0510382E018"/>
    <d v="2021-07-26T00:00:00"/>
    <d v="2021-08-01T00:00:00"/>
    <n v="-694"/>
    <x v="80"/>
    <n v="0"/>
    <x v="0"/>
    <s v="Accepted"/>
    <n v="0"/>
    <s v="no"/>
    <n v="15000"/>
    <s v="paid"/>
  </r>
  <r>
    <s v="S0510382E019"/>
    <s v="SD"/>
    <s v="Operasi Bilangan Pecahan"/>
    <s v="https://drive.google.com/open?id=1yKg2LpSR_ryottI7sCNfqi1rjThN5jze"/>
    <s v="S0510382E019"/>
    <d v="2021-07-26T00:00:00"/>
    <d v="2021-08-01T00:00:00"/>
    <n v="-694"/>
    <x v="80"/>
    <n v="0"/>
    <x v="0"/>
    <s v="Accepted"/>
    <n v="0"/>
    <s v="no"/>
    <n v="15000"/>
    <s v="paid"/>
  </r>
  <r>
    <s v="S0510382E020"/>
    <s v="SD"/>
    <s v="Operasi Bilangan Pecahan"/>
    <s v="https://drive.google.com/open?id=1DVFcDPRnYby9fxmiFq5FzQp7x5cKX8dW"/>
    <s v="S0510382E020"/>
    <d v="2021-07-26T00:00:00"/>
    <d v="2021-08-01T00:00:00"/>
    <n v="-694"/>
    <x v="80"/>
    <n v="0"/>
    <x v="0"/>
    <s v="Accepted"/>
    <n v="0"/>
    <s v="no"/>
    <n v="15000"/>
    <s v="paid"/>
  </r>
  <r>
    <s v="S0510391a001"/>
    <s v="SD"/>
    <s v="Operasi Bilangan Pecahan"/>
    <s v="https://drive.google.com/open?id=16B8gJCmd8YY8I_PkhpInmg0hTrgF2CZM"/>
    <s v="S0510391a001"/>
    <d v="2021-07-26T00:00:00"/>
    <d v="2021-08-01T00:00:00"/>
    <n v="-694"/>
    <x v="81"/>
    <n v="0"/>
    <x v="0"/>
    <s v="Accepted"/>
    <n v="0"/>
    <s v="no"/>
    <n v="15000"/>
    <s v="paid"/>
  </r>
  <r>
    <s v="S0510391b001"/>
    <s v="SD"/>
    <s v="Operasi Bilangan Pecahan"/>
    <s v="https://drive.google.com/open?id=1ono4rdWk1A-vS4z6PH7by7GGA8EzpDQm"/>
    <s v="S0510391b001"/>
    <d v="2021-07-26T00:00:00"/>
    <d v="2021-08-01T00:00:00"/>
    <n v="-694"/>
    <x v="81"/>
    <n v="0"/>
    <x v="0"/>
    <s v="Accepted"/>
    <n v="0"/>
    <s v="no"/>
    <n v="15000"/>
    <s v="paid"/>
  </r>
  <r>
    <s v="S0510392E002"/>
    <s v="SD"/>
    <s v="Operasi Bilangan Pecahan"/>
    <s v="https://drive.google.com/open?id=13f4U_UbF_GEnbyiAa1PAutWp7RMGo7RS"/>
    <s v="S0510392E002"/>
    <d v="2021-07-26T00:00:00"/>
    <d v="2021-08-01T00:00:00"/>
    <n v="-694"/>
    <x v="81"/>
    <n v="0"/>
    <x v="0"/>
    <s v="Accepted"/>
    <n v="0"/>
    <s v="no"/>
    <n v="15000"/>
    <s v="paid"/>
  </r>
  <r>
    <s v="S0510392E004"/>
    <s v="SD"/>
    <s v="Operasi Bilangan Pecahan"/>
    <s v="https://drive.google.com/open?id=1OvFlLQqp4cXOUBX0U5SS_X8oMKnKOtGk"/>
    <s v="S0510392E004"/>
    <d v="2021-07-26T00:00:00"/>
    <d v="2021-08-01T00:00:00"/>
    <n v="-694"/>
    <x v="81"/>
    <n v="0"/>
    <x v="0"/>
    <s v="Accepted"/>
    <n v="0"/>
    <s v="no"/>
    <n v="15000"/>
    <s v="paid"/>
  </r>
  <r>
    <s v="S0510392E005"/>
    <s v="SD"/>
    <s v="Operasi Bilangan Pecahan"/>
    <s v="https://drive.google.com/open?id=13-AKbGsP0dUKIhDEGvCpUOLyy0phoUKJ"/>
    <s v="S0510392E005"/>
    <d v="2021-07-26T00:00:00"/>
    <d v="2021-08-01T00:00:00"/>
    <n v="-694"/>
    <x v="81"/>
    <n v="0"/>
    <x v="0"/>
    <s v="Accepted"/>
    <n v="0"/>
    <s v="no"/>
    <n v="15000"/>
    <s v="paid"/>
  </r>
  <r>
    <s v="S0510392E010"/>
    <s v="SD"/>
    <s v="Operasi Bilangan Pecahan"/>
    <s v="https://drive.google.com/open?id=1aEbbEDmH22taOl2-MstMTNiK_VM-xbmT"/>
    <s v="S0510392E010"/>
    <d v="2021-07-26T00:00:00"/>
    <d v="2021-08-01T00:00:00"/>
    <n v="-694"/>
    <x v="81"/>
    <n v="0"/>
    <x v="0"/>
    <s v="Accepted"/>
    <n v="0"/>
    <s v="no"/>
    <n v="15000"/>
    <s v="paid"/>
  </r>
  <r>
    <s v="S0510401E001"/>
    <s v="SD"/>
    <s v="Operasi Bilangan Pecahan"/>
    <s v="https://drive.google.com/open?id=1nsEyB5DakeK80EJ-9GesgtSA-sAedFx-"/>
    <s v="S0510401E001"/>
    <d v="2021-07-26T00:00:00"/>
    <d v="2021-08-01T00:00:00"/>
    <n v="-694"/>
    <x v="81"/>
    <n v="0"/>
    <x v="0"/>
    <s v="Accepted"/>
    <n v="0"/>
    <s v="no"/>
    <n v="15000"/>
    <s v="paid"/>
  </r>
  <r>
    <s v="S0510402E001"/>
    <s v="SD"/>
    <s v="Operasi Bilangan Pecahan"/>
    <s v="https://drive.google.com/open?id=1xArM1Uk-99PNPyhzGBN-cvUbm7EGDYx7"/>
    <s v="S0510402E001"/>
    <d v="2021-07-26T00:00:00"/>
    <d v="2021-08-01T00:00:00"/>
    <n v="-694"/>
    <x v="81"/>
    <n v="0"/>
    <x v="0"/>
    <s v="Accepted"/>
    <n v="0"/>
    <s v="no"/>
    <n v="15000"/>
    <s v="paid"/>
  </r>
  <r>
    <s v="S0510402E002"/>
    <s v="SD"/>
    <s v="Operasi Bilangan Pecahan"/>
    <s v="https://drive.google.com/open?id=1rw-B2tjDSRHhb-So1PqNjFkMgbsF4M2t"/>
    <s v="S0510402E002"/>
    <d v="2021-07-26T00:00:00"/>
    <d v="2021-08-01T00:00:00"/>
    <n v="-694"/>
    <x v="81"/>
    <n v="0"/>
    <x v="0"/>
    <s v="Accepted"/>
    <n v="0"/>
    <s v="no"/>
    <n v="15000"/>
    <s v="paid"/>
  </r>
  <r>
    <s v="V0101971P004"/>
    <s v="SD"/>
    <s v="Operasi Bilangan Pecahan"/>
    <s v="https://drive.google.com/open?id=1muDjumlIMXPFMnd1VIayk-H0z-UUhgS0"/>
    <s v="V0101971P004"/>
    <d v="2021-08-02T00:00:00"/>
    <d v="2021-08-08T00:00:00"/>
    <n v="-687"/>
    <x v="82"/>
    <n v="0"/>
    <x v="0"/>
    <s v="Accepted"/>
    <n v="0"/>
    <s v="yes"/>
    <n v="18000"/>
    <s v="paid"/>
  </r>
  <r>
    <s v="S0540781E017"/>
    <s v="SD"/>
    <s v="Operasi Bilangan Pecahan"/>
    <s v="https://drive.google.com/open?id=1m9TdilyJOwgqWBGEgoLQ5hA4mK_hQWmV"/>
    <s v="S0540781E017"/>
    <d v="2021-08-02T00:00:00"/>
    <d v="2021-08-08T00:00:00"/>
    <n v="-687"/>
    <x v="82"/>
    <n v="0"/>
    <x v="0"/>
    <s v="Accepted"/>
    <n v="0"/>
    <s v="no"/>
    <n v="15000"/>
    <s v="paid"/>
  </r>
  <r>
    <s v="S0150863E001"/>
    <s v="SD"/>
    <s v="Bangun Ruang Sisi Lengkung"/>
    <s v="https://drive.google.com/open?id=1g6PMUXJvvTeeXSEGYgj5uSpswdfWUTZP"/>
    <s v="S0150863E001"/>
    <d v="2021-08-02T00:00:00"/>
    <d v="2021-08-29T00:00:00"/>
    <n v="-666"/>
    <x v="83"/>
    <n v="693"/>
    <x v="3"/>
    <s v="Rejected"/>
    <n v="1"/>
    <s v="no"/>
    <n v="0"/>
    <s v="not yet"/>
  </r>
  <r>
    <s v="S0300981E005"/>
    <s v="SD"/>
    <s v="Operasi Bilangan Pecahan"/>
    <s v="https://drive.google.com/open?id=1XGspVc3webm97sbGW28gqhKUDh2pY33a"/>
    <s v="S0300981E005"/>
    <d v="2021-08-02T00:00:00"/>
    <d v="2021-08-08T00:00:00"/>
    <n v="-687"/>
    <x v="84"/>
    <n v="0"/>
    <x v="0"/>
    <s v="Accepted"/>
    <n v="1"/>
    <s v="yes"/>
    <n v="18000"/>
    <s v="paid"/>
  </r>
  <r>
    <s v="S0410203E002"/>
    <s v="SD"/>
    <s v="KPK dan FPB"/>
    <s v="https://drive.google.com/open?id=1svneJWukx0t341hiXa1cR3-sBIsroXWq"/>
    <s v="S0410203E002"/>
    <d v="2021-08-02T00:00:00"/>
    <d v="2021-08-08T00:00:00"/>
    <n v="-687"/>
    <x v="85"/>
    <n v="0"/>
    <x v="0"/>
    <s v="Accepted"/>
    <n v="1"/>
    <s v="yes"/>
    <n v="18000"/>
    <s v="paid"/>
  </r>
  <r>
    <s v="S0300981E001"/>
    <s v="SD"/>
    <s v="Operasi Bilangan Pecahan"/>
    <s v="https://drive.google.com/open?id=1UBmZOXjFi4oOuh1yhIPpdx6XJs9bvJFE"/>
    <s v="S0300981E001"/>
    <d v="2021-08-02T00:00:00"/>
    <d v="2021-08-08T00:00:00"/>
    <n v="-687"/>
    <x v="85"/>
    <n v="0"/>
    <x v="0"/>
    <s v="Accepted"/>
    <n v="1"/>
    <s v="yes"/>
    <n v="18000"/>
    <s v="paid"/>
  </r>
  <r>
    <s v="S0401533E002"/>
    <s v="SD"/>
    <s v="Kesebangunan Dan Simetri"/>
    <s v="https://drive.google.com/open?id=1RZvvXXf0_0PYUpbljDvLlajtm6O9mi13"/>
    <s v="S0401533E002"/>
    <d v="2021-08-02T00:00:00"/>
    <d v="2021-08-08T00:00:00"/>
    <n v="-687"/>
    <x v="85"/>
    <n v="693"/>
    <x v="4"/>
    <s v="Rejected"/>
    <n v="1"/>
    <s v="no"/>
    <n v="0"/>
    <s v="not yet"/>
  </r>
  <r>
    <s v="S0300981E003"/>
    <s v="SD"/>
    <s v="Operasi Bilangan Pecahan"/>
    <s v="https://drive.google.com/open?id=1hJte3NC98SXitn6kOCzAecdD9QNIK64S"/>
    <s v="S0300981E003"/>
    <d v="2021-08-02T00:00:00"/>
    <d v="2021-08-08T00:00:00"/>
    <n v="-687"/>
    <x v="85"/>
    <n v="0"/>
    <x v="0"/>
    <s v="Accepted"/>
    <n v="1"/>
    <s v="yes"/>
    <n v="18000"/>
    <s v="paid"/>
  </r>
  <r>
    <s v="S0501052E003"/>
    <s v="SD"/>
    <s v="Bangun Datar"/>
    <s v="https://drive.google.com/open?id=14czJ9NJAQ3NBeomjnwnyXnbU5-BPGqp9"/>
    <s v="S0501052E003"/>
    <d v="2021-08-02T00:00:00"/>
    <d v="2021-08-08T00:00:00"/>
    <n v="-687"/>
    <x v="85"/>
    <n v="0"/>
    <x v="0"/>
    <s v="Accepted"/>
    <n v="2"/>
    <s v="no"/>
    <n v="15000"/>
    <s v="paid"/>
  </r>
  <r>
    <s v="S0390941E004"/>
    <s v="SD"/>
    <s v="Operasi Bilangan Pecahan"/>
    <s v="https://drive.google.com/open?id=1lUg0_-uURVgAxlrfSRc02gwkx8DlYby-"/>
    <s v="S0390941E004"/>
    <d v="2021-08-02T00:00:00"/>
    <d v="2021-08-08T00:00:00"/>
    <n v="-687"/>
    <x v="85"/>
    <n v="0"/>
    <x v="0"/>
    <s v="Accepted"/>
    <n v="1"/>
    <s v="no"/>
    <n v="15000"/>
    <s v="paid"/>
  </r>
  <r>
    <s v="S0510453E007"/>
    <s v="SD"/>
    <s v="Operasi Bilangan Pecahan"/>
    <s v="https://drive.google.com/open?id=19yi0WMLJltZJ0IoC2q5XsyyULbIr_Ca5"/>
    <s v="S0510453E007"/>
    <d v="2021-08-02T00:00:00"/>
    <d v="2021-08-08T00:00:00"/>
    <n v="-687"/>
    <x v="85"/>
    <n v="0"/>
    <x v="0"/>
    <s v="Accepted"/>
    <n v="0"/>
    <s v="no"/>
    <n v="15000"/>
    <s v="paid"/>
  </r>
  <r>
    <s v="S0351231P010"/>
    <s v="SD"/>
    <s v="Bilangan Bulat"/>
    <s v="https://drive.google.com/open?id=1ZewbD7kyGZ2y701AsHCanXwpXvVeNSAV"/>
    <s v="S0351231P010"/>
    <d v="2021-08-02T00:00:00"/>
    <d v="2021-08-08T00:00:00"/>
    <n v="-687"/>
    <x v="85"/>
    <n v="0"/>
    <x v="0"/>
    <s v="Accepted"/>
    <n v="0"/>
    <s v="no"/>
    <n v="15000"/>
    <s v="paid"/>
  </r>
  <r>
    <s v="S0540821E007"/>
    <s v="SD"/>
    <s v="Operasi Bilangan Pecahan"/>
    <s v="https://drive.google.com/open?id=1NjephJp8GRz61vHgWoTewrbO5bVtTdJm"/>
    <s v="S0540821E007"/>
    <d v="2021-08-02T00:00:00"/>
    <d v="2021-08-08T00:00:00"/>
    <n v="-687"/>
    <x v="85"/>
    <n v="0"/>
    <x v="0"/>
    <s v="Accepted"/>
    <n v="0"/>
    <s v="no"/>
    <n v="15000"/>
    <s v="paid"/>
  </r>
  <r>
    <s v="S0260901E024"/>
    <s v="SD"/>
    <s v="Bangun Ruang"/>
    <s v="https://drive.google.com/open?id=1e-0PWdu01Dya_nSFTJ7TXPVUSMbAn9Nf"/>
    <s v="S0260901E024"/>
    <d v="2021-08-02T00:00:00"/>
    <d v="2021-08-08T00:00:00"/>
    <n v="-687"/>
    <x v="85"/>
    <n v="0"/>
    <x v="0"/>
    <s v="Accepted"/>
    <n v="0"/>
    <s v="no"/>
    <n v="15000"/>
    <s v="paid"/>
  </r>
  <r>
    <s v="S0400782E002"/>
    <s v="SD"/>
    <s v="Bangun Datar"/>
    <s v="https://drive.google.com/open?id=1XsbampjwnixSDVWg6_8cofxjo9qR1PYy"/>
    <s v="S0400782E002"/>
    <d v="2021-08-02T00:00:00"/>
    <d v="2021-08-08T00:00:00"/>
    <n v="-687"/>
    <x v="85"/>
    <n v="0"/>
    <x v="0"/>
    <s v="Accepted"/>
    <n v="0"/>
    <s v="no"/>
    <n v="15000"/>
    <s v="paid"/>
  </r>
  <r>
    <s v="S0422352E010"/>
    <s v="SD"/>
    <s v="Bangun Ruang"/>
    <s v="https://drive.google.com/open?id=1rkgp-nN2ODbawy-LXziMu0WxBjNzXA6D"/>
    <s v="S0422352E010"/>
    <d v="2021-08-02T00:00:00"/>
    <d v="2021-08-08T00:00:00"/>
    <n v="-687"/>
    <x v="85"/>
    <n v="0"/>
    <x v="0"/>
    <s v="Accepted"/>
    <n v="0"/>
    <s v="no"/>
    <n v="15000"/>
    <s v="paid"/>
  </r>
  <r>
    <s v="S0421171E010"/>
    <s v="SD"/>
    <s v="Bangun Datar"/>
    <s v="https://drive.google.com/open?id=1mWHy99wJuGGN-Kc5pf-_kcMwGVON1B7G"/>
    <s v="S0421171E010"/>
    <d v="2021-08-02T00:00:00"/>
    <d v="2021-08-08T00:00:00"/>
    <n v="-687"/>
    <x v="85"/>
    <n v="0"/>
    <x v="0"/>
    <s v="Accepted"/>
    <n v="0"/>
    <s v="no"/>
    <n v="15000"/>
    <s v="paid"/>
  </r>
  <r>
    <s v="S0570791E020"/>
    <s v="SD"/>
    <s v="Operasi Bilangan Pecahan"/>
    <s v="https://drive.google.com/open?id=1MHUits404ZAElwSojDRDPe010qgXSSdW"/>
    <s v="S0570791E020"/>
    <d v="2021-08-02T00:00:00"/>
    <d v="2021-08-08T00:00:00"/>
    <n v="-687"/>
    <x v="85"/>
    <n v="0"/>
    <x v="0"/>
    <s v="Accepted"/>
    <n v="0"/>
    <s v="no"/>
    <n v="15000"/>
    <s v="paid"/>
  </r>
  <r>
    <s v="S0300981E002"/>
    <s v="SD"/>
    <s v="Operasi Bilangan Pecahan"/>
    <s v="https://drive.google.com/open?id=1k1FQF456vBC_2KjrKEjw1ckxhJlUhYXt"/>
    <s v="S0300981E002"/>
    <d v="2021-08-02T00:00:00"/>
    <d v="2021-08-08T00:00:00"/>
    <n v="-687"/>
    <x v="86"/>
    <n v="0"/>
    <x v="0"/>
    <s v="Accepted"/>
    <n v="1"/>
    <s v="yes"/>
    <n v="18000"/>
    <s v="paid"/>
  </r>
  <r>
    <s v="S0300981E007"/>
    <s v="SD"/>
    <s v="Operasi Bilangan Pecahan"/>
    <s v="https://drive.google.com/open?id=1M8NRAH8kjDwmt6-i_Ikf7_Rhr6k0JzpW"/>
    <s v="S0300981E007"/>
    <d v="2021-08-02T00:00:00"/>
    <d v="2021-08-08T00:00:00"/>
    <n v="-687"/>
    <x v="86"/>
    <n v="0"/>
    <x v="0"/>
    <s v="Accepted"/>
    <n v="2"/>
    <s v="no"/>
    <n v="15000"/>
    <s v="paid"/>
  </r>
  <r>
    <s v="S0301021E002"/>
    <s v="SD"/>
    <s v="Operasi Bilangan Pecahan"/>
    <s v="https://drive.google.com/open?id=1QtoT1ciyQQM9TsVcs4e1T49WqRCh8ugJ"/>
    <s v="S0301021E002"/>
    <d v="2021-08-02T00:00:00"/>
    <d v="2021-08-08T00:00:00"/>
    <n v="-687"/>
    <x v="86"/>
    <n v="0"/>
    <x v="0"/>
    <s v="Accepted"/>
    <n v="2"/>
    <s v="no"/>
    <n v="15000"/>
    <s v="paid"/>
  </r>
  <r>
    <s v="S0301032E001"/>
    <s v="SD"/>
    <s v="Operasi Bilangan Pecahan"/>
    <s v="https://drive.google.com/open?id=1gauNUAoS0s4wpdwJSq3_iLCVRErtmS4N"/>
    <s v="S0301032E001"/>
    <d v="2021-08-02T00:00:00"/>
    <d v="2021-08-08T00:00:00"/>
    <n v="-687"/>
    <x v="86"/>
    <n v="0"/>
    <x v="0"/>
    <s v="Accepted"/>
    <n v="2"/>
    <s v="no"/>
    <n v="15000"/>
    <s v="paid"/>
  </r>
  <r>
    <s v="S0140342a002"/>
    <s v="SD"/>
    <s v="Kecepatan Dan Debit"/>
    <s v="https://drive.google.com/open?id=1WEY1kmseX4JtcmxH3XDDmIZX4DEB7N4N"/>
    <s v="S0140342a002"/>
    <d v="2021-08-02T00:00:00"/>
    <d v="2021-08-08T00:00:00"/>
    <n v="-687"/>
    <x v="86"/>
    <n v="0"/>
    <x v="0"/>
    <s v="Accepted"/>
    <n v="1"/>
    <s v="no"/>
    <n v="15000"/>
    <s v="paid"/>
  </r>
  <r>
    <s v="S0380971E003"/>
    <s v="SD"/>
    <s v="Operasi Bilangan Pecahan"/>
    <s v="https://drive.google.com/open?id=1lxhJR-b_fwcr7Z7K_lPLXF_WUZIVjV1y"/>
    <s v="S0380971E003"/>
    <d v="2021-08-02T00:00:00"/>
    <d v="2021-08-08T00:00:00"/>
    <n v="-687"/>
    <x v="86"/>
    <n v="0"/>
    <x v="0"/>
    <s v="Accepted"/>
    <n v="1"/>
    <s v="no"/>
    <n v="15000"/>
    <s v="paid"/>
  </r>
  <r>
    <s v="S0380991E003"/>
    <s v="SD"/>
    <s v="Operasi Bilangan Pecahan"/>
    <s v="https://drive.google.com/open?id=1WV6VU3DwYhnYdX--h1lXJlMFV1RmuP6h"/>
    <s v="S0380991E003"/>
    <d v="2021-08-02T00:00:00"/>
    <d v="2021-08-08T00:00:00"/>
    <n v="-687"/>
    <x v="86"/>
    <n v="0"/>
    <x v="0"/>
    <s v="Accepted"/>
    <n v="1"/>
    <s v="no"/>
    <n v="15000"/>
    <s v="paid"/>
  </r>
  <r>
    <s v="S0370412E003"/>
    <s v="SD"/>
    <s v="KPK dan FPB"/>
    <s v="https://drive.google.com/open?id=1RmB3UaHQY4EaWMuGYpBtAzONnwryQwPZ"/>
    <s v="S0370412E003"/>
    <d v="2021-08-02T00:00:00"/>
    <d v="2021-08-08T00:00:00"/>
    <n v="-687"/>
    <x v="87"/>
    <n v="693"/>
    <x v="2"/>
    <s v="Rejected"/>
    <n v="1"/>
    <s v="yes"/>
    <n v="0"/>
    <s v="not yet"/>
  </r>
  <r>
    <s v="S0301041E001"/>
    <s v="SD"/>
    <s v="Operasi Bilangan Pecahan"/>
    <s v="https://drive.google.com/open?id=1TZmNbBPnv1cpkkbgV3oRiBEYfsdmdL4j"/>
    <s v="S0301041E001"/>
    <d v="2021-08-02T00:00:00"/>
    <d v="2021-08-08T00:00:00"/>
    <n v="-687"/>
    <x v="87"/>
    <n v="0"/>
    <x v="0"/>
    <s v="Accepted"/>
    <n v="2"/>
    <s v="no"/>
    <n v="15000"/>
    <s v="paid"/>
  </r>
  <r>
    <s v="S0371321b001"/>
    <s v="SD"/>
    <s v="Operasi Bilangan Pecahan"/>
    <s v="https://drive.google.com/open?id=1prvhh4uCytqyk3s--QQhlr-9umzTbN0w"/>
    <s v="S0371321b001"/>
    <d v="2021-08-02T00:00:00"/>
    <d v="2021-08-08T00:00:00"/>
    <n v="-687"/>
    <x v="87"/>
    <n v="0"/>
    <x v="0"/>
    <s v="Accepted"/>
    <n v="1"/>
    <s v="yes"/>
    <n v="18000"/>
    <s v="paid"/>
  </r>
  <r>
    <s v="S0380942E002"/>
    <s v="SD"/>
    <s v="Operasi Bilangan Pecahan"/>
    <s v="https://drive.google.com/open?id=1tBSavg8ktA85BKIMxtb7Saj5zWHDxveo"/>
    <s v="S0380942E002"/>
    <d v="2021-08-02T00:00:00"/>
    <d v="2021-08-08T00:00:00"/>
    <n v="-687"/>
    <x v="87"/>
    <n v="0"/>
    <x v="0"/>
    <s v="Accepted"/>
    <n v="1"/>
    <s v="no"/>
    <n v="15000"/>
    <s v="paid"/>
  </r>
  <r>
    <s v="S0150371E004"/>
    <s v="SD"/>
    <s v="Operasi Bilangan Pecahan"/>
    <s v="https://drive.google.com/open?id=1hTRABaJ2_Kv3gLCN2lejHzH8ZAPDZdeP"/>
    <s v="S0150371E004"/>
    <d v="2021-08-02T00:00:00"/>
    <d v="2021-08-08T00:00:00"/>
    <n v="-687"/>
    <x v="87"/>
    <n v="0"/>
    <x v="0"/>
    <s v="Accepted"/>
    <n v="0"/>
    <s v="yes"/>
    <n v="18000"/>
    <s v="paid"/>
  </r>
  <r>
    <s v="S0561091E005"/>
    <s v="SD"/>
    <s v="Bangun Ruang Sisi Lengkung"/>
    <s v="https://drive.google.com/open?id=1LdkjYqkB9kU7dJjKnUrrB64GzhEdQLIs"/>
    <s v="S0561091E005"/>
    <d v="2021-08-02T00:00:00"/>
    <d v="2021-08-08T00:00:00"/>
    <n v="-687"/>
    <x v="87"/>
    <n v="0"/>
    <x v="0"/>
    <s v="Accepted"/>
    <n v="0"/>
    <s v="yes"/>
    <n v="18000"/>
    <s v="paid"/>
  </r>
  <r>
    <s v="S0510071E006"/>
    <s v="SD"/>
    <s v="Operasi Bilangan Pecahan"/>
    <s v="https://drive.google.com/open?id=1Ae-AUV5wKaxYYHJ3Gs5znSmvC6daq6IY"/>
    <s v="S0510071E006"/>
    <d v="2021-08-02T00:00:00"/>
    <d v="2021-08-08T00:00:00"/>
    <n v="-687"/>
    <x v="87"/>
    <n v="0"/>
    <x v="0"/>
    <s v="Accepted"/>
    <n v="0"/>
    <s v="no"/>
    <n v="15000"/>
    <s v="paid"/>
  </r>
  <r>
    <s v="S0580062E007"/>
    <s v="SD"/>
    <s v="Operasi Bilangan Pecahan"/>
    <s v="https://drive.google.com/open?id=1Af44H8Bz0ATtaGbnsYiCXfkbWunMCogB"/>
    <s v="S0580062E007"/>
    <d v="2021-08-02T00:00:00"/>
    <d v="2021-08-08T00:00:00"/>
    <n v="-687"/>
    <x v="87"/>
    <n v="0"/>
    <x v="0"/>
    <s v="Accepted"/>
    <n v="0"/>
    <s v="yes"/>
    <n v="18000"/>
    <s v="paid"/>
  </r>
  <r>
    <s v="S0300971E001"/>
    <s v="SD"/>
    <s v="Operasi Bilangan Pecahan"/>
    <s v="https://drive.google.com/open?id=1apsU3zZD7gfZTgX790-uJ2I1yTqsxhGc"/>
    <s v="S0300971E001"/>
    <d v="2021-08-02T00:00:00"/>
    <d v="2021-08-08T00:00:00"/>
    <n v="-687"/>
    <x v="88"/>
    <n v="0"/>
    <x v="0"/>
    <s v="Accepted"/>
    <n v="1"/>
    <s v="yes"/>
    <n v="18000"/>
    <s v="paid"/>
  </r>
  <r>
    <s v="S0300981E004"/>
    <s v="SD"/>
    <s v="Operasi Bilangan Pecahan"/>
    <s v="https://drive.google.com/open?id=11urDh0DLIU6klkgSCvy1nHS3xX5ldMir"/>
    <s v="S0300981E004"/>
    <d v="2021-08-02T00:00:00"/>
    <d v="2021-08-08T00:00:00"/>
    <n v="-687"/>
    <x v="88"/>
    <n v="0"/>
    <x v="0"/>
    <s v="Accepted"/>
    <n v="1"/>
    <s v="yes"/>
    <n v="18000"/>
    <s v="paid"/>
  </r>
  <r>
    <s v="V0110363a004"/>
    <s v="SD"/>
    <s v="Operasi Bilangan Pecahan"/>
    <s v="https://drive.google.com/open?id=1P-j9TEkXBXvZzva6UUmldjT8LGil2nZX"/>
    <s v="V0110363a004"/>
    <d v="2021-08-02T00:00:00"/>
    <d v="2021-08-08T00:00:00"/>
    <n v="-687"/>
    <x v="88"/>
    <n v="0"/>
    <x v="0"/>
    <s v="Accepted"/>
    <n v="0"/>
    <s v="no"/>
    <n v="15000"/>
    <s v="paid"/>
  </r>
  <r>
    <s v="V0110363b004"/>
    <s v="SD"/>
    <s v="Operasi Bilangan Pecahan"/>
    <s v="https://drive.google.com/open?id=1hwXM24KeObdbu8MdNzq45kiZ9sB-noq6"/>
    <s v="V0110363b004"/>
    <d v="2021-08-02T00:00:00"/>
    <d v="2021-08-08T00:00:00"/>
    <n v="-687"/>
    <x v="88"/>
    <n v="0"/>
    <x v="0"/>
    <s v="Accepted"/>
    <n v="0"/>
    <s v="no"/>
    <n v="15000"/>
    <s v="paid"/>
  </r>
  <r>
    <s v="V0110373a004"/>
    <s v="SD"/>
    <s v="Operasi Bilangan Pecahan"/>
    <s v="https://drive.google.com/open?id=1pX68oVL5VSsNimR6ubYufGLQy4XJ-KFA"/>
    <s v="V0110373a004"/>
    <d v="2021-08-02T00:00:00"/>
    <d v="2021-08-08T00:00:00"/>
    <n v="-687"/>
    <x v="88"/>
    <n v="0"/>
    <x v="0"/>
    <s v="Accepted"/>
    <n v="0"/>
    <s v="no"/>
    <n v="15000"/>
    <s v="paid"/>
  </r>
  <r>
    <s v="V0110373b004"/>
    <s v="SD"/>
    <s v="Operasi Bilangan Pecahan"/>
    <s v="https://drive.google.com/open?id=1vyeTO1LVAeDYvBnzgss1vmz7khxaCAjG"/>
    <s v="V0110373b004"/>
    <d v="2021-08-02T00:00:00"/>
    <d v="2021-08-08T00:00:00"/>
    <n v="-687"/>
    <x v="88"/>
    <n v="0"/>
    <x v="0"/>
    <s v="Accepted"/>
    <n v="0"/>
    <s v="no"/>
    <n v="15000"/>
    <s v="paid"/>
  </r>
  <r>
    <s v="V0110373c004"/>
    <s v="SD"/>
    <s v="Operasi Bilangan Pecahan"/>
    <s v="https://drive.google.com/open?id=1NbEe-Ys8abO9oEUcIwFdHYy6p2Jc4I0y"/>
    <s v="V0110373c004"/>
    <d v="2021-08-02T00:00:00"/>
    <d v="2021-08-08T00:00:00"/>
    <n v="-687"/>
    <x v="88"/>
    <n v="0"/>
    <x v="0"/>
    <s v="Accepted"/>
    <n v="0"/>
    <s v="no"/>
    <n v="15000"/>
    <s v="paid"/>
  </r>
  <r>
    <s v="V0110373a005"/>
    <s v="SD"/>
    <s v="Operasi Bilangan Pecahan"/>
    <s v="https://drive.google.com/open?id=1dyEr7bNUJLoiXXtUBfy0GxVgZbCa52ND"/>
    <s v="V0110373a005"/>
    <d v="2021-08-02T00:00:00"/>
    <d v="2021-08-08T00:00:00"/>
    <n v="-687"/>
    <x v="88"/>
    <n v="0"/>
    <x v="0"/>
    <s v="Accepted"/>
    <n v="0"/>
    <s v="no"/>
    <n v="15000"/>
    <s v="paid"/>
  </r>
  <r>
    <s v="V0110373b005"/>
    <s v="SD"/>
    <s v="Operasi Bilangan Pecahan"/>
    <s v="https://drive.google.com/open?id=1FE6xFyCoB-l8v0stFrNiG7-11YDjYGSM"/>
    <s v="V0110373b005"/>
    <d v="2021-08-02T00:00:00"/>
    <d v="2021-08-08T00:00:00"/>
    <n v="-687"/>
    <x v="88"/>
    <n v="0"/>
    <x v="0"/>
    <s v="Accepted"/>
    <n v="0"/>
    <s v="no"/>
    <n v="15000"/>
    <s v="paid"/>
  </r>
  <r>
    <s v="V0110373c005"/>
    <s v="SD"/>
    <s v="Operasi Bilangan Pecahan"/>
    <s v="https://drive.google.com/open?id=1Qtx6nWcqmOnyTimJvRwotFWvWbWSOp3N"/>
    <s v="V0110373c005"/>
    <d v="2021-08-02T00:00:00"/>
    <d v="2021-08-08T00:00:00"/>
    <n v="-687"/>
    <x v="88"/>
    <n v="0"/>
    <x v="0"/>
    <s v="Accepted"/>
    <n v="0"/>
    <s v="no"/>
    <n v="15000"/>
    <s v="paid"/>
  </r>
  <r>
    <s v="V0110373d005"/>
    <s v="SD"/>
    <s v="Operasi Bilangan Pecahan"/>
    <s v="https://drive.google.com/open?id=1m-YQ_JPpxPUPlCYds0rIxxvgazSbEOko"/>
    <s v="V0110373d005"/>
    <d v="2021-08-02T00:00:00"/>
    <d v="2021-08-08T00:00:00"/>
    <n v="-687"/>
    <x v="88"/>
    <n v="0"/>
    <x v="0"/>
    <s v="Accepted"/>
    <n v="0"/>
    <s v="no"/>
    <n v="15000"/>
    <s v="paid"/>
  </r>
  <r>
    <s v="V0110373e005"/>
    <s v="SD"/>
    <s v="Operasi Bilangan Pecahan"/>
    <s v="https://drive.google.com/open?id=1jk-K0U3xlZGSG-t8fa4EUjUFZFDcSSjX"/>
    <s v="V0110373e005"/>
    <d v="2021-08-02T00:00:00"/>
    <d v="2021-08-08T00:00:00"/>
    <n v="-687"/>
    <x v="88"/>
    <n v="0"/>
    <x v="0"/>
    <s v="Accepted"/>
    <n v="0"/>
    <s v="no"/>
    <n v="15000"/>
    <s v="paid"/>
  </r>
  <r>
    <s v="V0172691P009"/>
    <s v="SD"/>
    <s v="Bilangan Bulat"/>
    <s v="https://drive.google.com/open?id=1rpDptoc0ZdgHtFbMZf7DXd37LKdDBPso"/>
    <s v="V0172691P009"/>
    <d v="2021-08-09T00:00:00"/>
    <d v="2021-08-15T00:00:00"/>
    <n v="-680"/>
    <x v="89"/>
    <n v="0"/>
    <x v="0"/>
    <s v="Accepted"/>
    <n v="0"/>
    <s v="no"/>
    <n v="15000"/>
    <s v="paid"/>
  </r>
  <r>
    <s v="S0381001E007"/>
    <s v="SD"/>
    <s v="Operasi Bilangan Pecahan"/>
    <s v="https://drive.google.com/open?id=1bA3Gqb1a_qirf40uhy8VgNiE8nnN1mTV"/>
    <s v="S0381001E007"/>
    <d v="2021-08-09T00:00:00"/>
    <d v="2021-08-15T00:00:00"/>
    <n v="-680"/>
    <x v="89"/>
    <n v="0"/>
    <x v="0"/>
    <s v="Accepted"/>
    <n v="0"/>
    <s v="no"/>
    <n v="15000"/>
    <s v="paid"/>
  </r>
  <r>
    <s v="S0510091E009"/>
    <s v="SD"/>
    <s v="Operasi Bilangan Pecahan"/>
    <s v="https://drive.google.com/open?id=1-5BbfHVizqgu7mtBiGVRDtMZ7weoZeNT"/>
    <s v="S0510091E009"/>
    <d v="2021-08-09T00:00:00"/>
    <d v="2021-08-15T00:00:00"/>
    <n v="-680"/>
    <x v="89"/>
    <n v="0"/>
    <x v="0"/>
    <s v="Accepted"/>
    <n v="0"/>
    <s v="no"/>
    <n v="15000"/>
    <s v="paid"/>
  </r>
  <r>
    <s v="S0510172E009"/>
    <s v="SD"/>
    <s v="Operasi Bilangan Pecahan"/>
    <s v="https://drive.google.com/open?id=1AsV3j2PRMV_ebcal4XGwkfM3qoMC9uqv"/>
    <s v="S0510172E009"/>
    <d v="2021-08-09T00:00:00"/>
    <d v="2021-08-15T00:00:00"/>
    <n v="-680"/>
    <x v="89"/>
    <n v="0"/>
    <x v="0"/>
    <s v="Accepted"/>
    <n v="0"/>
    <s v="no"/>
    <n v="15000"/>
    <s v="paid"/>
  </r>
  <r>
    <s v="V0110403E001"/>
    <s v="SD"/>
    <s v="Operasi Bilangan Pecahan"/>
    <s v="https://drive.google.com/open?id=1FFnyr8kYJAbhweLSSRDXYG6Rh0chr0I5"/>
    <s v="V0110403E001"/>
    <d v="2021-08-09T00:00:00"/>
    <d v="2021-08-15T00:00:00"/>
    <n v="-680"/>
    <x v="89"/>
    <n v="0"/>
    <x v="0"/>
    <s v="Accepted"/>
    <n v="0"/>
    <s v="no"/>
    <n v="15000"/>
    <s v="paid"/>
  </r>
  <r>
    <s v="V0080881P008"/>
    <s v="SD"/>
    <s v="KPK dan FPB"/>
    <s v="https://drive.google.com/open?id=1jADOiUSeadypDzSs7s3DJqK7nnCs6ruv"/>
    <s v="V0080881P008"/>
    <d v="2021-08-09T00:00:00"/>
    <d v="2021-08-15T00:00:00"/>
    <n v="-680"/>
    <x v="90"/>
    <n v="0"/>
    <x v="0"/>
    <s v="Accepted"/>
    <n v="0"/>
    <s v="no"/>
    <n v="15000"/>
    <s v="paid"/>
  </r>
  <r>
    <s v="V0161351E001"/>
    <s v="SD"/>
    <s v="Operasi Bilangan Pecahan"/>
    <s v="https://drive.google.com/open?id=1in-U9uYeYBFBG0TYyz0mhoo3pgiHIzo_"/>
    <s v="V0161351E001"/>
    <d v="2021-08-09T00:00:00"/>
    <d v="2021-08-15T00:00:00"/>
    <n v="-680"/>
    <x v="90"/>
    <n v="0"/>
    <x v="0"/>
    <s v="Accepted"/>
    <n v="0"/>
    <s v="no"/>
    <n v="15000"/>
    <s v="paid"/>
  </r>
  <r>
    <s v="V0150682E007"/>
    <s v="SD"/>
    <s v="Operasi Bilangan Pecahan"/>
    <s v="https://drive.google.com/open?id=1bM98p-C6Kb5fWWZRXB-YLKft8833ttsu"/>
    <s v="V0150682E007"/>
    <d v="2021-08-09T00:00:00"/>
    <d v="2021-08-15T00:00:00"/>
    <n v="-680"/>
    <x v="90"/>
    <n v="0"/>
    <x v="0"/>
    <s v="Accepted"/>
    <n v="0"/>
    <s v="no"/>
    <n v="15000"/>
    <s v="paid"/>
  </r>
  <r>
    <s v="V0171691P004"/>
    <s v="SD"/>
    <s v="Operasi Bilangan Pecahan"/>
    <s v="https://drive.google.com/open?id=1c3f44Bc_Utu7HZ89dtUu6_8vTyW4js1x"/>
    <s v="V0171691P004"/>
    <d v="2021-08-09T00:00:00"/>
    <d v="2021-08-15T00:00:00"/>
    <n v="-680"/>
    <x v="90"/>
    <n v="0"/>
    <x v="0"/>
    <s v="Accepted"/>
    <n v="0"/>
    <s v="no"/>
    <n v="15000"/>
    <s v="paid"/>
  </r>
  <r>
    <s v="V0080881P007"/>
    <s v="SD"/>
    <s v="Pecahan"/>
    <s v="https://drive.google.com/open?id=1aEbmwMWadu7hfXQPaTGC6aGA75OqFyX7"/>
    <s v="V0080881P007"/>
    <d v="2021-08-09T00:00:00"/>
    <d v="2021-08-15T00:00:00"/>
    <n v="-680"/>
    <x v="90"/>
    <n v="0"/>
    <x v="0"/>
    <s v="Accepted"/>
    <n v="0"/>
    <s v="no"/>
    <n v="15000"/>
    <s v="paid"/>
  </r>
  <r>
    <s v="V0103771P007"/>
    <s v="SD"/>
    <s v="Pecahan"/>
    <s v="https://drive.google.com/open?id=18upoGWpuk6Dcib430zWPzj3etySgFehg"/>
    <s v="V0103771P007"/>
    <d v="2021-08-09T00:00:00"/>
    <d v="2021-08-15T00:00:00"/>
    <n v="-680"/>
    <x v="90"/>
    <n v="0"/>
    <x v="0"/>
    <s v="Accepted"/>
    <n v="0"/>
    <s v="no"/>
    <n v="15000"/>
    <s v="paid"/>
  </r>
  <r>
    <s v="S0380852E002"/>
    <s v="SD"/>
    <s v="Pecahan"/>
    <s v="https://drive.google.com/open?id=1nKV9xxABQEkWBTz5RyKHQx9_iqSnoEFD"/>
    <s v="S0380852E002"/>
    <d v="2021-08-09T00:00:00"/>
    <d v="2021-08-15T00:00:00"/>
    <n v="-680"/>
    <x v="91"/>
    <n v="0"/>
    <x v="0"/>
    <s v="Accepted"/>
    <n v="1"/>
    <s v="no"/>
    <n v="15000"/>
    <s v="paid"/>
  </r>
  <r>
    <s v="S0510401E002"/>
    <s v="SD"/>
    <s v="Operasi Bilangan Pecahan"/>
    <s v="https://drive.google.com/open?id=1dlf7Uoa1xOypZ5y8vvpd8IDYPWy4gZLy"/>
    <s v="S0510401E002"/>
    <d v="2021-08-09T00:00:00"/>
    <d v="2021-08-15T00:00:00"/>
    <n v="-680"/>
    <x v="91"/>
    <n v="0"/>
    <x v="0"/>
    <s v="Accepted"/>
    <n v="1"/>
    <s v="no"/>
    <n v="15000"/>
    <s v="paid"/>
  </r>
  <r>
    <s v="S0510402E003"/>
    <s v="SD"/>
    <s v="Operasi Bilangan Pecahan"/>
    <s v="https://drive.google.com/open?id=1FxclMFvvDV8sp5P1_NjmdDc1bY5W69eT"/>
    <s v="S0510402E003"/>
    <d v="2021-08-09T00:00:00"/>
    <d v="2021-08-15T00:00:00"/>
    <n v="-680"/>
    <x v="91"/>
    <n v="0"/>
    <x v="0"/>
    <s v="Accepted"/>
    <n v="1"/>
    <s v="no"/>
    <n v="15000"/>
    <s v="paid"/>
  </r>
  <r>
    <s v="S0510402E004"/>
    <s v="SD"/>
    <s v="Operasi Bilangan Pecahan"/>
    <s v="https://drive.google.com/open?id=1Aj-fLqmLNZReJ_op5Nl-YSOJsYeyXwke"/>
    <s v="S0510402E004"/>
    <d v="2021-08-09T00:00:00"/>
    <d v="2021-08-15T00:00:00"/>
    <n v="-680"/>
    <x v="91"/>
    <n v="0"/>
    <x v="0"/>
    <s v="Accepted"/>
    <n v="1"/>
    <s v="no"/>
    <n v="15000"/>
    <s v="paid"/>
  </r>
  <r>
    <s v="V0170801P014"/>
    <s v="SD"/>
    <s v="KPK dan FPB"/>
    <s v="https://drive.google.com/open?id=12GSiF4M0ZJKuCehyMpDl6N0742mpRUnp"/>
    <s v="V0170801P014"/>
    <d v="2021-08-09T00:00:00"/>
    <d v="2021-08-15T00:00:00"/>
    <n v="-680"/>
    <x v="91"/>
    <n v="0"/>
    <x v="0"/>
    <s v="Accepted"/>
    <n v="0"/>
    <s v="no"/>
    <n v="15000"/>
    <s v="paid"/>
  </r>
  <r>
    <s v="V0181393E004"/>
    <s v="SD"/>
    <s v="Operasi Bilangan Pecahan"/>
    <s v="https://drive.google.com/open?id=1v7InS4rHgasAu3a9YIs6qV7PFDWN68C_"/>
    <s v="V0181393E004"/>
    <d v="2021-08-09T00:00:00"/>
    <d v="2021-08-15T00:00:00"/>
    <n v="-680"/>
    <x v="91"/>
    <n v="0"/>
    <x v="0"/>
    <s v="Accepted"/>
    <n v="0"/>
    <s v="no"/>
    <n v="15000"/>
    <s v="paid"/>
  </r>
  <r>
    <s v="V0173641P007"/>
    <s v="SD"/>
    <s v="Operasi Bilangan Pecahan"/>
    <s v="https://drive.google.com/open?id=1XCVGH-5rP4adAXnNuGIemWUw5gND32Ys"/>
    <s v="V0173641P007"/>
    <d v="2021-08-09T00:00:00"/>
    <d v="2021-08-15T00:00:00"/>
    <n v="-680"/>
    <x v="91"/>
    <n v="0"/>
    <x v="0"/>
    <s v="Accepted"/>
    <n v="0"/>
    <s v="no"/>
    <n v="15000"/>
    <s v="paid"/>
  </r>
  <r>
    <s v="V0181381P016"/>
    <s v="SD"/>
    <s v="Operasi Bilangan Pecahan"/>
    <s v="https://drive.google.com/open?id=1yRdxh6_YWX8dc8mrUsceFjQfdeyDKGzC"/>
    <s v="V0181381P016"/>
    <d v="2021-08-09T00:00:00"/>
    <d v="2021-08-15T00:00:00"/>
    <n v="-680"/>
    <x v="91"/>
    <n v="0"/>
    <x v="0"/>
    <s v="Accepted"/>
    <n v="0"/>
    <s v="no"/>
    <n v="15000"/>
    <s v="paid"/>
  </r>
  <r>
    <s v="V0181451P003"/>
    <s v="SD"/>
    <s v="Operasi Bilangan Pecahan"/>
    <s v="https://drive.google.com/open?id=1zRhdW5Z9PHp2-7p5wtljuIcAQyt8831J"/>
    <s v="V0181451P003"/>
    <d v="2021-08-09T00:00:00"/>
    <d v="2021-08-15T00:00:00"/>
    <n v="-680"/>
    <x v="91"/>
    <n v="0"/>
    <x v="0"/>
    <s v="Accepted"/>
    <n v="0"/>
    <s v="no"/>
    <n v="15000"/>
    <s v="paid"/>
  </r>
  <r>
    <s v="V0181461P009"/>
    <s v="SD"/>
    <s v="Operasi Bilangan Pecahan"/>
    <s v="https://drive.google.com/open?id=1i2PVn8g8PPyVrY88fq39VMgKnNplMXOj"/>
    <s v="V0181461P009"/>
    <d v="2021-08-09T00:00:00"/>
    <d v="2021-08-15T00:00:00"/>
    <n v="-680"/>
    <x v="91"/>
    <n v="0"/>
    <x v="0"/>
    <s v="Accepted"/>
    <n v="0"/>
    <s v="no"/>
    <n v="15000"/>
    <s v="paid"/>
  </r>
  <r>
    <s v="V0181461P015"/>
    <s v="SD"/>
    <s v="Operasi Bilangan Pecahan"/>
    <s v="https://drive.google.com/open?id=1-iCV_QmPMB3_mF4z-wwxFwLNxwSm8kCa"/>
    <s v="V0181461P015"/>
    <d v="2021-08-09T00:00:00"/>
    <d v="2021-08-15T00:00:00"/>
    <n v="-680"/>
    <x v="91"/>
    <n v="0"/>
    <x v="0"/>
    <s v="Accepted"/>
    <n v="0"/>
    <s v="no"/>
    <n v="15000"/>
    <s v="paid"/>
  </r>
  <r>
    <s v="S0510231E007"/>
    <s v="SD"/>
    <s v="Operasi Bilangan Pecahan"/>
    <s v="https://drive.google.com/open?id=1YdoyMifJZhNvLyr6mbdRHOCffAOrgq1m"/>
    <s v="S0510231E007"/>
    <d v="2021-08-09T00:00:00"/>
    <d v="2021-08-15T00:00:00"/>
    <n v="-680"/>
    <x v="92"/>
    <n v="0"/>
    <x v="0"/>
    <s v="Accepted"/>
    <n v="0"/>
    <s v="yes"/>
    <n v="18000"/>
    <s v="paid"/>
  </r>
  <r>
    <s v="S0510321E008"/>
    <s v="SD"/>
    <s v="Operasi Bilangan Pecahan"/>
    <s v="https://drive.google.com/open?id=1p449UFbf7jLYq5ObMPqUNUJatv5y_J3k"/>
    <s v="S0510321E008"/>
    <d v="2021-08-09T00:00:00"/>
    <d v="2021-08-15T00:00:00"/>
    <n v="-680"/>
    <x v="92"/>
    <n v="0"/>
    <x v="0"/>
    <s v="Accepted"/>
    <n v="0"/>
    <s v="no"/>
    <n v="15000"/>
    <s v="paid"/>
  </r>
  <r>
    <s v="S0422281E001"/>
    <s v="SD"/>
    <s v="Bangun Ruang"/>
    <s v="https://drive.google.com/open?id=1phyzK9G_-SP8Of2oj11kN_HxYpvHrsU9"/>
    <s v="S0422281E001"/>
    <d v="2021-08-09T00:00:00"/>
    <d v="2021-08-15T00:00:00"/>
    <n v="-680"/>
    <x v="92"/>
    <n v="0"/>
    <x v="0"/>
    <s v="Accepted"/>
    <n v="0"/>
    <s v="no"/>
    <n v="15000"/>
    <s v="paid"/>
  </r>
  <r>
    <s v="V0140212E010"/>
    <s v="SD"/>
    <s v="Operasi Bilangan Pecahan"/>
    <s v="https://drive.google.com/open?id=1q8Pqio1tc-U2GlCAT1KuC8huVqPvzkGX"/>
    <s v="V0140212E010"/>
    <d v="2021-08-09T00:00:00"/>
    <d v="2021-08-15T00:00:00"/>
    <n v="-680"/>
    <x v="92"/>
    <n v="0"/>
    <x v="0"/>
    <s v="Accepted"/>
    <n v="0"/>
    <s v="no"/>
    <n v="15000"/>
    <s v="paid"/>
  </r>
  <r>
    <s v="S0291611E004"/>
    <s v="SD"/>
    <s v="Operasi Bilangan Pecahan"/>
    <s v="https://drive.google.com/open?id=1HYKqzol-kqAw0HZPtnuWpgo0fgJtGksD"/>
    <s v="S0291611E004"/>
    <d v="2021-08-16T00:00:00"/>
    <d v="2021-08-22T00:00:00"/>
    <n v="-673"/>
    <x v="93"/>
    <n v="0"/>
    <x v="0"/>
    <s v="Accepted"/>
    <n v="0"/>
    <s v="no"/>
    <n v="15000"/>
    <s v="paid"/>
  </r>
  <r>
    <s v="V0140152E006"/>
    <s v="SD"/>
    <s v="Operasi Bilangan Pecahan"/>
    <s v="https://drive.google.com/open?id=15dv0gxM2qz2Pd1UqXguUq3ssh8gGavL3"/>
    <s v="V0140152E006"/>
    <d v="2021-08-16T00:00:00"/>
    <d v="2021-08-22T00:00:00"/>
    <n v="-673"/>
    <x v="94"/>
    <n v="0"/>
    <x v="0"/>
    <s v="Accepted"/>
    <n v="0"/>
    <s v="no"/>
    <n v="15000"/>
    <s v="paid"/>
  </r>
  <r>
    <s v="S0150712E002"/>
    <s v="SD"/>
    <s v="Bangun Ruang Sisi Lengkung"/>
    <s v="https://drive.google.com/open?id=1HJw9QW3kYGf3RHKwbFa0gVmpFXfGP7sc"/>
    <s v="S0150712E002"/>
    <d v="2021-08-16T00:00:00"/>
    <d v="2021-08-22T00:00:00"/>
    <n v="-673"/>
    <x v="94"/>
    <n v="0"/>
    <x v="0"/>
    <s v="Accepted"/>
    <n v="0"/>
    <s v="no"/>
    <n v="15000"/>
    <s v="paid"/>
  </r>
  <r>
    <s v="S0300981E006"/>
    <s v="SD"/>
    <s v="Operasi Bilangan Pecahan"/>
    <s v="https://drive.google.com/open?id=1aRaaAzTTZrua3YQ4CONIbb-G7uAACIA7"/>
    <s v="S0300981E006"/>
    <d v="2021-08-16T00:00:00"/>
    <d v="2021-08-22T00:00:00"/>
    <n v="-673"/>
    <x v="94"/>
    <n v="0"/>
    <x v="0"/>
    <s v="Accepted"/>
    <n v="1"/>
    <s v="no"/>
    <n v="15000"/>
    <s v="paid"/>
  </r>
  <r>
    <s v="S0130721E005"/>
    <s v="SD"/>
    <s v="KPK dan FPB"/>
    <s v="https://drive.google.com/open?id=1sOuzd55fEEsCxUhMELb3331qwI0HQ8hY"/>
    <s v="S0130721E005"/>
    <d v="2021-08-16T00:00:00"/>
    <d v="2021-08-22T00:00:00"/>
    <n v="-673"/>
    <x v="94"/>
    <n v="0"/>
    <x v="0"/>
    <s v="Accepted"/>
    <n v="1"/>
    <s v="yes"/>
    <n v="18000"/>
    <s v="paid"/>
  </r>
  <r>
    <s v="S0292074E001"/>
    <s v="SD"/>
    <s v="Operasi Bilangan Pecahan"/>
    <s v="https://drive.google.com/open?id=1gUEiQqTSf2aTllMjVEpYdJYyJYkdjXZS"/>
    <s v="S0292074E001"/>
    <d v="2021-08-16T00:00:00"/>
    <d v="2021-08-22T00:00:00"/>
    <n v="-673"/>
    <x v="94"/>
    <n v="679"/>
    <x v="2"/>
    <s v="Rejected"/>
    <n v="1"/>
    <s v="no"/>
    <n v="0"/>
    <s v="not yet"/>
  </r>
  <r>
    <s v="V0140101P011"/>
    <s v="SD"/>
    <s v="Operasi Bilangan Pecahan"/>
    <s v="https://drive.google.com/open?id=1QN7x2kDVnt_wfoEAIx94MEe8eBXvIFPU"/>
    <s v="V0140101P011"/>
    <d v="2021-08-16T00:00:00"/>
    <d v="2021-08-22T00:00:00"/>
    <n v="-673"/>
    <x v="94"/>
    <n v="0"/>
    <x v="0"/>
    <s v="Accepted"/>
    <n v="0"/>
    <s v="no"/>
    <n v="15000"/>
    <s v="paid"/>
  </r>
  <r>
    <s v="S0400812E001"/>
    <s v="SD"/>
    <s v="Bangun Ruang"/>
    <s v="https://drive.google.com/open?id=1xdiMK7-SOilHIufAhh5ixVjY3KOqEaBl"/>
    <s v="S0400812E001"/>
    <d v="2021-08-09T00:00:00"/>
    <d v="2021-08-15T00:00:00"/>
    <n v="-680"/>
    <x v="95"/>
    <n v="0"/>
    <x v="0"/>
    <s v="Accepted"/>
    <n v="1"/>
    <s v="yes"/>
    <n v="18000"/>
    <s v="paid"/>
  </r>
  <r>
    <s v="V0140151P020"/>
    <s v="SD"/>
    <s v="Operasi Bilangan Pecahan"/>
    <s v="https://drive.google.com/open?id=1QETRIs6uREc4DkT602Z66OGxJ6PntZLq"/>
    <s v="V0140151P020"/>
    <d v="2021-08-16T00:00:00"/>
    <d v="2021-08-22T00:00:00"/>
    <n v="-673"/>
    <x v="95"/>
    <n v="0"/>
    <x v="0"/>
    <s v="Accepted"/>
    <n v="0"/>
    <s v="no"/>
    <n v="15000"/>
    <s v="paid"/>
  </r>
  <r>
    <s v="S0571811E004"/>
    <s v="SD"/>
    <s v="Bangun Ruang Sisi Lengkung"/>
    <s v="https://drive.google.com/open?id=1O58sHQzS_a-qW5F84wkdoGEF0AkzJSNS"/>
    <s v="S0571811E004"/>
    <d v="2021-08-16T00:00:00"/>
    <d v="2021-08-22T00:00:00"/>
    <n v="-673"/>
    <x v="95"/>
    <n v="679"/>
    <x v="3"/>
    <s v="Rejected"/>
    <n v="1"/>
    <s v="no"/>
    <n v="0"/>
    <s v="not yet"/>
  </r>
  <r>
    <s v="V0170811P022"/>
    <s v="SD"/>
    <s v="Kecepatan Dan Debit"/>
    <s v="https://drive.google.com/open?id=1oLXenkPUhAfcipaS0YJx6xJWdRBCMf_G"/>
    <s v="V0170811P022"/>
    <d v="2021-08-16T00:00:00"/>
    <d v="2021-08-22T00:00:00"/>
    <n v="-673"/>
    <x v="95"/>
    <n v="0"/>
    <x v="0"/>
    <s v="Accepted"/>
    <n v="0"/>
    <s v="yes"/>
    <n v="18000"/>
    <s v="paid"/>
  </r>
  <r>
    <s v="V0161401P003"/>
    <s v="SD"/>
    <s v="Operasi Bilangan Pecahan"/>
    <s v="https://drive.google.com/open?id=1H5P7JSh1eXz6fCzjUaW4dx0-H1vGZkiT"/>
    <s v="V0161401P003"/>
    <d v="2021-08-16T00:00:00"/>
    <d v="2021-08-22T00:00:00"/>
    <n v="-673"/>
    <x v="95"/>
    <n v="0"/>
    <x v="0"/>
    <s v="Accepted"/>
    <n v="0"/>
    <s v="yes"/>
    <n v="18000"/>
    <s v="paid"/>
  </r>
  <r>
    <s v="V0170791P007"/>
    <s v="SD"/>
    <s v="Operasi Bilangan Pecahan"/>
    <s v="https://drive.google.com/open?id=1sx0lXdXqJTQIwKEdNmeVvdwGvKwA5ti0"/>
    <s v="V0170791P007"/>
    <d v="2021-08-16T00:00:00"/>
    <d v="2021-08-22T00:00:00"/>
    <n v="-673"/>
    <x v="95"/>
    <n v="0"/>
    <x v="0"/>
    <s v="Accepted"/>
    <n v="0"/>
    <s v="yes"/>
    <n v="18000"/>
    <s v="paid"/>
  </r>
  <r>
    <s v="V0172681P007"/>
    <s v="SD"/>
    <s v="Operasi Bilangan Pecahan"/>
    <s v="https://drive.google.com/open?id=11tijT6boW2B4KC0-uq44Zs4b8hppAWp7"/>
    <s v="V0172681P007"/>
    <d v="2021-08-16T00:00:00"/>
    <d v="2021-08-22T00:00:00"/>
    <n v="-673"/>
    <x v="95"/>
    <n v="0"/>
    <x v="0"/>
    <s v="Accepted"/>
    <n v="0"/>
    <s v="no"/>
    <n v="15000"/>
    <s v="paid"/>
  </r>
  <r>
    <s v="V0161191E001"/>
    <s v="SD"/>
    <s v="Bilangan Bulat"/>
    <s v="https://drive.google.com/open?id=1mKgrDat1yt1azye1AkamOWqGENkn0SGL"/>
    <s v="V0161191E001"/>
    <d v="2021-08-16T00:00:00"/>
    <d v="2021-08-22T00:00:00"/>
    <n v="-673"/>
    <x v="95"/>
    <n v="0"/>
    <x v="0"/>
    <s v="Accepted"/>
    <n v="1"/>
    <s v="no"/>
    <n v="15000"/>
    <s v="paid"/>
  </r>
  <r>
    <s v="S0090331E006"/>
    <s v="SD"/>
    <s v="Pecahan"/>
    <s v="https://drive.google.com/open?id=1hwWQNMKtyrMNO3xpETLygpiN0q2LJMv8"/>
    <s v="S0090331E006"/>
    <d v="2021-08-16T00:00:00"/>
    <d v="2021-08-22T00:00:00"/>
    <n v="-673"/>
    <x v="95"/>
    <n v="0"/>
    <x v="0"/>
    <s v="Accepted"/>
    <n v="0"/>
    <s v="no"/>
    <n v="15000"/>
    <s v="paid"/>
  </r>
  <r>
    <s v="S0090352E004"/>
    <s v="SD"/>
    <s v="Pecahan"/>
    <s v="https://drive.google.com/open?id=1hNxkeRN3RDT-LAHpvBK2iyQpmPDQMs5z"/>
    <s v="S0090352E004"/>
    <d v="2021-08-16T00:00:00"/>
    <d v="2021-08-22T00:00:00"/>
    <n v="-673"/>
    <x v="95"/>
    <n v="0"/>
    <x v="0"/>
    <s v="Accepted"/>
    <n v="0"/>
    <s v="no"/>
    <n v="15000"/>
    <s v="paid"/>
  </r>
  <r>
    <s v="S0090352E009"/>
    <s v="SD"/>
    <s v="Pecahan"/>
    <s v="https://drive.google.com/open?id=1hDpU9Y4JCTGn89H-SdsbBDi1Z9iFtjVg"/>
    <s v="S0090352E009"/>
    <d v="2021-08-16T00:00:00"/>
    <d v="2021-08-22T00:00:00"/>
    <n v="-673"/>
    <x v="95"/>
    <n v="0"/>
    <x v="0"/>
    <s v="Accepted"/>
    <n v="0"/>
    <s v="no"/>
    <n v="15000"/>
    <s v="paid"/>
  </r>
  <r>
    <s v="S0090352E005"/>
    <s v="SD"/>
    <s v="Pecahan"/>
    <s v="https://drive.google.com/open?id=1GCA_q9bSD3pkAZ9LGJZrNsvwYEjqpAyw"/>
    <s v="S0090352E005"/>
    <d v="2021-08-16T00:00:00"/>
    <d v="2021-08-22T00:00:00"/>
    <n v="-673"/>
    <x v="95"/>
    <n v="0"/>
    <x v="0"/>
    <s v="Accepted"/>
    <n v="0"/>
    <s v="no"/>
    <n v="15000"/>
    <s v="paid"/>
  </r>
  <r>
    <s v="S0160093b002"/>
    <s v="SD"/>
    <s v="Pecahan"/>
    <s v="https://drive.google.com/open?id=1G-Qkr0NBrVeAkVXmmwlZnCWzRs3odQbU"/>
    <s v="S0160093b002"/>
    <d v="2021-08-16T00:00:00"/>
    <d v="2021-08-22T00:00:00"/>
    <n v="-673"/>
    <x v="95"/>
    <n v="0"/>
    <x v="0"/>
    <s v="Accepted"/>
    <n v="0"/>
    <s v="no"/>
    <n v="15000"/>
    <s v="paid"/>
  </r>
  <r>
    <s v="S0160242E002"/>
    <s v="SD"/>
    <s v="Pecahan"/>
    <s v="https://drive.google.com/open?id=1fIlabevn2m6utZjwPZNYlSLeoDuh0KQD"/>
    <s v="S0160242E002"/>
    <d v="2021-08-16T00:00:00"/>
    <d v="2021-08-22T00:00:00"/>
    <n v="-673"/>
    <x v="95"/>
    <n v="0"/>
    <x v="0"/>
    <s v="Accepted"/>
    <n v="0"/>
    <s v="no"/>
    <n v="15000"/>
    <s v="paid"/>
  </r>
  <r>
    <s v="V0080931P005"/>
    <s v="SD"/>
    <s v="Operasi Bilangan Pecahan"/>
    <s v="https://drive.google.com/open?id=1wvm8XlJHRdv3y2UuecAAJQvalbcXhGX3"/>
    <s v="V0080931P005"/>
    <d v="2021-08-16T00:00:00"/>
    <d v="2021-08-22T00:00:00"/>
    <n v="-673"/>
    <x v="96"/>
    <n v="0"/>
    <x v="0"/>
    <s v="Accepted"/>
    <n v="0"/>
    <s v="no"/>
    <n v="15000"/>
    <s v="paid"/>
  </r>
  <r>
    <s v="S0291463E001"/>
    <s v="SD"/>
    <s v="Operasi Bilangan Pecahan"/>
    <s v="https://drive.google.com/open?id=1PsFjOpdZgxQtyvT1C612BJULK4rKNEKH"/>
    <s v="S0291463E001"/>
    <d v="2021-08-16T00:00:00"/>
    <d v="2021-08-22T00:00:00"/>
    <n v="-673"/>
    <x v="96"/>
    <n v="679"/>
    <x v="3"/>
    <s v="Rejected"/>
    <n v="1"/>
    <s v="no"/>
    <n v="0"/>
    <s v="not yet"/>
  </r>
  <r>
    <s v="S0210172E001"/>
    <s v="SD"/>
    <s v="Operasi Hitung Bilangan"/>
    <s v="https://drive.google.com/open?id=1i-EqD5frKZcI3rdtaDXzk0z4dRGvHdz6"/>
    <s v="S0210172E001"/>
    <d v="2021-08-16T00:00:00"/>
    <d v="2021-08-22T00:00:00"/>
    <n v="-673"/>
    <x v="96"/>
    <n v="0"/>
    <x v="0"/>
    <s v="Accepted"/>
    <n v="0"/>
    <s v="no"/>
    <n v="15000"/>
    <s v="paid"/>
  </r>
  <r>
    <s v="S0191261E001"/>
    <s v="SD"/>
    <s v="Pecahan"/>
    <s v="https://drive.google.com/open?id=1HWjfVcL37ZZwV3JZn2qV28tc1PSSViao"/>
    <s v="S0191261E001"/>
    <d v="2021-08-16T00:00:00"/>
    <d v="2021-08-22T00:00:00"/>
    <n v="-673"/>
    <x v="96"/>
    <n v="0"/>
    <x v="0"/>
    <s v="Accepted"/>
    <n v="0"/>
    <s v="no"/>
    <n v="15000"/>
    <s v="paid"/>
  </r>
  <r>
    <s v="S0451541E005"/>
    <s v="SD"/>
    <s v="Pecahan"/>
    <s v="https://drive.google.com/open?id=1HtrTevlnxbl7b7JW-x3zmdoUuVjr63Im"/>
    <s v="S0451541E005"/>
    <d v="2021-08-16T00:00:00"/>
    <d v="2021-08-22T00:00:00"/>
    <n v="-673"/>
    <x v="96"/>
    <n v="0"/>
    <x v="0"/>
    <s v="Accepted"/>
    <n v="0"/>
    <s v="no"/>
    <n v="15000"/>
    <s v="paid"/>
  </r>
  <r>
    <s v="S0331461E001"/>
    <s v="SD"/>
    <s v="Pecahan"/>
    <s v="https://drive.google.com/open?id=1hSkpyHtxAE7FqHouaEHRMcTiG3RRYGuo"/>
    <s v="S0331461E001"/>
    <d v="2021-08-16T00:00:00"/>
    <d v="2021-08-22T00:00:00"/>
    <n v="-673"/>
    <x v="96"/>
    <n v="0"/>
    <x v="0"/>
    <s v="Accepted"/>
    <n v="0"/>
    <s v="no"/>
    <n v="15000"/>
    <s v="paid"/>
  </r>
  <r>
    <s v="S0251412E001"/>
    <s v="SD"/>
    <s v="Pecahan"/>
    <s v="https://drive.google.com/open?id=1HOVdOMmu3cx5sJQpbj25fnhu636hz65j"/>
    <s v="S0251412E001"/>
    <d v="2021-08-16T00:00:00"/>
    <d v="2021-08-22T00:00:00"/>
    <n v="-673"/>
    <x v="96"/>
    <n v="0"/>
    <x v="0"/>
    <s v="Accepted"/>
    <n v="0"/>
    <s v="no"/>
    <n v="15000"/>
    <s v="paid"/>
  </r>
  <r>
    <s v="S0160243E001"/>
    <s v="SD"/>
    <s v="Pecahan"/>
    <s v="https://drive.google.com/open?id=1hMu9wcSyzWXpeMkho8xRe-sGi72YwXdB"/>
    <s v="S0160243E001"/>
    <d v="2021-08-16T00:00:00"/>
    <d v="2021-08-22T00:00:00"/>
    <n v="-673"/>
    <x v="96"/>
    <n v="0"/>
    <x v="0"/>
    <s v="Accepted"/>
    <n v="0"/>
    <s v="no"/>
    <n v="15000"/>
    <s v="paid"/>
  </r>
  <r>
    <s v="S0341452E005"/>
    <s v="SD"/>
    <s v="Pecahan"/>
    <s v="https://drive.google.com/open?id=1HktoW9P_TMl0p-W3S3lUrlBhX_LRUCct"/>
    <s v="S0341452E005"/>
    <d v="2021-08-16T00:00:00"/>
    <d v="2021-08-22T00:00:00"/>
    <n v="-673"/>
    <x v="96"/>
    <n v="0"/>
    <x v="0"/>
    <s v="Accepted"/>
    <n v="0"/>
    <s v="no"/>
    <n v="15000"/>
    <s v="paid"/>
  </r>
  <r>
    <s v="S0160142b002"/>
    <s v="SD"/>
    <s v="Pecahan"/>
    <s v="https://drive.google.com/open?id=1h82_25ObvCLeOJ-z_BJhiRYb2KoGV7cq"/>
    <s v="S0160142b002"/>
    <d v="2021-08-16T00:00:00"/>
    <d v="2021-08-22T00:00:00"/>
    <n v="-673"/>
    <x v="96"/>
    <n v="0"/>
    <x v="0"/>
    <s v="Accepted"/>
    <n v="0"/>
    <s v="yes"/>
    <n v="18000"/>
    <s v="paid"/>
  </r>
  <r>
    <s v="S0351411E001"/>
    <s v="SD"/>
    <s v="Pecahan"/>
    <s v="https://drive.google.com/open?id=1GZYCL72fQXMLWRL9fjqYNdyiKCO7-GVF"/>
    <s v="S0351411E001"/>
    <d v="2021-08-16T00:00:00"/>
    <d v="2021-08-22T00:00:00"/>
    <n v="-673"/>
    <x v="96"/>
    <n v="0"/>
    <x v="0"/>
    <s v="Accepted"/>
    <n v="0"/>
    <s v="no"/>
    <n v="15000"/>
    <s v="paid"/>
  </r>
  <r>
    <s v="S0451501E002"/>
    <s v="SD"/>
    <s v="Pecahan"/>
    <s v="https://drive.google.com/open?id=1GrZMpeEmRTC81b2dY6xU8bswX3rrdnEY"/>
    <s v="S0451501E002"/>
    <d v="2021-08-16T00:00:00"/>
    <d v="2021-08-22T00:00:00"/>
    <n v="-673"/>
    <x v="96"/>
    <n v="0"/>
    <x v="0"/>
    <s v="Accepted"/>
    <n v="0"/>
    <s v="no"/>
    <n v="15000"/>
    <s v="paid"/>
  </r>
  <r>
    <s v="S0331461E003"/>
    <s v="SD"/>
    <s v="Pecahan"/>
    <s v="https://drive.google.com/open?id=1GpqMfiu1wmuPfetsz1U0xduCxJBv_TEV"/>
    <s v="S0331461E003"/>
    <d v="2021-08-16T00:00:00"/>
    <d v="2021-08-22T00:00:00"/>
    <n v="-673"/>
    <x v="96"/>
    <n v="0"/>
    <x v="0"/>
    <s v="Accepted"/>
    <n v="0"/>
    <s v="no"/>
    <n v="15000"/>
    <s v="paid"/>
  </r>
  <r>
    <s v="S0191231E001"/>
    <s v="SD"/>
    <s v="Pecahan"/>
    <s v="https://drive.google.com/open?id=1gmlqmNCOljS6hbokqMrQ0wiTsmCNmyNF"/>
    <s v="S0191231E001"/>
    <d v="2021-08-16T00:00:00"/>
    <d v="2021-08-22T00:00:00"/>
    <n v="-673"/>
    <x v="96"/>
    <n v="0"/>
    <x v="0"/>
    <s v="Accepted"/>
    <n v="0"/>
    <s v="no"/>
    <n v="15000"/>
    <s v="paid"/>
  </r>
  <r>
    <s v="S0210082E003"/>
    <s v="SD"/>
    <s v="Operasi Hitung Bilangan"/>
    <s v="https://drive.google.com/open?id=1gjGNjdidRDYFxL-4NkMerFw8EbNpBwuX"/>
    <s v="S0210082E003"/>
    <d v="2021-08-16T00:00:00"/>
    <d v="2021-08-22T00:00:00"/>
    <n v="-673"/>
    <x v="96"/>
    <n v="0"/>
    <x v="0"/>
    <s v="Accepted"/>
    <n v="0"/>
    <s v="no"/>
    <n v="15000"/>
    <s v="paid"/>
  </r>
  <r>
    <s v="S0451551E001"/>
    <s v="SD"/>
    <s v="Pecahan"/>
    <s v="https://drive.google.com/open?id=1FYbGseI3Y_4XCQ8gRsB_41g3yW4RjM4v"/>
    <s v="S0451551E001"/>
    <d v="2021-08-16T00:00:00"/>
    <d v="2021-08-22T00:00:00"/>
    <n v="-673"/>
    <x v="96"/>
    <n v="0"/>
    <x v="0"/>
    <s v="Accepted"/>
    <n v="0"/>
    <s v="no"/>
    <n v="15000"/>
    <s v="paid"/>
  </r>
  <r>
    <s v="S0341362E001"/>
    <s v="SD"/>
    <s v="Pecahan"/>
    <s v="https://drive.google.com/open?id=1fXUFyWxvkkQe48FUcChQdXZjo2j-OjjV"/>
    <s v="S0341362E001"/>
    <d v="2021-08-16T00:00:00"/>
    <d v="2021-08-22T00:00:00"/>
    <n v="-673"/>
    <x v="96"/>
    <n v="0"/>
    <x v="0"/>
    <s v="Accepted"/>
    <n v="0"/>
    <s v="no"/>
    <n v="15000"/>
    <s v="paid"/>
  </r>
  <r>
    <s v="S0210081E005"/>
    <s v="SD"/>
    <s v="Operasi Hitung Bilangan"/>
    <s v="https://drive.google.com/open?id=1fuSiG2-PcpZL-S6Pve2QKKl_VEA4-cnI"/>
    <s v="S0210081E005"/>
    <d v="2021-08-16T00:00:00"/>
    <d v="2021-08-22T00:00:00"/>
    <n v="-673"/>
    <x v="96"/>
    <n v="0"/>
    <x v="0"/>
    <s v="Accepted"/>
    <n v="0"/>
    <s v="no"/>
    <n v="15000"/>
    <s v="paid"/>
  </r>
  <r>
    <s v="S0191222E001"/>
    <s v="SD"/>
    <s v="Pecahan"/>
    <s v="https://drive.google.com/open?id=1fuqbNuHa0gVWE7YDINkRDSEJGn-f_7UE"/>
    <s v="S0191222E001"/>
    <d v="2021-08-16T00:00:00"/>
    <d v="2021-08-22T00:00:00"/>
    <n v="-673"/>
    <x v="96"/>
    <n v="0"/>
    <x v="0"/>
    <s v="Accepted"/>
    <n v="0"/>
    <s v="no"/>
    <n v="15000"/>
    <s v="paid"/>
  </r>
  <r>
    <s v="S0341313E001"/>
    <s v="SD"/>
    <s v="Pecahan"/>
    <s v="https://drive.google.com/open?id=1Frzr26usyolgnTn6qXuesJ_RyTEuWANm"/>
    <s v="S0341313E001"/>
    <d v="2021-08-16T00:00:00"/>
    <d v="2021-08-22T00:00:00"/>
    <n v="-673"/>
    <x v="96"/>
    <n v="0"/>
    <x v="0"/>
    <s v="Accepted"/>
    <n v="0"/>
    <s v="no"/>
    <n v="15000"/>
    <s v="paid"/>
  </r>
  <r>
    <s v="S0351342E003"/>
    <s v="SD"/>
    <s v="Pecahan"/>
    <s v="https://drive.google.com/open?id=1fPm182FKygrFPe12AMCMuWCMgb1AiRQ3"/>
    <s v="S0351342E003"/>
    <d v="2021-08-16T00:00:00"/>
    <d v="2021-08-22T00:00:00"/>
    <n v="-673"/>
    <x v="96"/>
    <n v="0"/>
    <x v="0"/>
    <s v="Accepted"/>
    <n v="0"/>
    <s v="no"/>
    <n v="15000"/>
    <s v="paid"/>
  </r>
  <r>
    <s v="S0251361a002"/>
    <s v="SD"/>
    <s v="Pecahan"/>
    <s v="https://drive.google.com/open?id=1FMf85mKfcO4pQSd_jZt4VoX8GjFA0OU_"/>
    <s v="S0251361a002"/>
    <d v="2021-08-16T00:00:00"/>
    <d v="2021-08-22T00:00:00"/>
    <n v="-673"/>
    <x v="96"/>
    <n v="0"/>
    <x v="0"/>
    <s v="Accepted"/>
    <n v="0"/>
    <s v="no"/>
    <n v="15000"/>
    <s v="paid"/>
  </r>
  <r>
    <s v="S0341281E001"/>
    <s v="SD"/>
    <s v="Pecahan"/>
    <s v="https://drive.google.com/open?id=1HP2gSTBQoMt5yf0mQqgfTiCkzYsqTrBD"/>
    <s v="S0341281E001"/>
    <d v="2021-08-16T00:00:00"/>
    <d v="2021-09-02T00:00:00"/>
    <n v="-662"/>
    <x v="96"/>
    <n v="679"/>
    <x v="2"/>
    <s v="Rejected"/>
    <n v="1"/>
    <s v="no"/>
    <n v="0"/>
    <s v="not yet"/>
  </r>
  <r>
    <s v="S0351372E001"/>
    <s v="SD"/>
    <s v="Pecahan"/>
    <s v="https://drive.google.com/open?id=1hTUGt7t-HEYVWILtKqClMNibpUCXmOSE"/>
    <s v="S0351372E001"/>
    <d v="2021-08-16T00:00:00"/>
    <d v="2021-08-22T00:00:00"/>
    <n v="-673"/>
    <x v="97"/>
    <n v="0"/>
    <x v="0"/>
    <s v="Accepted"/>
    <n v="0"/>
    <s v="no"/>
    <n v="15000"/>
    <s v="paid"/>
  </r>
  <r>
    <s v="S0451561E001"/>
    <s v="SD"/>
    <s v="Pecahan"/>
    <s v="https://drive.google.com/open?id=1Ht8_yhQ7G4TcItTlyfJiljlxdxVYnq39"/>
    <s v="S0451561E001"/>
    <d v="2021-08-16T00:00:00"/>
    <d v="2021-08-22T00:00:00"/>
    <n v="-673"/>
    <x v="97"/>
    <n v="0"/>
    <x v="0"/>
    <s v="Accepted"/>
    <n v="0"/>
    <s v="yes"/>
    <n v="18000"/>
    <s v="paid"/>
  </r>
  <r>
    <s v="S0471871E002"/>
    <s v="SD"/>
    <s v="Pecahan"/>
    <s v="https://drive.google.com/open?id=1GlEreEbXIrCc4I8amqz95IWTYFInPF4G"/>
    <s v="S0471871E002"/>
    <d v="2021-08-16T00:00:00"/>
    <d v="2021-08-22T00:00:00"/>
    <n v="-673"/>
    <x v="97"/>
    <n v="0"/>
    <x v="0"/>
    <s v="Accepted"/>
    <n v="0"/>
    <s v="no"/>
    <n v="15000"/>
    <s v="paid"/>
  </r>
  <r>
    <s v="S0341301a002"/>
    <s v="SD"/>
    <s v="Pecahan"/>
    <s v="https://drive.google.com/open?id=1GkdlkX24zjRkAFn1yMWo8BqpLttWJ0wJ"/>
    <s v="S0341301a002"/>
    <d v="2021-08-16T00:00:00"/>
    <d v="2021-08-22T00:00:00"/>
    <n v="-673"/>
    <x v="97"/>
    <n v="0"/>
    <x v="0"/>
    <s v="Accepted"/>
    <n v="0"/>
    <s v="yes"/>
    <n v="18000"/>
    <s v="paid"/>
  </r>
  <r>
    <s v="S0471811E003"/>
    <s v="SD"/>
    <s v="Pecahan"/>
    <s v="https://drive.google.com/open?id=1GH0IbEnPadvLJDW0SjM9P3Ot_Qfbm0Kd"/>
    <s v="S0471811E003"/>
    <d v="2021-08-16T00:00:00"/>
    <d v="2021-08-22T00:00:00"/>
    <n v="-673"/>
    <x v="97"/>
    <n v="0"/>
    <x v="0"/>
    <s v="Accepted"/>
    <n v="0"/>
    <s v="no"/>
    <n v="15000"/>
    <s v="paid"/>
  </r>
  <r>
    <s v="S0331411E003"/>
    <s v="SD"/>
    <s v="Pecahan"/>
    <s v="https://drive.google.com/open?id=1fOVMvwnkZVZ6QdcGo4s36lOA7rUQqsPk"/>
    <s v="S0331411E003"/>
    <d v="2021-08-16T00:00:00"/>
    <d v="2021-08-22T00:00:00"/>
    <n v="-673"/>
    <x v="97"/>
    <n v="0"/>
    <x v="0"/>
    <s v="Accepted"/>
    <n v="0"/>
    <s v="no"/>
    <n v="15000"/>
    <s v="paid"/>
  </r>
  <r>
    <s v="S0470661E003"/>
    <s v="SD"/>
    <s v="Pecahan"/>
    <s v="https://drive.google.com/open?id=1fiMwoB4_HmItbD7QoVUMUMRcTmGnYM-T"/>
    <s v="S0470661E003"/>
    <d v="2021-08-16T00:00:00"/>
    <d v="2021-08-22T00:00:00"/>
    <n v="-673"/>
    <x v="97"/>
    <n v="0"/>
    <x v="0"/>
    <s v="Accepted"/>
    <n v="0"/>
    <s v="yes"/>
    <n v="18000"/>
    <s v="paid"/>
  </r>
  <r>
    <s v="V0010301P014"/>
    <s v="SD"/>
    <s v="Bilangan Bulat"/>
    <s v="https://drive.google.com/open?id=1q1iv4BrcTX4y9tIvkEiCAPsvPrh9ChwB"/>
    <s v="V0010301P014"/>
    <d v="2021-08-23T00:00:00"/>
    <d v="2021-09-02T00:00:00"/>
    <n v="-662"/>
    <x v="98"/>
    <n v="672"/>
    <x v="2"/>
    <s v="Rejected"/>
    <n v="1"/>
    <s v="no"/>
    <n v="0"/>
    <s v="not yet"/>
  </r>
  <r>
    <s v="S0351421E003"/>
    <s v="SD"/>
    <s v="Pecahan"/>
    <s v="https://drive.google.com/open?id=1l8YaYaH7BV5FQhvnYKlq5hjPEdwbg7rL"/>
    <s v="S0351421E003"/>
    <d v="2021-08-23T00:00:00"/>
    <d v="2021-08-26T00:00:00"/>
    <n v="-669"/>
    <x v="99"/>
    <n v="672"/>
    <x v="3"/>
    <s v="Rejected"/>
    <n v="1"/>
    <s v="no"/>
    <n v="0"/>
    <s v="not yet"/>
  </r>
  <r>
    <s v="V0110543E011"/>
    <s v="SD"/>
    <s v="Kecepatan Dan Debit"/>
    <s v="https://drive.google.com/open?id=1oprZSK-cx_JZQrb14O03El8H158lZUC8"/>
    <s v="V0110543E011"/>
    <d v="2021-08-23T00:00:00"/>
    <d v="2021-08-26T00:00:00"/>
    <n v="-669"/>
    <x v="100"/>
    <n v="0"/>
    <x v="0"/>
    <s v="Accepted"/>
    <n v="0"/>
    <s v="no"/>
    <n v="15000"/>
    <s v="paid"/>
  </r>
  <r>
    <s v="S0472051b002"/>
    <s v="SD"/>
    <s v="Operasi Bilangan Pecahan"/>
    <s v="https://drive.google.com/open?id=13MejtBfhKr6kEH_6vinAhUnEtE0MoEWN"/>
    <s v="S0472051b002"/>
    <d v="2021-08-23T00:00:00"/>
    <d v="2021-08-26T00:00:00"/>
    <n v="-669"/>
    <x v="100"/>
    <n v="0"/>
    <x v="0"/>
    <s v="Accepted"/>
    <n v="0"/>
    <s v="no"/>
    <n v="15000"/>
    <s v="paid"/>
  </r>
  <r>
    <s v="V0070903E004"/>
    <s v="SD"/>
    <s v="Bangun Ruang"/>
    <s v="https://drive.google.com/open?id=1A3Qn4aXgIc1byYVOz5g2fjABzXRMB8Uk"/>
    <s v="V0070903E004"/>
    <d v="2021-08-23T00:00:00"/>
    <d v="2021-08-26T00:00:00"/>
    <n v="-669"/>
    <x v="100"/>
    <n v="0"/>
    <x v="0"/>
    <s v="Accepted"/>
    <n v="0"/>
    <s v="no"/>
    <n v="15000"/>
    <s v="paid"/>
  </r>
  <r>
    <s v="S0010311c003"/>
    <s v="SD"/>
    <s v="Aproksimasi / Pembulatan"/>
    <s v="https://drive.google.com/open?id=1gHYgFbL6gnbj39tOTTuIpd0MJM3ILWUm"/>
    <s v="S0010311c003"/>
    <d v="2021-08-23T00:00:00"/>
    <d v="2021-08-26T00:00:00"/>
    <n v="-669"/>
    <x v="100"/>
    <n v="0"/>
    <x v="0"/>
    <s v="Accepted"/>
    <n v="0"/>
    <s v="no"/>
    <n v="15000"/>
    <s v="paid"/>
  </r>
  <r>
    <s v="S0100391E001"/>
    <s v="SD"/>
    <s v="Aproksimasi / Pembulatan"/>
    <s v="https://drive.google.com/open?id=1E61t6Urg_FYcN6mbwkb43LqEbA1VlAA4"/>
    <s v="S0100391E001"/>
    <d v="2021-08-23T00:00:00"/>
    <d v="2021-08-26T00:00:00"/>
    <n v="-669"/>
    <x v="100"/>
    <n v="0"/>
    <x v="0"/>
    <s v="Accepted"/>
    <n v="0"/>
    <s v="no"/>
    <n v="15000"/>
    <s v="paid"/>
  </r>
  <r>
    <s v="S0100521E007"/>
    <s v="SD"/>
    <s v="Aproksimasi / Pembulatan"/>
    <s v="https://drive.google.com/open?id=1TpofwhbFAZ_M1lBuxBeZepGmt01Er7GJ"/>
    <s v="S0100521E007"/>
    <d v="2021-08-23T00:00:00"/>
    <d v="2021-08-26T00:00:00"/>
    <n v="-669"/>
    <x v="100"/>
    <n v="0"/>
    <x v="0"/>
    <s v="Accepted"/>
    <n v="0"/>
    <s v="no"/>
    <n v="15000"/>
    <s v="paid"/>
  </r>
  <r>
    <s v="S0130492E003"/>
    <s v="SD"/>
    <s v="Aproksimasi / Pembulatan"/>
    <s v="https://drive.google.com/open?id=1a0Ns-A86q2pTeGiGkjGJbyV2zHerkfOZ"/>
    <s v="S0130492E003"/>
    <d v="2021-08-23T00:00:00"/>
    <d v="2021-08-26T00:00:00"/>
    <n v="-669"/>
    <x v="100"/>
    <n v="0"/>
    <x v="0"/>
    <s v="Accepted"/>
    <n v="0"/>
    <s v="no"/>
    <n v="15000"/>
    <s v="paid"/>
  </r>
  <r>
    <s v="S0340261E006"/>
    <s v="SD"/>
    <s v="Aproksimasi / Pembulatan"/>
    <s v="https://drive.google.com/open?id=1NWW9ClqSP7DAomV88snTL346HF56bYml"/>
    <s v="S0340261E006"/>
    <d v="2021-08-23T00:00:00"/>
    <d v="2021-08-26T00:00:00"/>
    <n v="-669"/>
    <x v="100"/>
    <n v="0"/>
    <x v="0"/>
    <s v="Accepted"/>
    <n v="0"/>
    <s v="no"/>
    <n v="15000"/>
    <s v="paid"/>
  </r>
  <r>
    <s v="S0340262E002"/>
    <s v="SD"/>
    <s v="Aproksimasi / Pembulatan"/>
    <s v="https://drive.google.com/open?id=1klq7ZLwKI2mTvxx8XCHRInHSaSRYtXHL"/>
    <s v="S0340262E002"/>
    <d v="2021-08-23T00:00:00"/>
    <d v="2021-08-26T00:00:00"/>
    <n v="-669"/>
    <x v="100"/>
    <n v="0"/>
    <x v="0"/>
    <s v="Accepted"/>
    <n v="0"/>
    <s v="no"/>
    <n v="15000"/>
    <s v="paid"/>
  </r>
  <r>
    <s v="S0350221E001"/>
    <s v="SD"/>
    <s v="Aproksimasi / Pembulatan"/>
    <s v="https://drive.google.com/open?id=12Tqkq3a70ZNQh3Nr7wSgEssrVGJIf3K6"/>
    <s v="S0350221E001"/>
    <d v="2021-08-23T00:00:00"/>
    <d v="2021-08-26T00:00:00"/>
    <n v="-669"/>
    <x v="100"/>
    <n v="0"/>
    <x v="0"/>
    <s v="Accepted"/>
    <n v="0"/>
    <s v="no"/>
    <n v="15000"/>
    <s v="paid"/>
  </r>
  <r>
    <s v="S0350242E001"/>
    <s v="SD"/>
    <s v="Aproksimasi / Pembulatan"/>
    <s v="https://drive.google.com/open?id=1iATBCuwPCf-bdehwpJvTqiYdylG6oROJ"/>
    <s v="S0350242E001"/>
    <d v="2021-08-23T00:00:00"/>
    <d v="2021-08-26T00:00:00"/>
    <n v="-669"/>
    <x v="100"/>
    <n v="0"/>
    <x v="0"/>
    <s v="Accepted"/>
    <n v="0"/>
    <s v="no"/>
    <n v="15000"/>
    <s v="paid"/>
  </r>
  <r>
    <s v="S0470451E019"/>
    <s v="SD"/>
    <s v="Aproksimasi / Pembulatan"/>
    <s v="https://drive.google.com/open?id=1YqD30yNBvlpEIYTS443b_H2CVEWjVQak"/>
    <s v="S0470451E019"/>
    <d v="2021-08-23T00:00:00"/>
    <d v="2021-08-26T00:00:00"/>
    <n v="-669"/>
    <x v="100"/>
    <n v="0"/>
    <x v="0"/>
    <s v="Accepted"/>
    <n v="0"/>
    <s v="no"/>
    <n v="15000"/>
    <s v="paid"/>
  </r>
  <r>
    <s v="S0160742E005"/>
    <s v="SD"/>
    <s v="Aproksimasi / Pembulatan"/>
    <s v="https://drive.google.com/open?id=11kzxK0x1Rmjj-Vt9haz3UjTbcKGzyP35"/>
    <s v="S0160742E005"/>
    <d v="2021-08-23T00:00:00"/>
    <d v="2021-08-26T00:00:00"/>
    <n v="-669"/>
    <x v="100"/>
    <n v="0"/>
    <x v="0"/>
    <s v="Accepted"/>
    <n v="0"/>
    <s v="no"/>
    <n v="15000"/>
    <s v="paid"/>
  </r>
  <r>
    <s v="S0160262e001"/>
    <s v="SD"/>
    <s v="Aproksimasi / Pembulatan"/>
    <s v="https://drive.google.com/open?id=19bvoFZXmPJrNKgV6ZUJaLALKlS8heDr6"/>
    <s v="S0160262e001"/>
    <d v="2021-08-23T00:00:00"/>
    <d v="2021-08-26T00:00:00"/>
    <n v="-669"/>
    <x v="100"/>
    <n v="0"/>
    <x v="0"/>
    <s v="Accepted"/>
    <n v="0"/>
    <s v="no"/>
    <n v="15000"/>
    <s v="paid"/>
  </r>
  <r>
    <s v="S0450451E005"/>
    <s v="SD"/>
    <s v="Aproksimasi / Pembulatan"/>
    <s v="https://drive.google.com/open?id=1qtobMuwvS8kZdjRhh7Mk9Qk74M3oTtqt"/>
    <s v="S0450451E005"/>
    <d v="2021-08-23T00:00:00"/>
    <d v="2021-08-26T00:00:00"/>
    <n v="-669"/>
    <x v="100"/>
    <n v="0"/>
    <x v="0"/>
    <s v="Accepted"/>
    <n v="0"/>
    <s v="no"/>
    <n v="15000"/>
    <s v="paid"/>
  </r>
  <r>
    <s v="S0351371E004"/>
    <s v="SD"/>
    <s v="Pecahan"/>
    <s v="https://drive.google.com/open?id=1gddrQvzfSuOsK9tH9VuA2YnpqJ_w36ZQ"/>
    <s v="S0351371E004"/>
    <d v="2021-08-23T00:00:00"/>
    <d v="2021-09-02T00:00:00"/>
    <n v="-662"/>
    <x v="100"/>
    <n v="672"/>
    <x v="2"/>
    <s v="Rejected"/>
    <n v="1"/>
    <s v="no"/>
    <n v="0"/>
    <s v="not yet"/>
  </r>
  <r>
    <s v="S0510453E004"/>
    <s v="SD"/>
    <s v="Operasi Bilangan Pecahan"/>
    <s v="https://drive.google.com/open?id=1NFoSIiHC35nxMJHLyMGCXNXpPWGIvb7r"/>
    <s v="S0510453E004"/>
    <d v="2021-08-23T00:00:00"/>
    <d v="2021-08-26T00:00:00"/>
    <n v="-669"/>
    <x v="101"/>
    <n v="672"/>
    <x v="4"/>
    <s v="Rejected"/>
    <n v="1"/>
    <s v="no"/>
    <n v="0"/>
    <s v="not yet"/>
  </r>
  <r>
    <s v="V0140371P006"/>
    <s v="SD"/>
    <s v="Operasi Bilangan Pecahan"/>
    <s v="https://drive.google.com/open?id=1IwG7kzPrijDBrxfT6o0oFp02IvEzLpEF"/>
    <s v="V0140371P006"/>
    <d v="2021-08-23T00:00:00"/>
    <d v="2021-08-29T00:00:00"/>
    <n v="-666"/>
    <x v="102"/>
    <n v="0"/>
    <x v="0"/>
    <s v="Accepted"/>
    <n v="1"/>
    <s v="no"/>
    <n v="15000"/>
    <s v="paid"/>
  </r>
  <r>
    <s v="S0341361d001"/>
    <s v="SD"/>
    <s v="Pecahan"/>
    <s v="https://drive.google.com/open?id=1Hg7qLMa7lp6KGCFA4lTXhNf2F3XP2XPs"/>
    <s v="S0341361d001"/>
    <d v="2021-08-23T00:00:00"/>
    <d v="2021-08-29T00:00:00"/>
    <n v="-666"/>
    <x v="102"/>
    <n v="0"/>
    <x v="0"/>
    <s v="Accepted"/>
    <n v="1"/>
    <s v="no"/>
    <n v="15000"/>
    <s v="paid"/>
  </r>
  <r>
    <s v="S0191672E006"/>
    <s v="SD"/>
    <s v="Pecahan"/>
    <s v="https://drive.google.com/open?id=1gpPylm6QU2C6GTv63armqsLJbaNhfijC"/>
    <s v="S0191672E006"/>
    <d v="2021-08-23T00:00:00"/>
    <d v="2021-08-29T00:00:00"/>
    <n v="-666"/>
    <x v="102"/>
    <n v="0"/>
    <x v="0"/>
    <s v="Accepted"/>
    <n v="1"/>
    <s v="no"/>
    <n v="15000"/>
    <s v="paid"/>
  </r>
  <r>
    <s v="S0571611E002"/>
    <s v="SD"/>
    <s v="Bangun Ruang Sisi Lengkung"/>
    <s v="https://drive.google.com/open?id=1ivWuY9zYfhTXjkPEFKiX72mswEWmmsTJ"/>
    <s v="S0571611E002"/>
    <d v="2021-08-23T00:00:00"/>
    <d v="2021-08-26T00:00:00"/>
    <n v="-669"/>
    <x v="103"/>
    <n v="672"/>
    <x v="2"/>
    <s v="Rejected"/>
    <n v="1"/>
    <s v="no"/>
    <n v="0"/>
    <s v="not yet"/>
  </r>
  <r>
    <s v="V0110313E001"/>
    <s v="SD"/>
    <s v="Operasi Bilangan Pecahan"/>
    <s v="https://drive.google.com/open?id=1Q5JooVxzJp-omli5k8Mr1nJkxwaT2kEB"/>
    <s v="V0110313E001"/>
    <d v="2021-08-27T00:00:00"/>
    <d v="2021-08-29T00:00:00"/>
    <n v="-666"/>
    <x v="103"/>
    <n v="0"/>
    <x v="0"/>
    <s v="Accepted"/>
    <n v="0"/>
    <s v="no"/>
    <n v="15000"/>
    <s v="paid"/>
  </r>
  <r>
    <s v="V0181482E005"/>
    <s v="SD"/>
    <s v="Operasi Bilangan Pecahan"/>
    <s v="https://drive.google.com/open?id=15yy6Ch6IIJi_5fVlpHPTdNiajdGlhMIe"/>
    <s v="V0181482E005"/>
    <d v="2021-08-27T00:00:00"/>
    <d v="2021-08-29T00:00:00"/>
    <n v="-666"/>
    <x v="103"/>
    <n v="0"/>
    <x v="0"/>
    <s v="Accepted"/>
    <n v="0"/>
    <s v="no"/>
    <n v="15000"/>
    <s v="paid"/>
  </r>
  <r>
    <s v="S0472172E005"/>
    <s v="SD"/>
    <s v="Operasi Bilangan Pecahan"/>
    <s v="https://drive.google.com/open?id=1hE7aaPIuIZtgj9Mg3016a97LnCvh8YHX"/>
    <s v="S0472172E005"/>
    <d v="2021-08-27T00:00:00"/>
    <d v="2021-08-29T00:00:00"/>
    <n v="-666"/>
    <x v="103"/>
    <n v="0"/>
    <x v="0"/>
    <s v="Accepted"/>
    <n v="0"/>
    <s v="no"/>
    <n v="15000"/>
    <s v="paid"/>
  </r>
  <r>
    <s v="S0210171E001"/>
    <s v="SD"/>
    <s v="Operasi Hitung Bilangan"/>
    <s v="https://drive.google.com/open?id=1QJCJLKg62nxDR0xAyaMbOiSiuP5mpAjm"/>
    <s v="S0210171E001"/>
    <d v="2021-08-27T00:00:00"/>
    <d v="2021-08-29T00:00:00"/>
    <n v="-666"/>
    <x v="103"/>
    <n v="0"/>
    <x v="0"/>
    <s v="Accepted"/>
    <n v="0"/>
    <s v="no"/>
    <n v="15000"/>
    <s v="paid"/>
  </r>
  <r>
    <s v="S0290253E004"/>
    <s v="SD"/>
    <s v="Operasi Bilangan Pecahan"/>
    <s v="https://drive.google.com/open?id=168uQpPoRC_VVThbyZ9mwa7HlGz6jzKx6"/>
    <s v="S0290253E004"/>
    <d v="2021-08-23T00:00:00"/>
    <d v="2021-09-02T00:00:00"/>
    <n v="-662"/>
    <x v="103"/>
    <n v="672"/>
    <x v="2"/>
    <s v="Rejected"/>
    <n v="1"/>
    <s v="no"/>
    <n v="0"/>
    <s v="not yet"/>
  </r>
  <r>
    <s v="V0172181P013"/>
    <s v="SD"/>
    <s v="Perpangkatan Dan Akar"/>
    <s v="https://drive.google.com/open?id=1wMz9vTnBfscj8k1zPBiBcHiA9mz-9Ia2"/>
    <s v="V0172181P013"/>
    <d v="2021-08-23T00:00:00"/>
    <d v="2021-09-02T00:00:00"/>
    <n v="-662"/>
    <x v="103"/>
    <n v="672"/>
    <x v="2"/>
    <s v="Rejected"/>
    <n v="1"/>
    <s v="no"/>
    <n v="0"/>
    <s v="not yet"/>
  </r>
  <r>
    <s v="S0100552E005"/>
    <s v="SD"/>
    <s v="Aproksimasi / Pembulatan"/>
    <s v="https://drive.google.com/open?id=1LcoHc5bBIGEnubQ4v4FGPbwsuZ1DPIhV"/>
    <s v="S0100552E005"/>
    <d v="2021-08-30T00:00:00"/>
    <d v="2021-09-02T00:00:00"/>
    <n v="-662"/>
    <x v="104"/>
    <n v="0"/>
    <x v="0"/>
    <s v="Accepted"/>
    <n v="0"/>
    <s v="no"/>
    <n v="15000"/>
    <s v="paid"/>
  </r>
  <r>
    <s v="T005G202P001"/>
    <s v="SD"/>
    <s v="Perpangkatan Dan Akar"/>
    <s v="https://drive.google.com/open?id=1ks7bPbLWEw4n8zf2-dEvoHBUZsPvGCMu"/>
    <s v="T005G202P001"/>
    <d v="2021-08-30T00:00:00"/>
    <d v="2021-09-02T00:00:00"/>
    <n v="-662"/>
    <x v="104"/>
    <n v="0"/>
    <x v="0"/>
    <s v="Accepted"/>
    <n v="0"/>
    <s v="no"/>
    <n v="15000"/>
    <s v="paid"/>
  </r>
  <r>
    <s v="T005X601P001"/>
    <s v="SD"/>
    <s v="Bangun Ruang"/>
    <s v="https://drive.google.com/open?id=1WKou3on43OYe3mNUEbXf7gYBtrDpjstG"/>
    <s v="T005X601P001"/>
    <d v="2021-08-30T00:00:00"/>
    <d v="2021-09-02T00:00:00"/>
    <n v="-662"/>
    <x v="104"/>
    <n v="0"/>
    <x v="0"/>
    <s v="Accepted"/>
    <n v="0"/>
    <s v="no"/>
    <n v="15000"/>
    <s v="paid"/>
  </r>
  <r>
    <s v="T005Z901P001"/>
    <s v="SD"/>
    <s v="Bangun Ruang"/>
    <s v="https://drive.google.com/open?id=1lylOUNltMQVRuzDHXyzN-xUw01FEUuPT"/>
    <s v="T005Z901P001"/>
    <d v="2021-08-30T00:00:00"/>
    <d v="2021-09-02T00:00:00"/>
    <n v="-662"/>
    <x v="104"/>
    <n v="0"/>
    <x v="0"/>
    <s v="Accepted"/>
    <n v="0"/>
    <s v="no"/>
    <n v="15000"/>
    <s v="paid"/>
  </r>
  <r>
    <s v="T005O103P001"/>
    <s v="SD"/>
    <s v="Bangun Ruang"/>
    <s v="https://drive.google.com/open?id=1VMZLXjtw7sO2QIWJ0KFOHK-ze2mlOCMq"/>
    <s v="T005O103P001"/>
    <d v="2021-08-30T00:00:00"/>
    <d v="2021-09-02T00:00:00"/>
    <n v="-662"/>
    <x v="104"/>
    <n v="0"/>
    <x v="0"/>
    <s v="Accepted"/>
    <n v="0"/>
    <s v="no"/>
    <n v="15000"/>
    <s v="paid"/>
  </r>
  <r>
    <s v="T0054402P001"/>
    <s v="SD"/>
    <s v="Pengumpulan Dan Penyajian Data"/>
    <s v="https://drive.google.com/open?id=1i5juA_yOLye7uwawWPP5Gi_uOkm4l9io"/>
    <s v="T0054402P001"/>
    <d v="2021-08-30T00:00:00"/>
    <d v="2021-09-12T00:00:00"/>
    <n v="-652"/>
    <x v="104"/>
    <n v="665"/>
    <x v="3"/>
    <s v="Rejected"/>
    <n v="1"/>
    <s v="no"/>
    <n v="0"/>
    <s v="not yet"/>
  </r>
  <r>
    <s v="T0091216E001"/>
    <s v="SD"/>
    <s v="Perpangkatan Dan Akar"/>
    <s v="https://drive.google.com/open?id=15ZhxVQlyt1S1xpF211EwSsZTmsW1C6s-"/>
    <s v="T0091216E001"/>
    <d v="2021-08-30T00:00:00"/>
    <d v="2021-09-02T00:00:00"/>
    <n v="-662"/>
    <x v="105"/>
    <n v="0"/>
    <x v="0"/>
    <s v="Accepted"/>
    <n v="0"/>
    <s v="no"/>
    <n v="15000"/>
    <s v="paid"/>
  </r>
  <r>
    <s v="T0070603P001"/>
    <s v="SD"/>
    <s v="Bangun Ruang"/>
    <s v="https://drive.google.com/open?id=1bZsFU4LxzHLuIe41n3zWaxVE3ia5cicw"/>
    <s v="T0070603P001"/>
    <d v="2021-08-30T00:00:00"/>
    <d v="2021-09-02T00:00:00"/>
    <n v="-662"/>
    <x v="105"/>
    <n v="0"/>
    <x v="0"/>
    <s v="Accepted"/>
    <n v="0"/>
    <s v="no"/>
    <n v="15000"/>
    <s v="paid"/>
  </r>
  <r>
    <s v="T0052202P001"/>
    <s v="SD"/>
    <s v="Pengumpulan Dan Penyajian Data"/>
    <s v="https://drive.google.com/open?id=1HuNtQFXSFhVtva3zVj1qVXxzCWMQPl4v"/>
    <s v="T0052202P001"/>
    <d v="2021-08-30T00:00:00"/>
    <d v="2021-09-02T00:00:00"/>
    <n v="-662"/>
    <x v="105"/>
    <n v="0"/>
    <x v="0"/>
    <s v="Accepted"/>
    <n v="0"/>
    <s v="no"/>
    <n v="15000"/>
    <s v="paid"/>
  </r>
  <r>
    <s v="T0055302P001"/>
    <s v="SD"/>
    <s v="Pengumpulan Dan Penyajian Data"/>
    <s v="https://drive.google.com/open?id=1ywgWokxMQKhR1utM3B1s7Qvh30S0HQ5s"/>
    <s v="T0055302P001"/>
    <d v="2021-08-30T00:00:00"/>
    <d v="2021-09-02T00:00:00"/>
    <n v="-662"/>
    <x v="105"/>
    <n v="0"/>
    <x v="0"/>
    <s v="Accepted"/>
    <n v="0"/>
    <s v="no"/>
    <n v="15000"/>
    <s v="paid"/>
  </r>
  <r>
    <s v="T0056402P001"/>
    <s v="SD"/>
    <s v="Pengumpulan Dan Penyajian Data"/>
    <s v="https://drive.google.com/open?id=1id2IBxgG2vyYgA0Kikqfp-QopXbggvoP"/>
    <s v="T0056402P001"/>
    <d v="2021-08-30T00:00:00"/>
    <d v="2021-09-02T00:00:00"/>
    <n v="-662"/>
    <x v="105"/>
    <n v="0"/>
    <x v="0"/>
    <s v="Accepted"/>
    <n v="0"/>
    <s v="no"/>
    <n v="15000"/>
    <s v="paid"/>
  </r>
  <r>
    <s v="S0591091E002"/>
    <s v="SD"/>
    <s v="Bangun Ruang Sisi Lengkung"/>
    <s v="https://drive.google.com/open?id=1UUWreQ_QBro69jmp2gWDhVu3Q52Ruv_g"/>
    <s v="S0591091E002"/>
    <d v="2021-08-27T00:00:00"/>
    <d v="2021-09-05T00:00:00"/>
    <n v="-659"/>
    <x v="106"/>
    <n v="0"/>
    <x v="0"/>
    <s v="Accepted"/>
    <n v="0"/>
    <s v="yes"/>
    <n v="18000"/>
    <s v="paid"/>
  </r>
  <r>
    <s v="V0140371P013"/>
    <s v="SD"/>
    <s v="Operasi Bilangan Pecahan"/>
    <s v="https://drive.google.com/open?id=1HbNlLB6gW2AAGSOsmqGxCM-0UqkKsARU"/>
    <s v="V0140371P013"/>
    <d v="2021-08-27T00:00:00"/>
    <d v="2021-09-05T00:00:00"/>
    <n v="-659"/>
    <x v="106"/>
    <n v="0"/>
    <x v="0"/>
    <s v="Accepted"/>
    <n v="0"/>
    <s v="yes"/>
    <n v="18000"/>
    <s v="paid"/>
  </r>
  <r>
    <s v="S0211812E005"/>
    <s v="SD"/>
    <s v="Operasi Bilangan Pecahan"/>
    <s v="https://drive.google.com/open?id=1FZoY3LkufLCreNdJu85ZCWzdonyuMWDg"/>
    <s v="S0211812E005"/>
    <d v="2021-08-27T00:00:00"/>
    <d v="2021-09-05T00:00:00"/>
    <n v="-659"/>
    <x v="106"/>
    <n v="0"/>
    <x v="0"/>
    <s v="Accepted"/>
    <n v="0"/>
    <s v="yes"/>
    <n v="18000"/>
    <s v="paid"/>
  </r>
  <r>
    <s v="T0100297P011"/>
    <s v="SD"/>
    <s v="Perpangkatan Dan Akar"/>
    <s v="https://drive.google.com/open?id=1tRiM0giyv3z21FnV_GFtoNRf75ElbDYq"/>
    <s v="T0100297P011"/>
    <d v="2021-08-30T00:00:00"/>
    <d v="2021-09-05T00:00:00"/>
    <n v="-659"/>
    <x v="106"/>
    <n v="0"/>
    <x v="0"/>
    <s v="Accepted"/>
    <n v="0"/>
    <s v="yes"/>
    <n v="18000"/>
    <s v="paid"/>
  </r>
  <r>
    <s v="S0292073E004"/>
    <s v="SD"/>
    <s v="Operasi Bilangan Pecahan"/>
    <s v="https://drive.google.com/open?id=1Ix8TDxkkEnuYOSrMr9BzRgAHwkBdX30Z"/>
    <s v="S0292073E004"/>
    <d v="2021-08-30T00:00:00"/>
    <d v="2021-09-05T00:00:00"/>
    <n v="-659"/>
    <x v="106"/>
    <n v="0"/>
    <x v="0"/>
    <s v="Accepted"/>
    <n v="0"/>
    <s v="yes"/>
    <n v="18000"/>
    <s v="paid"/>
  </r>
  <r>
    <s v="T0100287P013"/>
    <s v="SD"/>
    <s v="Perpangkatan Dan Akar"/>
    <s v="https://drive.google.com/open?id=1nmEZzswI7S5bW5gtn6JbHGYZW3NJDtv8"/>
    <s v="T0100287P013"/>
    <d v="2021-09-03T00:00:00"/>
    <d v="2021-09-05T00:00:00"/>
    <n v="-659"/>
    <x v="106"/>
    <n v="0"/>
    <x v="0"/>
    <s v="Accepted"/>
    <n v="0"/>
    <s v="no"/>
    <n v="15000"/>
    <s v="paid"/>
  </r>
  <r>
    <s v="T0100488E004"/>
    <s v="SD"/>
    <s v="Perpangkatan Dan Akar"/>
    <s v="https://drive.google.com/open?id=1gJvXHx-M5kUg22UfE_Q5APv3pCtG8_X8"/>
    <s v="T0100488E004"/>
    <d v="2021-09-03T00:00:00"/>
    <d v="2021-09-05T00:00:00"/>
    <n v="-659"/>
    <x v="106"/>
    <n v="0"/>
    <x v="0"/>
    <s v="Accepted"/>
    <n v="0"/>
    <s v="no"/>
    <n v="15000"/>
    <s v="paid"/>
  </r>
  <r>
    <s v="T0100138P009"/>
    <s v="SD"/>
    <s v="Perpangkatan Dan Akar"/>
    <s v="https://drive.google.com/open?id=1QQYe2pBeGfxBgzbg_xCSkUBF5w-Wv26X"/>
    <s v="T0100138P009"/>
    <d v="2021-09-03T00:00:00"/>
    <d v="2021-09-05T00:00:00"/>
    <n v="-659"/>
    <x v="106"/>
    <n v="0"/>
    <x v="0"/>
    <s v="Accepted"/>
    <n v="0"/>
    <s v="no"/>
    <n v="15000"/>
    <s v="paid"/>
  </r>
  <r>
    <s v="T0100238P010"/>
    <s v="SD"/>
    <s v="Perpangkatan Dan Akar"/>
    <s v="https://drive.google.com/open?id=1Iq6PefJf407xG-LY3O3fp-aJtIl8rX29"/>
    <s v="T0100238P010"/>
    <d v="2021-09-03T00:00:00"/>
    <d v="2021-09-05T00:00:00"/>
    <n v="-659"/>
    <x v="106"/>
    <n v="0"/>
    <x v="0"/>
    <s v="Accepted"/>
    <n v="0"/>
    <s v="no"/>
    <n v="15000"/>
    <s v="paid"/>
  </r>
  <r>
    <s v="T0100342E006"/>
    <s v="SD"/>
    <s v="Perpangkatan Dan Akar"/>
    <s v="https://drive.google.com/open?id=1JB9KRbIoGBaPNgLVHDcsx2nAnZyj1_Iv"/>
    <s v="T0100342E006"/>
    <d v="2021-09-03T00:00:00"/>
    <d v="2021-09-05T00:00:00"/>
    <n v="-659"/>
    <x v="106"/>
    <n v="0"/>
    <x v="0"/>
    <s v="Accepted"/>
    <n v="0"/>
    <s v="no"/>
    <n v="15000"/>
    <s v="paid"/>
  </r>
  <r>
    <s v="T0090116E001"/>
    <s v="SD"/>
    <s v="Perpangkatan Dan Akar"/>
    <s v="https://drive.google.com/open?id=185GwDb1JD4O1qnDNNYW5uv23V37A0rhx"/>
    <s v="T0090116E001"/>
    <d v="2021-09-03T00:00:00"/>
    <d v="2021-09-05T00:00:00"/>
    <n v="-659"/>
    <x v="106"/>
    <n v="0"/>
    <x v="0"/>
    <s v="Accepted"/>
    <n v="0"/>
    <s v="no"/>
    <n v="15000"/>
    <s v="paid"/>
  </r>
  <r>
    <s v="T0090816E001"/>
    <s v="SD"/>
    <s v="Perpangkatan Dan Akar"/>
    <s v="https://drive.google.com/open?id=10iKWAjmZyl--y_Ms3peL-ynwawCnuDRv"/>
    <s v="T0090816E001"/>
    <d v="2021-09-03T00:00:00"/>
    <d v="2021-09-05T00:00:00"/>
    <n v="-659"/>
    <x v="106"/>
    <n v="0"/>
    <x v="0"/>
    <s v="Accepted"/>
    <n v="0"/>
    <s v="no"/>
    <n v="15000"/>
    <s v="paid"/>
  </r>
  <r>
    <s v="T0092316E001"/>
    <s v="SD"/>
    <s v="Perpangkatan Dan Akar"/>
    <s v="https://drive.google.com/open?id=1CyzP2DGuiztPi8rAEpRnM14AMW5jA0eN"/>
    <s v="T0092316E001"/>
    <d v="2021-09-03T00:00:00"/>
    <d v="2021-09-05T00:00:00"/>
    <n v="-659"/>
    <x v="106"/>
    <n v="0"/>
    <x v="0"/>
    <s v="Accepted"/>
    <n v="0"/>
    <s v="no"/>
    <n v="15000"/>
    <s v="paid"/>
  </r>
  <r>
    <s v="T0092616E001"/>
    <s v="SD"/>
    <s v="Perpangkatan Dan Akar"/>
    <s v="https://drive.google.com/open?id=1QBH79pq5qDWPsAA0E6zecWUGKtOZ5uLI"/>
    <s v="T0092616E001"/>
    <d v="2021-09-03T00:00:00"/>
    <d v="2021-09-05T00:00:00"/>
    <n v="-659"/>
    <x v="106"/>
    <n v="0"/>
    <x v="0"/>
    <s v="Accepted"/>
    <n v="0"/>
    <s v="no"/>
    <n v="15000"/>
    <s v="paid"/>
  </r>
  <r>
    <s v="T0070403P001"/>
    <s v="SD"/>
    <s v="Bangun Ruang"/>
    <s v="https://drive.google.com/open?id=1g56G_i0RxxizLAf7V0HSLFNi8t7ZZQPo"/>
    <s v="T0070403P001"/>
    <d v="2021-09-03T00:00:00"/>
    <d v="2021-09-05T00:00:00"/>
    <n v="-659"/>
    <x v="106"/>
    <n v="0"/>
    <x v="0"/>
    <s v="Accepted"/>
    <n v="0"/>
    <s v="no"/>
    <n v="15000"/>
    <s v="paid"/>
  </r>
  <r>
    <s v="T0077303P001"/>
    <s v="SD"/>
    <s v="Pengumpulan Dan Penyajian Data"/>
    <s v="https://drive.google.com/open?id=1bCVLXVZZGn5ux3lIFj2NRgqzyC1Y85L2"/>
    <s v="T0077303P001"/>
    <d v="2021-09-03T00:00:00"/>
    <d v="2021-09-05T00:00:00"/>
    <n v="-659"/>
    <x v="106"/>
    <n v="661"/>
    <x v="2"/>
    <s v="Rejected"/>
    <n v="1"/>
    <s v="no"/>
    <n v="0"/>
    <s v="not yet"/>
  </r>
  <r>
    <s v="T005X701P001"/>
    <s v="SD"/>
    <s v="Bangun Ruang"/>
    <s v="https://drive.google.com/open?id=1TjyF_TTzOmThNvNtkF39xhOyVU0OMxWn"/>
    <s v="T005X701P001"/>
    <d v="2021-09-03T00:00:00"/>
    <d v="2021-09-05T00:00:00"/>
    <n v="-659"/>
    <x v="106"/>
    <n v="0"/>
    <x v="0"/>
    <s v="Accepted"/>
    <n v="0"/>
    <s v="no"/>
    <n v="15000"/>
    <s v="paid"/>
  </r>
  <r>
    <s v="S0291652a001"/>
    <s v="SD"/>
    <s v="Operasi Bilangan Pecahan"/>
    <s v="https://drive.google.com/open?id=1byCUZhIMpBngNcEMM5wRcJoofOF7oK2S"/>
    <s v="S0291652a001"/>
    <d v="2021-08-23T00:00:00"/>
    <d v="2021-10-03T00:00:00"/>
    <n v="-631"/>
    <x v="106"/>
    <n v="672"/>
    <x v="2"/>
    <s v="Rejected"/>
    <n v="1"/>
    <s v="yes"/>
    <n v="0"/>
    <s v="not yet"/>
  </r>
  <r>
    <s v="U0030601E006"/>
    <s v="SD"/>
    <s v="Operasi Bilangan Pecahan"/>
    <s v="https://drive.google.com/open?id=1R--3IIqvi1YkiWbUHW761_m-TX8vRn8z"/>
    <s v="U0030601E006"/>
    <d v="2021-09-04T00:00:00"/>
    <d v="2021-09-05T00:00:00"/>
    <n v="-659"/>
    <x v="107"/>
    <n v="0"/>
    <x v="0"/>
    <s v="Accepted"/>
    <n v="0"/>
    <s v="no"/>
    <n v="15000"/>
    <s v="paid"/>
  </r>
  <r>
    <s v="S0301611E003"/>
    <s v="SD"/>
    <s v="Statistika 6"/>
    <s v="https://drive.google.com/open?id=1OpowbBUtDvP3XQGSxAIC_waoHFkgwZt8"/>
    <s v="S0301611E003"/>
    <d v="2021-09-04T00:00:00"/>
    <d v="2021-09-05T00:00:00"/>
    <n v="-659"/>
    <x v="107"/>
    <n v="0"/>
    <x v="0"/>
    <s v="Accepted"/>
    <n v="0"/>
    <s v="no"/>
    <n v="15000"/>
    <s v="paid"/>
  </r>
  <r>
    <s v="S0301661E003"/>
    <s v="SD"/>
    <s v="Statistika 6"/>
    <s v="https://drive.google.com/open?id=10D72-ItbXn9_5eZyyhO1va39w3wnrpLj"/>
    <s v="S0301661E003"/>
    <d v="2021-09-04T00:00:00"/>
    <d v="2021-09-05T00:00:00"/>
    <n v="-659"/>
    <x v="107"/>
    <n v="0"/>
    <x v="0"/>
    <s v="Accepted"/>
    <n v="0"/>
    <s v="no"/>
    <n v="15000"/>
    <s v="paid"/>
  </r>
  <r>
    <s v="S0301662E001"/>
    <s v="SD"/>
    <s v="Statistika 6"/>
    <s v="https://drive.google.com/open?id=1V_Tr_wlF5VdG8M6V99Xs-6TWqLOZzjY5"/>
    <s v="S0301662E001"/>
    <d v="2021-09-04T00:00:00"/>
    <d v="2021-09-05T00:00:00"/>
    <n v="-659"/>
    <x v="107"/>
    <n v="0"/>
    <x v="0"/>
    <s v="Accepted"/>
    <n v="0"/>
    <s v="no"/>
    <n v="15000"/>
    <s v="paid"/>
  </r>
  <r>
    <s v="S0301671E001"/>
    <s v="SD"/>
    <s v="Statistika 6"/>
    <s v="https://drive.google.com/open?id=1CsdxVr1GZNjGwcuAIIzi0AajZ_iZxIj-"/>
    <s v="S0301671E001"/>
    <d v="2021-09-04T00:00:00"/>
    <d v="2021-09-05T00:00:00"/>
    <n v="-659"/>
    <x v="107"/>
    <n v="0"/>
    <x v="0"/>
    <s v="Accepted"/>
    <n v="0"/>
    <s v="no"/>
    <n v="15000"/>
    <s v="paid"/>
  </r>
  <r>
    <s v="S0301701a001"/>
    <s v="SD"/>
    <s v="Statistika 6"/>
    <s v="https://drive.google.com/open?id=1Ntc52v8V2htq-J6s2R8cY-zaX83bg5tB"/>
    <s v="S0301701a001"/>
    <d v="2021-09-04T00:00:00"/>
    <d v="2021-09-05T00:00:00"/>
    <n v="-659"/>
    <x v="107"/>
    <n v="0"/>
    <x v="0"/>
    <s v="Accepted"/>
    <n v="0"/>
    <s v="no"/>
    <n v="15000"/>
    <s v="paid"/>
  </r>
  <r>
    <s v="S0301701b001"/>
    <s v="SD"/>
    <s v="Statistika 6"/>
    <s v="https://drive.google.com/open?id=1Ua5Ymqm42xyNzUE8OoREoTO5N_G2CF-f"/>
    <s v="S0301701b001"/>
    <d v="2021-09-04T00:00:00"/>
    <d v="2021-09-05T00:00:00"/>
    <n v="-659"/>
    <x v="107"/>
    <n v="0"/>
    <x v="0"/>
    <s v="Accepted"/>
    <n v="0"/>
    <s v="no"/>
    <n v="15000"/>
    <s v="paid"/>
  </r>
  <r>
    <s v="S0301711a002"/>
    <s v="SD"/>
    <s v="Statistika 6"/>
    <s v="https://drive.google.com/open?id=1bVIEffdj6zpr4mPNc0OiHJ-d2x6Dartu"/>
    <s v="S0301711a002"/>
    <d v="2021-09-04T00:00:00"/>
    <d v="2021-09-05T00:00:00"/>
    <n v="-659"/>
    <x v="107"/>
    <n v="0"/>
    <x v="0"/>
    <s v="Accepted"/>
    <n v="0"/>
    <s v="no"/>
    <n v="15000"/>
    <s v="paid"/>
  </r>
  <r>
    <s v="U0030601E005"/>
    <s v="SD"/>
    <s v="Operasi Bilangan Pecahan"/>
    <s v="https://drive.google.com/open?id=1uSDo707T-WnEoRqx7bJgM7B6MGUYUNkP"/>
    <s v="U0030601E005"/>
    <d v="2021-09-04T00:00:00"/>
    <d v="2021-09-11T00:00:00"/>
    <n v="-653"/>
    <x v="107"/>
    <n v="660"/>
    <x v="1"/>
    <s v="Rejected"/>
    <n v="2"/>
    <s v="no"/>
    <n v="0"/>
    <s v="not yet"/>
  </r>
  <r>
    <s v="S0810122E005"/>
    <s v="SD"/>
    <s v="Operasi Bilangan Pecahan"/>
    <s v="https://drive.google.com/open?id=1RnDQkVojqAhyKp3OCXpQ-WhWpL7PYYGd"/>
    <s v="S0810122E005"/>
    <d v="2021-09-06T00:00:00"/>
    <d v="2021-09-09T00:00:00"/>
    <n v="-655"/>
    <x v="108"/>
    <n v="0"/>
    <x v="0"/>
    <s v="Accepted"/>
    <n v="0"/>
    <s v="no"/>
    <n v="15000"/>
    <s v="paid"/>
  </r>
  <r>
    <s v="S0810151P006"/>
    <s v="SD"/>
    <s v="Operasi Bilangan Pecahan"/>
    <s v="https://drive.google.com/open?id=1_zNBn27vaL1j9T-ODSW2FCgEhWZdFOSQ"/>
    <s v="S0810151P006"/>
    <d v="2021-09-06T00:00:00"/>
    <d v="2021-09-09T00:00:00"/>
    <n v="-655"/>
    <x v="108"/>
    <n v="0"/>
    <x v="0"/>
    <s v="Accepted"/>
    <n v="0"/>
    <s v="no"/>
    <n v="15000"/>
    <s v="paid"/>
  </r>
  <r>
    <s v="S0810194E001"/>
    <s v="SD"/>
    <s v="Operasi Bilangan Pecahan"/>
    <s v="https://drive.google.com/open?id=10MQnm4SXFFQxNzlcH3S5SSj6s9w-gXX6"/>
    <s v="S0810194E001"/>
    <d v="2021-09-06T00:00:00"/>
    <d v="2021-09-09T00:00:00"/>
    <n v="-655"/>
    <x v="108"/>
    <n v="0"/>
    <x v="0"/>
    <s v="Accepted"/>
    <n v="0"/>
    <s v="no"/>
    <n v="15000"/>
    <s v="paid"/>
  </r>
  <r>
    <s v="S0810202E004"/>
    <s v="SD"/>
    <s v="Operasi Bilangan Pecahan"/>
    <s v="https://drive.google.com/open?id=1f0PP4zUnorTG5MPWpos4SVYpZ2vaCO0e"/>
    <s v="S0810202E004"/>
    <d v="2021-09-06T00:00:00"/>
    <d v="2021-09-09T00:00:00"/>
    <n v="-655"/>
    <x v="108"/>
    <n v="0"/>
    <x v="0"/>
    <s v="Accepted"/>
    <n v="0"/>
    <s v="no"/>
    <n v="15000"/>
    <s v="paid"/>
  </r>
  <r>
    <s v="S0811441E003"/>
    <s v="SD"/>
    <s v="Bangun Ruang"/>
    <s v="https://drive.google.com/open?id=17XGN2KteDvZ1lIODrmUIXIAwhPZdmL7k"/>
    <s v="S0811441E003"/>
    <d v="2021-09-06T00:00:00"/>
    <d v="2021-09-09T00:00:00"/>
    <n v="-655"/>
    <x v="109"/>
    <n v="0"/>
    <x v="0"/>
    <s v="Accepted"/>
    <n v="0"/>
    <s v="no"/>
    <n v="15000"/>
    <s v="paid"/>
  </r>
  <r>
    <s v="S0811601E007"/>
    <s v="SD"/>
    <s v="Bangun Ruang"/>
    <s v="https://drive.google.com/open?id=1mArfx420ACDpcrjFaEWsGtCiGT3NWRcs"/>
    <s v="S0811601E007"/>
    <d v="2021-09-06T00:00:00"/>
    <d v="2021-09-09T00:00:00"/>
    <n v="-655"/>
    <x v="109"/>
    <n v="0"/>
    <x v="0"/>
    <s v="Accepted"/>
    <n v="0"/>
    <s v="no"/>
    <n v="15000"/>
    <s v="paid"/>
  </r>
  <r>
    <s v="T0093812E001"/>
    <s v="SD"/>
    <s v="Bangun Ruang"/>
    <s v="https://drive.google.com/open?id=1om0DKY2JMfen2mzfjywc02MyoUgLH-Ys"/>
    <s v="T0093812E001"/>
    <d v="2021-09-06T00:00:00"/>
    <d v="2021-09-09T00:00:00"/>
    <n v="-655"/>
    <x v="109"/>
    <n v="0"/>
    <x v="0"/>
    <s v="Accepted"/>
    <n v="0"/>
    <s v="no"/>
    <n v="15000"/>
    <s v="paid"/>
  </r>
  <r>
    <s v="S0911531E002"/>
    <s v="SD"/>
    <s v="Bangun Ruang"/>
    <s v="https://drive.google.com/open?id=1fwE7oajUHXBMyGI6ZgDYcHkGEaMu61jE"/>
    <s v="S0911531E002"/>
    <d v="2021-09-06T00:00:00"/>
    <d v="2021-09-09T00:00:00"/>
    <n v="-655"/>
    <x v="109"/>
    <n v="0"/>
    <x v="0"/>
    <s v="Accepted"/>
    <n v="0"/>
    <s v="no"/>
    <n v="15000"/>
    <s v="paid"/>
  </r>
  <r>
    <s v="T007J802P001"/>
    <s v="SD"/>
    <s v="Operasi Bilangan Pecahan"/>
    <s v="https://drive.google.com/open?id=1Dgu_OtcX_32p4KQb6VjKp0CzOA2G0ixE"/>
    <s v="T007J802P001"/>
    <d v="2021-09-06T00:00:00"/>
    <d v="2021-09-09T00:00:00"/>
    <n v="-655"/>
    <x v="109"/>
    <n v="0"/>
    <x v="0"/>
    <s v="Accepted"/>
    <n v="0"/>
    <s v="no"/>
    <n v="15000"/>
    <s v="paid"/>
  </r>
  <r>
    <s v="S0810431P007"/>
    <s v="SD"/>
    <s v="Operasi Bilangan Pecahan"/>
    <s v="https://drive.google.com/open?id=1BzxGC7c3Gg2dGczoBmXvrj1JScFXibeq"/>
    <s v="S0810431P007"/>
    <d v="2021-09-06T00:00:00"/>
    <d v="2021-09-09T00:00:00"/>
    <n v="-655"/>
    <x v="109"/>
    <n v="0"/>
    <x v="0"/>
    <s v="Accepted"/>
    <n v="0"/>
    <s v="no"/>
    <n v="15000"/>
    <s v="paid"/>
  </r>
  <r>
    <s v="S0810262E004"/>
    <s v="SD"/>
    <s v="Operasi Bilangan Pecahan"/>
    <s v="https://drive.google.com/open?id=13__p0KWpqGKa6DvoRb84Rrpk0FIljWBz"/>
    <s v="S0810262E004"/>
    <d v="2021-09-06T00:00:00"/>
    <d v="2021-09-09T00:00:00"/>
    <n v="-655"/>
    <x v="109"/>
    <n v="0"/>
    <x v="0"/>
    <s v="Accepted"/>
    <n v="0"/>
    <s v="no"/>
    <n v="15000"/>
    <s v="paid"/>
  </r>
  <r>
    <s v="S0810211E001"/>
    <s v="SD"/>
    <s v="Operasi Bilangan Pecahan"/>
    <s v="https://drive.google.com/open?id=16-19rKHe1-9gyOPMJyEz0mpb7l0OVKCU"/>
    <s v="S0810211E001"/>
    <d v="2021-09-06T00:00:00"/>
    <d v="2021-09-09T00:00:00"/>
    <n v="-655"/>
    <x v="109"/>
    <n v="0"/>
    <x v="0"/>
    <s v="Accepted"/>
    <n v="0"/>
    <s v="no"/>
    <n v="15000"/>
    <s v="paid"/>
  </r>
  <r>
    <s v="S0810231E007"/>
    <s v="SD"/>
    <s v="Operasi Bilangan Pecahan"/>
    <s v="https://drive.google.com/open?id=1bTlcrtC-MpAgy7eBz9_R29qJEw-m3n06"/>
    <s v="S0810231E007"/>
    <d v="2021-09-06T00:00:00"/>
    <d v="2021-09-09T00:00:00"/>
    <n v="-655"/>
    <x v="109"/>
    <n v="0"/>
    <x v="0"/>
    <s v="Accepted"/>
    <n v="0"/>
    <s v="no"/>
    <n v="15000"/>
    <s v="paid"/>
  </r>
  <r>
    <s v="S0810272E001"/>
    <s v="SD"/>
    <s v="Operasi Bilangan Pecahan"/>
    <s v="https://drive.google.com/open?id=1wKtiHF8HS5vSR-xntR0A2TFIUr6i_HAr"/>
    <s v="S0810272E001"/>
    <d v="2021-09-06T00:00:00"/>
    <d v="2021-09-09T00:00:00"/>
    <n v="-655"/>
    <x v="109"/>
    <n v="0"/>
    <x v="0"/>
    <s v="Accepted"/>
    <n v="0"/>
    <s v="no"/>
    <n v="15000"/>
    <s v="paid"/>
  </r>
  <r>
    <s v="S0810282E002"/>
    <s v="SD"/>
    <s v="Operasi Bilangan Pecahan"/>
    <s v="https://drive.google.com/open?id=1aDUtDW7GNP9RCMNpjxqsdL3hyx0Qt1m6"/>
    <s v="S0810282E002"/>
    <d v="2021-09-06T00:00:00"/>
    <d v="2021-09-09T00:00:00"/>
    <n v="-655"/>
    <x v="109"/>
    <n v="0"/>
    <x v="0"/>
    <s v="Accepted"/>
    <n v="0"/>
    <s v="no"/>
    <n v="15000"/>
    <s v="paid"/>
  </r>
  <r>
    <s v="S0810284E002"/>
    <s v="SD"/>
    <s v="Operasi Bilangan Pecahan"/>
    <s v="https://drive.google.com/open?id=1fePDrc7MZTi7Ju82qsIM6aDgTSLr1jNN"/>
    <s v="S0810284E002"/>
    <d v="2021-09-06T00:00:00"/>
    <d v="2021-09-09T00:00:00"/>
    <n v="-655"/>
    <x v="109"/>
    <n v="0"/>
    <x v="0"/>
    <s v="Accepted"/>
    <n v="0"/>
    <s v="no"/>
    <n v="15000"/>
    <s v="paid"/>
  </r>
  <r>
    <s v="S0810291E001"/>
    <s v="SD"/>
    <s v="Operasi Bilangan Pecahan"/>
    <s v="https://drive.google.com/open?id=1rDiDUpFZPjHw4YC6P0Vq5FIHvpmG7yKY"/>
    <s v="S0810291E001"/>
    <d v="2021-09-06T00:00:00"/>
    <d v="2021-09-09T00:00:00"/>
    <n v="-655"/>
    <x v="109"/>
    <n v="0"/>
    <x v="0"/>
    <s v="Accepted"/>
    <n v="0"/>
    <s v="no"/>
    <n v="15000"/>
    <s v="paid"/>
  </r>
  <r>
    <s v="S0810292E004"/>
    <s v="SD"/>
    <s v="Operasi Bilangan Pecahan"/>
    <s v="https://drive.google.com/open?id=15-zy0J1mPA2jVV8O_ku_rXiCE1l3AxX2"/>
    <s v="S0810292E004"/>
    <d v="2021-09-06T00:00:00"/>
    <d v="2021-09-09T00:00:00"/>
    <n v="-655"/>
    <x v="109"/>
    <n v="0"/>
    <x v="0"/>
    <s v="Accepted"/>
    <n v="0"/>
    <s v="no"/>
    <n v="15000"/>
    <s v="paid"/>
  </r>
  <r>
    <s v="S0810294E002"/>
    <s v="SD"/>
    <s v="Operasi Bilangan Pecahan"/>
    <s v="https://drive.google.com/open?id=107TVr7vfsykW9yIdERtRWdPnYz-DDGFR"/>
    <s v="S0810294E002"/>
    <d v="2021-09-06T00:00:00"/>
    <d v="2021-09-09T00:00:00"/>
    <n v="-655"/>
    <x v="109"/>
    <n v="0"/>
    <x v="0"/>
    <s v="Accepted"/>
    <n v="0"/>
    <s v="no"/>
    <n v="15000"/>
    <s v="paid"/>
  </r>
  <r>
    <s v="S0810301E001"/>
    <s v="SD"/>
    <s v="Operasi Bilangan Pecahan"/>
    <s v="https://drive.google.com/open?id=19o7xPcjAOSuy6rYnjvJSFynA85rAa6m6"/>
    <s v="S0810301E001"/>
    <d v="2021-09-06T00:00:00"/>
    <d v="2021-09-09T00:00:00"/>
    <n v="-655"/>
    <x v="109"/>
    <n v="0"/>
    <x v="0"/>
    <s v="Accepted"/>
    <n v="0"/>
    <s v="no"/>
    <n v="15000"/>
    <s v="paid"/>
  </r>
  <r>
    <s v="S0810302E004"/>
    <s v="SD"/>
    <s v="Operasi Bilangan Pecahan"/>
    <s v="https://drive.google.com/open?id=1TDKncgH6FXq3F81YfjB9ChDjkIIrRV2v"/>
    <s v="S0810302E004"/>
    <d v="2021-09-06T00:00:00"/>
    <d v="2021-09-09T00:00:00"/>
    <n v="-655"/>
    <x v="109"/>
    <n v="0"/>
    <x v="0"/>
    <s v="Accepted"/>
    <n v="0"/>
    <s v="no"/>
    <n v="15000"/>
    <s v="paid"/>
  </r>
  <r>
    <s v="S0191672E003"/>
    <s v="SD"/>
    <s v="Pecahan"/>
    <s v="https://drive.google.com/open?id=1GFociSbMu8IueESI17hmWdj8SbphJTbq"/>
    <s v="S0191672E003"/>
    <d v="2021-08-16T00:00:00"/>
    <d v="2021-09-09T00:00:00"/>
    <n v="-655"/>
    <x v="110"/>
    <n v="0"/>
    <x v="0"/>
    <s v="Accepted"/>
    <n v="1"/>
    <s v="no"/>
    <n v="15000"/>
    <s v="paid"/>
  </r>
  <r>
    <s v="S0810231E001"/>
    <s v="SD"/>
    <s v="Operasi Bilangan Pecahan"/>
    <s v="https://drive.google.com/open?id=1X6V3U5Yiptl_xgE4YU6V_rxivxjbtLo9"/>
    <s v="S0810231E001"/>
    <d v="2021-09-06T00:00:00"/>
    <d v="2021-09-09T00:00:00"/>
    <n v="-655"/>
    <x v="110"/>
    <n v="0"/>
    <x v="0"/>
    <s v="Accepted"/>
    <n v="0"/>
    <s v="no"/>
    <n v="15000"/>
    <s v="paid"/>
  </r>
  <r>
    <s v="V0070501P020"/>
    <s v="SD"/>
    <s v="Bangun Ruang"/>
    <s v="https://drive.google.com/open?id=164T5VJjxWfjD8I4PDXzRhVxivX9m2197"/>
    <s v="V0070501P020"/>
    <d v="2021-08-30T00:00:00"/>
    <d v="2021-09-12T00:00:00"/>
    <n v="-652"/>
    <x v="111"/>
    <n v="0"/>
    <x v="0"/>
    <s v="Accepted"/>
    <n v="0"/>
    <s v="no"/>
    <n v="15000"/>
    <s v="paid"/>
  </r>
  <r>
    <s v="S0301701c001"/>
    <s v="SD"/>
    <s v="Statistika 6"/>
    <s v="https://drive.google.com/open?id=1-0zA44tjXdHTO2m54yYEjMkkzOP2-sf6"/>
    <s v="S0301701c001"/>
    <d v="2021-09-04T00:00:00"/>
    <d v="2021-09-12T00:00:00"/>
    <n v="-652"/>
    <x v="111"/>
    <n v="0"/>
    <x v="0"/>
    <s v="Accepted"/>
    <n v="0"/>
    <s v="yes"/>
    <n v="18000"/>
    <s v="paid"/>
  </r>
  <r>
    <s v="T007V702P001"/>
    <s v="SD"/>
    <s v="Operasi Bilangan Pecahan"/>
    <s v="https://drive.google.com/open?id=1IDXq5g0kra28fdZnot8lPwP1U_DG4VXW"/>
    <s v="T007V702P001"/>
    <d v="2021-09-06T00:00:00"/>
    <d v="2021-09-12T00:00:00"/>
    <n v="-652"/>
    <x v="111"/>
    <n v="0"/>
    <x v="0"/>
    <s v="Accepted"/>
    <n v="0"/>
    <s v="yes"/>
    <n v="18000"/>
    <s v="paid"/>
  </r>
  <r>
    <s v="S0810072E002"/>
    <s v="SD"/>
    <s v="Operasi Bilangan Pecahan"/>
    <s v="https://drive.google.com/open?id=1ue2hxoeFjGMoFVzsHLNc73n8FwG_RM4e"/>
    <s v="S0810072E002"/>
    <d v="2021-09-06T00:00:00"/>
    <d v="2021-09-12T00:00:00"/>
    <n v="-652"/>
    <x v="111"/>
    <n v="0"/>
    <x v="0"/>
    <s v="Accepted"/>
    <n v="0"/>
    <s v="yes"/>
    <n v="18000"/>
    <s v="paid"/>
  </r>
  <r>
    <s v="S0810141E003"/>
    <s v="SD"/>
    <s v="Operasi Bilangan Pecahan"/>
    <s v="https://drive.google.com/open?id=1MTlEDhetHMiYRemMm0ToveX9rUoWAEvN"/>
    <s v="S0810141E003"/>
    <d v="2021-09-06T00:00:00"/>
    <d v="2021-09-12T00:00:00"/>
    <n v="-652"/>
    <x v="111"/>
    <n v="0"/>
    <x v="0"/>
    <s v="Accepted"/>
    <n v="0"/>
    <s v="yes"/>
    <n v="18000"/>
    <s v="paid"/>
  </r>
  <r>
    <s v="S0810162E005"/>
    <s v="SD"/>
    <s v="Operasi Bilangan Pecahan"/>
    <s v="https://drive.google.com/open?id=1ksDmmkVu08vCuFsxdTHGJRa7nlLQDxfW"/>
    <s v="S0810162E005"/>
    <d v="2021-09-06T00:00:00"/>
    <d v="2021-09-12T00:00:00"/>
    <n v="-652"/>
    <x v="111"/>
    <n v="0"/>
    <x v="0"/>
    <s v="Accepted"/>
    <n v="0"/>
    <s v="yes"/>
    <n v="18000"/>
    <s v="paid"/>
  </r>
  <r>
    <s v="S0211801E002"/>
    <s v="SD"/>
    <s v="Operasi Bilangan Pecahan"/>
    <s v="https://drive.google.com/open?id=1bGhHwwZBBXzWEz6-7ZjgVJfA6gDKRjNZ"/>
    <s v="S0211801E002"/>
    <d v="2021-09-10T00:00:00"/>
    <d v="2021-09-12T00:00:00"/>
    <n v="-652"/>
    <x v="111"/>
    <n v="0"/>
    <x v="0"/>
    <s v="Accepted"/>
    <n v="0"/>
    <s v="no"/>
    <n v="15000"/>
    <s v="paid"/>
  </r>
  <r>
    <s v="S0211802E002"/>
    <s v="SD"/>
    <s v="Operasi Bilangan Pecahan"/>
    <s v="https://drive.google.com/open?id=1wrf_4pU4fneKWPeBl-7zeJYSZ2iiWkzj"/>
    <s v="S0211802E002"/>
    <d v="2021-09-10T00:00:00"/>
    <d v="2021-09-12T00:00:00"/>
    <n v="-652"/>
    <x v="111"/>
    <n v="0"/>
    <x v="0"/>
    <s v="Accepted"/>
    <n v="0"/>
    <s v="no"/>
    <n v="15000"/>
    <s v="paid"/>
  </r>
  <r>
    <s v="S0472071E005"/>
    <s v="SD"/>
    <s v="Operasi Bilangan Pecahan"/>
    <s v="https://drive.google.com/open?id=1n0wUzIfJTZaEnDLtzDqnAsxiUxyvpRN2"/>
    <s v="S0472071E005"/>
    <d v="2021-09-10T00:00:00"/>
    <d v="2021-09-12T00:00:00"/>
    <n v="-652"/>
    <x v="111"/>
    <n v="0"/>
    <x v="0"/>
    <s v="Accepted"/>
    <n v="0"/>
    <s v="no"/>
    <n v="15000"/>
    <s v="paid"/>
  </r>
  <r>
    <s v="S0211882E010"/>
    <s v="SD"/>
    <s v="Operasi Bilangan Pecahan"/>
    <s v="https://drive.google.com/open?id=1qTDbIUxgTrkwH5mf7TlO-OjViO37ORoF"/>
    <s v="S0211882E010"/>
    <d v="2021-09-10T00:00:00"/>
    <d v="2021-09-16T00:00:00"/>
    <n v="-648"/>
    <x v="111"/>
    <n v="654"/>
    <x v="4"/>
    <s v="Rejected"/>
    <n v="1"/>
    <s v="yes"/>
    <n v="0"/>
    <s v="not yet"/>
  </r>
  <r>
    <s v="S0211802E001"/>
    <s v="SD"/>
    <s v="Operasi Bilangan Pecahan"/>
    <s v="https://drive.google.com/open?id=1hVoiXDuF-Izx1wfYDebI1EIoYx3Sj49J"/>
    <s v="S0211802E001"/>
    <d v="2021-09-10T00:00:00"/>
    <d v="2021-09-17T00:00:00"/>
    <n v="-647"/>
    <x v="111"/>
    <n v="654"/>
    <x v="1"/>
    <s v="Rejected"/>
    <n v="2"/>
    <s v="no"/>
    <n v="0"/>
    <s v="not yet"/>
  </r>
  <r>
    <s v="S0301631E001"/>
    <s v="SD"/>
    <s v="Statistika 6"/>
    <s v="https://drive.google.com/open?id=1BPqo_cG7MYrMD0FVCIG1USDiJQcswTJo"/>
    <s v="S0301631E001"/>
    <d v="2021-09-04T00:00:00"/>
    <d v="2021-09-12T00:00:00"/>
    <n v="-652"/>
    <x v="112"/>
    <n v="0"/>
    <x v="0"/>
    <s v="Accepted"/>
    <n v="0"/>
    <s v="no"/>
    <n v="15000"/>
    <s v="paid"/>
  </r>
  <r>
    <s v="S0301631E002"/>
    <s v="SD"/>
    <s v="Statistika 6"/>
    <s v="https://drive.google.com/open?id=10dUOkg-LOmQkfv9axW-wGpDpde3U721F"/>
    <s v="S0301631E002"/>
    <d v="2021-09-04T00:00:00"/>
    <d v="2021-09-12T00:00:00"/>
    <n v="-652"/>
    <x v="112"/>
    <n v="0"/>
    <x v="0"/>
    <s v="Accepted"/>
    <n v="0"/>
    <s v="no"/>
    <n v="15000"/>
    <s v="paid"/>
  </r>
  <r>
    <s v="S0472011b003"/>
    <s v="SD"/>
    <s v="Operasi Bilangan Pecahan"/>
    <s v="https://drive.google.com/open?id=1_Zy9YoTqxaYi8lCRnMtV0PMu6qCofKOi"/>
    <s v="S0472011b003"/>
    <d v="2021-09-10T00:00:00"/>
    <d v="2021-09-16T00:00:00"/>
    <n v="-648"/>
    <x v="113"/>
    <n v="0"/>
    <x v="0"/>
    <s v="Accepted"/>
    <n v="0"/>
    <s v="yes"/>
    <n v="18000"/>
    <s v="paid"/>
  </r>
  <r>
    <s v="S0472011c003"/>
    <s v="SD"/>
    <s v="Operasi Bilangan Pecahan"/>
    <s v="https://drive.google.com/open?id=1VzmjnXMW8065KswBvzf9KI6dszvmlvcx"/>
    <s v="S0472011c003"/>
    <d v="2021-09-10T00:00:00"/>
    <d v="2021-09-16T00:00:00"/>
    <n v="-648"/>
    <x v="113"/>
    <n v="0"/>
    <x v="0"/>
    <s v="Accepted"/>
    <n v="0"/>
    <s v="yes"/>
    <n v="18000"/>
    <s v="paid"/>
  </r>
  <r>
    <s v="S0211782E003"/>
    <s v="SD"/>
    <s v="Operasi Bilangan Pecahan"/>
    <s v="https://drive.google.com/open?id=12Qh41DIb3yv7RTGCAzXd5c8WNfrTWgWA"/>
    <s v="S0211782E003"/>
    <d v="2021-09-10T00:00:00"/>
    <d v="2021-09-16T00:00:00"/>
    <n v="-648"/>
    <x v="113"/>
    <n v="0"/>
    <x v="0"/>
    <s v="Accepted"/>
    <n v="0"/>
    <s v="yes"/>
    <n v="18000"/>
    <s v="paid"/>
  </r>
  <r>
    <s v="S0211782E004"/>
    <s v="SD"/>
    <s v="Operasi Bilangan Pecahan"/>
    <s v="https://drive.google.com/open?id=1Ei7vfftn0iau2DcBY_8EZ0DIQvNcAZGl"/>
    <s v="S0211782E004"/>
    <d v="2021-09-10T00:00:00"/>
    <d v="2021-09-16T00:00:00"/>
    <n v="-648"/>
    <x v="113"/>
    <n v="0"/>
    <x v="0"/>
    <s v="Accepted"/>
    <n v="0"/>
    <s v="yes"/>
    <n v="18000"/>
    <s v="paid"/>
  </r>
  <r>
    <s v="S0211782E006"/>
    <s v="SD"/>
    <s v="Operasi Bilangan Pecahan"/>
    <s v="https://drive.google.com/open?id=12gbpjrG7GiA8Xv1PChqsc3oMvrAoDJxs"/>
    <s v="S0211782E006"/>
    <d v="2021-09-10T00:00:00"/>
    <d v="2021-09-16T00:00:00"/>
    <n v="-648"/>
    <x v="113"/>
    <n v="0"/>
    <x v="0"/>
    <s v="Accepted"/>
    <n v="0"/>
    <s v="yes"/>
    <n v="18000"/>
    <s v="paid"/>
  </r>
  <r>
    <s v="S0541191E002"/>
    <s v="SD"/>
    <s v="Pengumpulan Dan Penyajian Data"/>
    <s v="https://drive.google.com/open?id=1-LtmpLr4yg07MxbFgPyWc4fyUFwt2_Qy"/>
    <s v="S0541191E002"/>
    <d v="2021-09-13T00:00:00"/>
    <d v="2021-09-16T00:00:00"/>
    <n v="-648"/>
    <x v="113"/>
    <n v="0"/>
    <x v="0"/>
    <s v="Accepted"/>
    <n v="0"/>
    <s v="no"/>
    <n v="15000"/>
    <s v="paid"/>
  </r>
  <r>
    <s v="S0541201E003"/>
    <s v="SD"/>
    <s v="Pengumpulan Dan Penyajian Data"/>
    <s v="https://drive.google.com/open?id=10Bq511hePonGL1Iu9E9-CZQElPhXURBE"/>
    <s v="S0541201E003"/>
    <d v="2021-09-13T00:00:00"/>
    <d v="2021-09-16T00:00:00"/>
    <n v="-648"/>
    <x v="113"/>
    <n v="0"/>
    <x v="0"/>
    <s v="Accepted"/>
    <n v="0"/>
    <s v="no"/>
    <n v="15000"/>
    <s v="paid"/>
  </r>
  <r>
    <s v="S0541201E006"/>
    <s v="SD"/>
    <s v="Pengumpulan Dan Penyajian Data"/>
    <s v="https://drive.google.com/open?id=1GViuO--3Phgw4IqjaEZAwBsyvLURLyHa"/>
    <s v="S0541201E006"/>
    <d v="2021-09-13T00:00:00"/>
    <d v="2021-09-16T00:00:00"/>
    <n v="-648"/>
    <x v="113"/>
    <n v="0"/>
    <x v="0"/>
    <s v="Accepted"/>
    <n v="0"/>
    <s v="no"/>
    <n v="15000"/>
    <s v="paid"/>
  </r>
  <r>
    <s v="S0541232E005"/>
    <s v="SD"/>
    <s v="Statistika 6"/>
    <s v="https://drive.google.com/open?id=1w0jSEl7D8oEBwrJJlRY8VjboorED9rWc"/>
    <s v="S0541232E005"/>
    <d v="2021-09-13T00:00:00"/>
    <d v="2021-09-16T00:00:00"/>
    <n v="-648"/>
    <x v="113"/>
    <n v="0"/>
    <x v="0"/>
    <s v="Accepted"/>
    <n v="0"/>
    <s v="no"/>
    <n v="15000"/>
    <s v="paid"/>
  </r>
  <r>
    <s v="S0541281E001"/>
    <s v="SD"/>
    <s v="Pengumpulan Dan Penyajian Data"/>
    <s v="https://drive.google.com/open?id=19BjclF-vXsIbhZ8OkX4r-9O6S8Z_9zBH"/>
    <s v="S0541281E001"/>
    <d v="2021-09-13T00:00:00"/>
    <d v="2021-09-16T00:00:00"/>
    <n v="-648"/>
    <x v="113"/>
    <n v="0"/>
    <x v="0"/>
    <s v="Accepted"/>
    <n v="0"/>
    <s v="no"/>
    <n v="15000"/>
    <s v="paid"/>
  </r>
  <r>
    <s v="S0541281E002"/>
    <s v="SD"/>
    <s v="Pengumpulan Dan Penyajian Data"/>
    <s v="https://drive.google.com/open?id=1qUWcuP1Ejq0DY3UooD2qNFFjXb0_JuPu"/>
    <s v="S0541281E002"/>
    <d v="2021-09-13T00:00:00"/>
    <d v="2021-09-16T00:00:00"/>
    <n v="-648"/>
    <x v="113"/>
    <n v="651"/>
    <x v="2"/>
    <s v="Rejected"/>
    <n v="1"/>
    <s v="yes"/>
    <n v="0"/>
    <s v="not yet"/>
  </r>
  <r>
    <s v="S0541291E003"/>
    <s v="SD"/>
    <s v="Pengumpulan Dan Penyajian Data"/>
    <s v="https://drive.google.com/open?id=1myLDhxYHHW6GoJRgoTJ58sSmBtgg3WXe"/>
    <s v="S0541291E003"/>
    <d v="2021-09-13T00:00:00"/>
    <d v="2021-09-16T00:00:00"/>
    <n v="-648"/>
    <x v="113"/>
    <n v="0"/>
    <x v="0"/>
    <s v="Accepted"/>
    <n v="0"/>
    <s v="no"/>
    <n v="15000"/>
    <s v="paid"/>
  </r>
  <r>
    <s v="S0541291E004"/>
    <s v="SD"/>
    <s v="Pengumpulan Dan Penyajian Data"/>
    <s v="https://drive.google.com/open?id=1_NaGjs4HJJT1_6khunAKUI_jkgFTYqks"/>
    <s v="S0541291E004"/>
    <d v="2021-09-13T00:00:00"/>
    <d v="2021-09-16T00:00:00"/>
    <n v="-648"/>
    <x v="113"/>
    <n v="0"/>
    <x v="0"/>
    <s v="Accepted"/>
    <n v="0"/>
    <s v="no"/>
    <n v="15000"/>
    <s v="paid"/>
  </r>
  <r>
    <s v="S0541301E005"/>
    <s v="SD"/>
    <s v="Pengumpulan Dan Penyajian Data"/>
    <s v="https://drive.google.com/open?id=18PKxPRbkiVZyijon6LKYEQ_BFri3Hwcg"/>
    <s v="S0541301E005"/>
    <d v="2021-09-13T00:00:00"/>
    <d v="2021-09-16T00:00:00"/>
    <n v="-648"/>
    <x v="113"/>
    <n v="0"/>
    <x v="0"/>
    <s v="Accepted"/>
    <n v="0"/>
    <s v="no"/>
    <n v="15000"/>
    <s v="paid"/>
  </r>
  <r>
    <s v="S0541301E006"/>
    <s v="SD"/>
    <s v="Pengumpulan Dan Penyajian Data"/>
    <s v="https://drive.google.com/open?id=1ULkhRbYH3s05uJpMeE6kEeaTps4Act2n"/>
    <s v="S0541301E006"/>
    <d v="2021-09-13T00:00:00"/>
    <d v="2021-09-16T00:00:00"/>
    <n v="-648"/>
    <x v="113"/>
    <n v="0"/>
    <x v="0"/>
    <s v="Accepted"/>
    <n v="0"/>
    <s v="no"/>
    <n v="15000"/>
    <s v="paid"/>
  </r>
  <r>
    <s v="S0541311E007"/>
    <s v="SD"/>
    <s v="Pengumpulan Dan Penyajian Data"/>
    <s v="https://drive.google.com/open?id=15bCXW2WA7Nr4En-s0AmspH3XaX2j03cS"/>
    <s v="S0541311E007"/>
    <d v="2021-09-13T00:00:00"/>
    <d v="2021-09-16T00:00:00"/>
    <n v="-648"/>
    <x v="113"/>
    <n v="0"/>
    <x v="0"/>
    <s v="Accepted"/>
    <n v="0"/>
    <s v="no"/>
    <n v="15000"/>
    <s v="paid"/>
  </r>
  <r>
    <s v="S0541311E008"/>
    <s v="SD"/>
    <s v="Pengumpulan Dan Penyajian Data"/>
    <s v="https://drive.google.com/open?id=1nRCiaRJ0D9sss_4mOCloCGyycTeB0pqh"/>
    <s v="S0541311E008"/>
    <d v="2021-09-13T00:00:00"/>
    <d v="2021-09-16T00:00:00"/>
    <n v="-648"/>
    <x v="113"/>
    <n v="0"/>
    <x v="0"/>
    <s v="Accepted"/>
    <n v="0"/>
    <s v="no"/>
    <n v="15000"/>
    <s v="paid"/>
  </r>
  <r>
    <s v="S0541321E010"/>
    <s v="SD"/>
    <s v="Pengumpulan Dan Penyajian Data"/>
    <s v="https://drive.google.com/open?id=1ALzBG3FgCpdBiST4852Mq-c-DADhDK03"/>
    <s v="S0541321E010"/>
    <d v="2021-09-13T00:00:00"/>
    <d v="2021-09-16T00:00:00"/>
    <n v="-648"/>
    <x v="113"/>
    <n v="0"/>
    <x v="0"/>
    <s v="Accepted"/>
    <n v="0"/>
    <s v="no"/>
    <n v="15000"/>
    <s v="paid"/>
  </r>
  <r>
    <s v="S0541331E012"/>
    <s v="SD"/>
    <s v="Pengumpulan Dan Penyajian Data"/>
    <s v="https://drive.google.com/open?id=1clf9ZDv7tQzrCJDMiAayLZdsEbzvZCXX"/>
    <s v="S0541331E012"/>
    <d v="2021-09-13T00:00:00"/>
    <d v="2021-09-16T00:00:00"/>
    <n v="-648"/>
    <x v="113"/>
    <n v="0"/>
    <x v="0"/>
    <s v="Accepted"/>
    <n v="0"/>
    <s v="no"/>
    <n v="15000"/>
    <s v="paid"/>
  </r>
  <r>
    <s v="S0541331E013"/>
    <s v="SD"/>
    <s v="Pengumpulan Dan Penyajian Data"/>
    <s v="https://drive.google.com/open?id=18m0GLLVr3xweXFP2U5w1oitWtqUigqrC"/>
    <s v="S0541331E013"/>
    <d v="2021-09-13T00:00:00"/>
    <d v="2021-09-16T00:00:00"/>
    <n v="-648"/>
    <x v="113"/>
    <n v="0"/>
    <x v="0"/>
    <s v="Accepted"/>
    <n v="0"/>
    <s v="no"/>
    <n v="15000"/>
    <s v="paid"/>
  </r>
  <r>
    <s v="S0541351E002"/>
    <s v="SD"/>
    <s v="Pengumpulan Dan Penyajian Data"/>
    <s v="https://drive.google.com/open?id=1J2SBzRMxGkraTsfMXPl1P5yaBI0pEHrD"/>
    <s v="S0541351E002"/>
    <d v="2021-09-13T00:00:00"/>
    <d v="2021-09-16T00:00:00"/>
    <n v="-648"/>
    <x v="113"/>
    <n v="0"/>
    <x v="0"/>
    <s v="Accepted"/>
    <n v="0"/>
    <s v="no"/>
    <n v="15000"/>
    <s v="paid"/>
  </r>
  <r>
    <s v="V0140191P008"/>
    <s v="SD"/>
    <s v="Operasi Bilangan Pecahan"/>
    <s v="https://drive.google.com/open?id=1XyOmLl3VuNje73iy5hVUNtBpOIlMM0o-"/>
    <s v="V0140191P008"/>
    <d v="2021-08-30T00:00:00"/>
    <d v="2021-09-16T00:00:00"/>
    <n v="-648"/>
    <x v="114"/>
    <n v="0"/>
    <x v="0"/>
    <s v="Accepted"/>
    <n v="1"/>
    <s v="yes"/>
    <n v="18000"/>
    <s v="paid"/>
  </r>
  <r>
    <s v="U0030901E002"/>
    <s v="SD"/>
    <s v="Operasi Bilangan Pecahan"/>
    <s v="https://drive.google.com/open?id=19l0ekIltQSw_tVmXqTljo6iveH2z5xiu"/>
    <s v="U0030901E002"/>
    <d v="2021-09-10T00:00:00"/>
    <d v="2021-09-16T00:00:00"/>
    <n v="-648"/>
    <x v="114"/>
    <n v="0"/>
    <x v="0"/>
    <s v="Accepted"/>
    <n v="0"/>
    <s v="yes"/>
    <n v="18000"/>
    <s v="paid"/>
  </r>
  <r>
    <s v="S0211812E003"/>
    <s v="SD"/>
    <s v="Operasi Bilangan Pecahan"/>
    <s v="https://drive.google.com/open?id=1feCJvyiB2wLJGz6x2JpNTKhmHaZzop55"/>
    <s v="S0211812E003"/>
    <d v="2021-09-10T00:00:00"/>
    <d v="2021-09-16T00:00:00"/>
    <n v="-648"/>
    <x v="114"/>
    <n v="0"/>
    <x v="0"/>
    <s v="Accepted"/>
    <n v="1"/>
    <s v="yes"/>
    <n v="18000"/>
    <s v="paid"/>
  </r>
  <r>
    <s v="T0290104P016"/>
    <s v="SD"/>
    <s v="Pengumpulan Dan Penyajian Data"/>
    <s v="https://drive.google.com/open?id=10cE6Fj6K0pfIWBJ16TZIbGZG8BMw8bNo"/>
    <s v="T0290104P016"/>
    <d v="2021-09-13T00:00:00"/>
    <d v="2021-09-16T00:00:00"/>
    <n v="-648"/>
    <x v="114"/>
    <n v="0"/>
    <x v="0"/>
    <s v="Accepted"/>
    <n v="0"/>
    <s v="no"/>
    <n v="15000"/>
    <s v="paid"/>
  </r>
  <r>
    <s v="T0290605E021"/>
    <s v="SD"/>
    <s v="Pengumpulan Dan Penyajian Data"/>
    <s v="https://drive.google.com/open?id=1v6D_EQ-qZ0n5GjQMkUlZq8i8HpX-AhCD"/>
    <s v="T0290605E021"/>
    <d v="2021-09-13T00:00:00"/>
    <d v="2021-09-16T00:00:00"/>
    <n v="-648"/>
    <x v="114"/>
    <n v="0"/>
    <x v="0"/>
    <s v="Accepted"/>
    <n v="0"/>
    <s v="no"/>
    <n v="15000"/>
    <s v="paid"/>
  </r>
  <r>
    <s v="T0290605E022"/>
    <s v="SD"/>
    <s v="Pengumpulan Dan Penyajian Data"/>
    <s v="https://drive.google.com/open?id=1Va94MndiHFqvJjuOJqpRN9QnS8qh_UVh"/>
    <s v="T0290605E022"/>
    <d v="2021-09-13T00:00:00"/>
    <d v="2021-09-16T00:00:00"/>
    <n v="-648"/>
    <x v="114"/>
    <n v="0"/>
    <x v="0"/>
    <s v="Accepted"/>
    <n v="0"/>
    <s v="no"/>
    <n v="15000"/>
    <s v="paid"/>
  </r>
  <r>
    <s v="T0290605E023"/>
    <s v="SD"/>
    <s v="Pengumpulan Dan Penyajian Data"/>
    <s v="https://drive.google.com/open?id=1IqF5Wnrl1N0kobsO60ecjApuxaAx1E-x"/>
    <s v="T0290605E023"/>
    <d v="2021-09-13T00:00:00"/>
    <d v="2021-09-16T00:00:00"/>
    <n v="-648"/>
    <x v="114"/>
    <n v="0"/>
    <x v="0"/>
    <s v="Accepted"/>
    <n v="0"/>
    <s v="no"/>
    <n v="15000"/>
    <s v="paid"/>
  </r>
  <r>
    <s v="T0290705E024"/>
    <s v="SD"/>
    <s v="Pengumpulan Dan Penyajian Data"/>
    <s v="https://drive.google.com/open?id=1bWY8P0btE4B1X5EKE43yLjR-qQTwES3D"/>
    <s v="T0290705E024"/>
    <d v="2021-09-13T00:00:00"/>
    <d v="2021-09-16T00:00:00"/>
    <n v="-648"/>
    <x v="114"/>
    <n v="0"/>
    <x v="0"/>
    <s v="Accepted"/>
    <n v="0"/>
    <s v="no"/>
    <n v="15000"/>
    <s v="paid"/>
  </r>
  <r>
    <s v="S0541351E003"/>
    <s v="SD"/>
    <s v="Statistika 6"/>
    <s v="https://drive.google.com/open?id=1WgNNLBYl9iSkIuJBrMOcH5ZZtjboOIRo"/>
    <s v="S0541351E003"/>
    <d v="2021-09-13T00:00:00"/>
    <d v="2021-09-16T00:00:00"/>
    <n v="-648"/>
    <x v="114"/>
    <n v="651"/>
    <x v="2"/>
    <s v="Rejected"/>
    <n v="1"/>
    <s v="yes"/>
    <n v="0"/>
    <s v="not yet"/>
  </r>
  <r>
    <s v="S0541361E001"/>
    <s v="SD"/>
    <s v="Pengumpulan Dan Penyajian Data"/>
    <s v="https://drive.google.com/open?id=1YDRebhf5qpo0gsE4d-V0moxd17yjzSI3"/>
    <s v="S0541361E001"/>
    <d v="2021-09-13T00:00:00"/>
    <d v="2021-09-16T00:00:00"/>
    <n v="-648"/>
    <x v="114"/>
    <n v="0"/>
    <x v="0"/>
    <s v="Accepted"/>
    <n v="0"/>
    <s v="no"/>
    <n v="15000"/>
    <s v="paid"/>
  </r>
  <r>
    <s v="S0541361E002"/>
    <s v="SD"/>
    <s v="Pengumpulan Dan Penyajian Data"/>
    <s v="https://drive.google.com/open?id=1As9GAE6aX2olvmNWw0y_nw1iCawKujC1"/>
    <s v="S0541361E002"/>
    <d v="2021-09-13T00:00:00"/>
    <d v="2021-09-16T00:00:00"/>
    <n v="-648"/>
    <x v="114"/>
    <n v="0"/>
    <x v="0"/>
    <s v="Accepted"/>
    <n v="0"/>
    <s v="no"/>
    <n v="15000"/>
    <s v="paid"/>
  </r>
  <r>
    <s v="S0541371E003"/>
    <s v="SD"/>
    <s v="Pengumpulan Dan Penyajian Data"/>
    <s v="https://drive.google.com/open?id=1Ki08rlz99m6YGWeHfbwoFYxY72OAjC5p"/>
    <s v="S0541371E003"/>
    <d v="2021-09-13T00:00:00"/>
    <d v="2021-09-16T00:00:00"/>
    <n v="-648"/>
    <x v="114"/>
    <n v="0"/>
    <x v="0"/>
    <s v="Accepted"/>
    <n v="0"/>
    <s v="no"/>
    <n v="15000"/>
    <s v="paid"/>
  </r>
  <r>
    <s v="S0541371E004"/>
    <s v="SD"/>
    <s v="Statistika 6"/>
    <s v="https://drive.google.com/open?id=1bU6ZGaHEGwYQsmFlDaUyoFNQWVQSNATo"/>
    <s v="S0541371E004"/>
    <d v="2021-09-13T00:00:00"/>
    <d v="2021-09-16T00:00:00"/>
    <n v="-648"/>
    <x v="114"/>
    <n v="0"/>
    <x v="0"/>
    <s v="Accepted"/>
    <n v="0"/>
    <s v="no"/>
    <n v="15000"/>
    <s v="paid"/>
  </r>
  <r>
    <s v="S0541381E006"/>
    <s v="SD"/>
    <s v="Pengumpulan Dan Penyajian Data"/>
    <s v="https://drive.google.com/open?id=1Kq-QmYhCWMWIJ8uoYTtRNAxf93DyBgx-"/>
    <s v="S0541381E006"/>
    <d v="2021-09-13T00:00:00"/>
    <d v="2021-09-16T00:00:00"/>
    <n v="-648"/>
    <x v="114"/>
    <n v="0"/>
    <x v="0"/>
    <s v="Accepted"/>
    <n v="0"/>
    <s v="no"/>
    <n v="15000"/>
    <s v="paid"/>
  </r>
  <r>
    <s v="S0541381E007"/>
    <s v="SD"/>
    <s v="Pengumpulan Dan Penyajian Data"/>
    <s v="https://drive.google.com/open?id=1rB8jr5dUF9StprQBItGA27RQAOsOd9zw"/>
    <s v="S0541381E007"/>
    <d v="2021-09-13T00:00:00"/>
    <d v="2021-09-16T00:00:00"/>
    <n v="-648"/>
    <x v="114"/>
    <n v="0"/>
    <x v="0"/>
    <s v="Accepted"/>
    <n v="0"/>
    <s v="no"/>
    <n v="15000"/>
    <s v="paid"/>
  </r>
  <r>
    <s v="S0541381E008"/>
    <s v="SD"/>
    <s v="Statistika 6"/>
    <s v="https://drive.google.com/open?id=1hTsgluWXnfPWAyvy9zU5v4ugJaEuZUI6"/>
    <s v="S0541381E008"/>
    <d v="2021-09-13T00:00:00"/>
    <d v="2021-09-16T00:00:00"/>
    <n v="-648"/>
    <x v="114"/>
    <n v="0"/>
    <x v="0"/>
    <s v="Accepted"/>
    <n v="0"/>
    <s v="no"/>
    <n v="15000"/>
    <s v="paid"/>
  </r>
  <r>
    <s v="S0541381E009"/>
    <s v="SD"/>
    <s v="Statistika 6"/>
    <s v="https://drive.google.com/open?id=1kz0vMdlf5535-fRTkULDVV4sV4dx1PV9"/>
    <s v="S0541381E009"/>
    <d v="2021-09-13T00:00:00"/>
    <d v="2021-09-16T00:00:00"/>
    <n v="-648"/>
    <x v="114"/>
    <n v="0"/>
    <x v="0"/>
    <s v="Accepted"/>
    <n v="0"/>
    <s v="no"/>
    <n v="15000"/>
    <s v="paid"/>
  </r>
  <r>
    <s v="S0541381E010"/>
    <s v="SD"/>
    <s v="Pengumpulan Dan Penyajian Data"/>
    <s v="https://drive.google.com/open?id=1uOo0vCmoCZxLZYFuXbACcQGrEhpdCymA"/>
    <s v="S0541381E010"/>
    <d v="2021-09-13T00:00:00"/>
    <d v="2021-09-16T00:00:00"/>
    <n v="-648"/>
    <x v="114"/>
    <n v="0"/>
    <x v="0"/>
    <s v="Accepted"/>
    <n v="0"/>
    <s v="no"/>
    <n v="15000"/>
    <s v="paid"/>
  </r>
  <r>
    <s v="S0541391E011"/>
    <s v="SD"/>
    <s v="Pengumpulan Dan Penyajian Data"/>
    <s v="https://drive.google.com/open?id=1kraAH7CJTAW9zVfnm0fOxlikFGMF5yRK"/>
    <s v="S0541391E011"/>
    <d v="2021-09-13T00:00:00"/>
    <d v="2021-09-16T00:00:00"/>
    <n v="-648"/>
    <x v="114"/>
    <n v="0"/>
    <x v="0"/>
    <s v="Accepted"/>
    <n v="0"/>
    <s v="no"/>
    <n v="15000"/>
    <s v="paid"/>
  </r>
  <r>
    <s v="S0541391E012"/>
    <s v="SD"/>
    <s v="Statistika 6"/>
    <s v="https://drive.google.com/open?id=1kQNHwkHCrwy5R-FCl_K3bWWBlZTX4z1v"/>
    <s v="S0541391E012"/>
    <d v="2021-09-13T00:00:00"/>
    <d v="2021-09-16T00:00:00"/>
    <n v="-648"/>
    <x v="114"/>
    <n v="0"/>
    <x v="0"/>
    <s v="Accepted"/>
    <n v="0"/>
    <s v="no"/>
    <n v="15000"/>
    <s v="paid"/>
  </r>
  <r>
    <s v="S0541391E013"/>
    <s v="SD"/>
    <s v="Statistika 6"/>
    <s v="https://drive.google.com/open?id=1MjEuZdZHEc2V0ILSYVKdrPGlUa2PW1Wy"/>
    <s v="S0541391E013"/>
    <d v="2021-09-13T00:00:00"/>
    <d v="2021-09-16T00:00:00"/>
    <n v="-648"/>
    <x v="114"/>
    <n v="0"/>
    <x v="0"/>
    <s v="Accepted"/>
    <n v="0"/>
    <s v="no"/>
    <n v="15000"/>
    <s v="paid"/>
  </r>
  <r>
    <s v="S0541391E014"/>
    <s v="SD"/>
    <s v="Statistika 6"/>
    <s v="https://drive.google.com/open?id=1G9LmVnwhozAFfrb0u92lGURzaaNn80yx"/>
    <s v="S0541391E014"/>
    <d v="2021-09-13T00:00:00"/>
    <d v="2021-09-16T00:00:00"/>
    <n v="-648"/>
    <x v="114"/>
    <n v="0"/>
    <x v="0"/>
    <s v="Accepted"/>
    <n v="0"/>
    <s v="no"/>
    <n v="15000"/>
    <s v="paid"/>
  </r>
  <r>
    <s v="S0541401E016"/>
    <s v="SD"/>
    <s v="Statistika 6"/>
    <s v="https://drive.google.com/open?id=1ttS8kLAG1aEqW9sjqsfWhHMnhm12ElXR"/>
    <s v="S0541401E016"/>
    <d v="2021-09-13T00:00:00"/>
    <d v="2021-09-16T00:00:00"/>
    <n v="-648"/>
    <x v="114"/>
    <n v="0"/>
    <x v="0"/>
    <s v="Accepted"/>
    <n v="0"/>
    <s v="no"/>
    <n v="15000"/>
    <s v="paid"/>
  </r>
  <r>
    <s v="S0591771E003"/>
    <s v="SD"/>
    <s v="Statistika 6"/>
    <s v="https://drive.google.com/open?id=10wkW4t5r_YyS-VG2SYIeJ3-wVOYPFqIK"/>
    <s v="S0591771E003"/>
    <d v="2021-09-15T00:00:00"/>
    <d v="2021-09-19T00:00:00"/>
    <n v="-645"/>
    <x v="115"/>
    <n v="0"/>
    <x v="0"/>
    <s v="Accepted"/>
    <n v="0"/>
    <s v="no"/>
    <n v="15000"/>
    <s v="paid"/>
  </r>
  <r>
    <s v="S0591781E001"/>
    <s v="SD"/>
    <s v="Statistika 6"/>
    <s v="https://drive.google.com/open?id=1u_pbhJ12ecDLS3yiCPKldej_JsnfIcYL"/>
    <s v="S0591781E001"/>
    <d v="2021-09-15T00:00:00"/>
    <d v="2021-09-19T00:00:00"/>
    <n v="-645"/>
    <x v="115"/>
    <n v="0"/>
    <x v="0"/>
    <s v="Accepted"/>
    <n v="0"/>
    <s v="no"/>
    <n v="15000"/>
    <s v="paid"/>
  </r>
  <r>
    <s v="S0591791E001"/>
    <s v="SD"/>
    <s v="Statistika 6"/>
    <s v="https://drive.google.com/open?id=1zgFZbHu4X5PfKEa3mA-feTAcD7vw4MeH"/>
    <s v="S0591791E001"/>
    <d v="2021-09-15T00:00:00"/>
    <d v="2021-09-19T00:00:00"/>
    <n v="-645"/>
    <x v="115"/>
    <n v="0"/>
    <x v="0"/>
    <s v="Accepted"/>
    <n v="0"/>
    <s v="no"/>
    <n v="15000"/>
    <s v="paid"/>
  </r>
  <r>
    <s v="S0591792E001"/>
    <s v="SD"/>
    <s v="Statistika 6"/>
    <s v="https://drive.google.com/open?id=1abALxOK6W0VjV2PyPESdG2A4mMWmgJb3"/>
    <s v="S0591792E001"/>
    <d v="2021-09-15T00:00:00"/>
    <d v="2021-09-19T00:00:00"/>
    <n v="-645"/>
    <x v="115"/>
    <n v="0"/>
    <x v="0"/>
    <s v="Accepted"/>
    <n v="0"/>
    <s v="no"/>
    <n v="15000"/>
    <s v="paid"/>
  </r>
  <r>
    <s v="S0591821E001"/>
    <s v="SD"/>
    <s v="Statistika 6"/>
    <s v="https://drive.google.com/open?id=18VjwZZOuWAwrX04JTgpBAiEZvjksfawA"/>
    <s v="S0591821E001"/>
    <d v="2021-09-15T00:00:00"/>
    <d v="2021-09-19T00:00:00"/>
    <n v="-645"/>
    <x v="115"/>
    <n v="0"/>
    <x v="0"/>
    <s v="Accepted"/>
    <n v="0"/>
    <s v="no"/>
    <n v="15000"/>
    <s v="paid"/>
  </r>
  <r>
    <s v="S0591831E001"/>
    <s v="SD"/>
    <s v="Statistika 6"/>
    <s v="https://drive.google.com/open?id=12B5aY8T7VdPqGge7qLIMckaT_l0JU3tx"/>
    <s v="S0591831E001"/>
    <d v="2021-09-15T00:00:00"/>
    <d v="2021-09-19T00:00:00"/>
    <n v="-645"/>
    <x v="115"/>
    <n v="0"/>
    <x v="0"/>
    <s v="Accepted"/>
    <n v="0"/>
    <s v="no"/>
    <n v="15000"/>
    <s v="paid"/>
  </r>
  <r>
    <s v="S0591831E002"/>
    <s v="SD"/>
    <s v="Statistika 6"/>
    <s v="https://drive.google.com/open?id=15QGuqpHQeHZpB3C0zjwS6JOo_nZ6OOap"/>
    <s v="S0591831E002"/>
    <d v="2021-09-15T00:00:00"/>
    <d v="2021-09-19T00:00:00"/>
    <n v="-645"/>
    <x v="115"/>
    <n v="0"/>
    <x v="0"/>
    <s v="Accepted"/>
    <n v="0"/>
    <s v="no"/>
    <n v="15000"/>
    <s v="paid"/>
  </r>
  <r>
    <s v="S0591831E003"/>
    <s v="SD"/>
    <s v="Statistika 6"/>
    <s v="https://drive.google.com/open?id=1LMy3v_QLfdvzs0o8ULfe7RWJInsraofq"/>
    <s v="S0591831E003"/>
    <d v="2021-09-15T00:00:00"/>
    <d v="2021-09-19T00:00:00"/>
    <n v="-645"/>
    <x v="115"/>
    <n v="0"/>
    <x v="0"/>
    <s v="Accepted"/>
    <n v="0"/>
    <s v="no"/>
    <n v="15000"/>
    <s v="paid"/>
  </r>
  <r>
    <s v="S0591831E004"/>
    <s v="SD"/>
    <s v="Statistika 6"/>
    <s v="https://drive.google.com/open?id=1dwTRrMMrsc3CQlC8KJHI7eNEwmE0kwFl"/>
    <s v="S0591831E004"/>
    <d v="2021-09-15T00:00:00"/>
    <d v="2021-09-19T00:00:00"/>
    <n v="-645"/>
    <x v="115"/>
    <n v="0"/>
    <x v="0"/>
    <s v="Accepted"/>
    <n v="0"/>
    <s v="no"/>
    <n v="15000"/>
    <s v="paid"/>
  </r>
  <r>
    <s v="S0541051E002"/>
    <s v="SD"/>
    <s v="Sistem Koordinat"/>
    <s v="https://drive.google.com/open?id=19cAJp309l6xyplAluJPpyqtov9WTMNnC"/>
    <s v="S0541051E002"/>
    <d v="2021-09-17T00:00:00"/>
    <d v="2021-09-19T00:00:00"/>
    <n v="-645"/>
    <x v="115"/>
    <n v="647"/>
    <x v="2"/>
    <s v="Rejected"/>
    <n v="1"/>
    <s v="no"/>
    <n v="0"/>
    <s v="not yet"/>
  </r>
  <r>
    <s v="S0541051E003"/>
    <s v="SD"/>
    <s v="Sistem Koordinat"/>
    <s v="https://drive.google.com/open?id=11oJZ8WHsOiHgpDYp1PppluizCGS5yvfJ"/>
    <s v="S0541051E003"/>
    <d v="2021-09-17T00:00:00"/>
    <d v="2021-09-19T00:00:00"/>
    <n v="-645"/>
    <x v="115"/>
    <n v="647"/>
    <x v="2"/>
    <s v="Rejected"/>
    <n v="1"/>
    <s v="no"/>
    <n v="0"/>
    <s v="not yet"/>
  </r>
  <r>
    <s v="S0541071E003"/>
    <s v="SD"/>
    <s v="Sistem Koordinat"/>
    <s v="https://drive.google.com/open?id=1wZWdTLZJWkgUZSWGA98bCM5deC-sMTUo"/>
    <s v="S0541071E003"/>
    <d v="2021-09-17T00:00:00"/>
    <d v="2021-09-19T00:00:00"/>
    <n v="-645"/>
    <x v="115"/>
    <n v="0"/>
    <x v="0"/>
    <s v="Accepted"/>
    <n v="0"/>
    <s v="no"/>
    <n v="15000"/>
    <s v="paid"/>
  </r>
  <r>
    <s v="S0541081E001"/>
    <s v="SD"/>
    <s v="Sistem Koordinat"/>
    <s v="https://drive.google.com/open?id=1JKt0AkTsd-wp2COEkQsjaf46XYCL6DCy"/>
    <s v="S0541081E001"/>
    <d v="2021-09-17T00:00:00"/>
    <d v="2021-09-19T00:00:00"/>
    <n v="-645"/>
    <x v="115"/>
    <n v="0"/>
    <x v="0"/>
    <s v="Accepted"/>
    <n v="0"/>
    <s v="no"/>
    <n v="15000"/>
    <s v="paid"/>
  </r>
  <r>
    <s v="S0541081E002"/>
    <s v="SD"/>
    <s v="Sistem Koordinat"/>
    <s v="https://drive.google.com/open?id=1BgG200K1jr9t4cPYDSEr91kQ1hHsqnBm"/>
    <s v="S0541081E002"/>
    <d v="2021-09-17T00:00:00"/>
    <d v="2021-09-19T00:00:00"/>
    <n v="-645"/>
    <x v="115"/>
    <n v="0"/>
    <x v="0"/>
    <s v="Accepted"/>
    <n v="0"/>
    <s v="no"/>
    <n v="15000"/>
    <s v="paid"/>
  </r>
  <r>
    <s v="S0541081E003"/>
    <s v="SD"/>
    <s v="Sistem Koordinat"/>
    <s v="https://drive.google.com/open?id=1tseenDnzxxkPT0vnSjmAXbpjx4voONfT"/>
    <s v="S0541081E003"/>
    <d v="2021-09-17T00:00:00"/>
    <d v="2021-09-19T00:00:00"/>
    <n v="-645"/>
    <x v="115"/>
    <n v="0"/>
    <x v="0"/>
    <s v="Accepted"/>
    <n v="0"/>
    <s v="no"/>
    <n v="15000"/>
    <s v="paid"/>
  </r>
  <r>
    <s v="S0541081E004"/>
    <s v="SD"/>
    <s v="Sistem Koordinat"/>
    <s v="https://drive.google.com/open?id=1c5Bw5PNiG3GUQx5NcZrsQPQX0z3x9hGk"/>
    <s v="S0541081E004"/>
    <d v="2021-09-17T00:00:00"/>
    <d v="2021-09-19T00:00:00"/>
    <n v="-645"/>
    <x v="115"/>
    <n v="0"/>
    <x v="0"/>
    <s v="Accepted"/>
    <n v="0"/>
    <s v="no"/>
    <n v="15000"/>
    <s v="paid"/>
  </r>
  <r>
    <s v="S0541081E005"/>
    <s v="SD"/>
    <s v="Sistem Koordinat"/>
    <s v="https://drive.google.com/open?id=1l9Yh5ztOULVcRf3ava1uzCEAXsEh244J"/>
    <s v="S0541081E005"/>
    <d v="2021-09-17T00:00:00"/>
    <d v="2021-09-19T00:00:00"/>
    <n v="-645"/>
    <x v="115"/>
    <n v="0"/>
    <x v="0"/>
    <s v="Accepted"/>
    <n v="0"/>
    <s v="no"/>
    <n v="15000"/>
    <s v="paid"/>
  </r>
  <r>
    <s v="S0591771E004"/>
    <s v="SD"/>
    <s v="Statistika 6"/>
    <s v="https://drive.google.com/open?id=1wn5a0ERliimIEM1wctxi8OFfkT6zYpqR"/>
    <s v="S0591771E004"/>
    <d v="2021-09-15T00:00:00"/>
    <d v="2021-10-03T00:00:00"/>
    <n v="-631"/>
    <x v="115"/>
    <n v="649"/>
    <x v="2"/>
    <s v="Rejected"/>
    <n v="1"/>
    <s v="no"/>
    <n v="0"/>
    <s v="not yet"/>
  </r>
  <r>
    <s v="S0541331E011"/>
    <s v="SD"/>
    <s v="Pengumpulan Dan Penyajian Data"/>
    <s v="https://drive.google.com/open?id=1HWNCTGxBXKZvpI_7yVW36pT-bw2OVVFL"/>
    <s v="S0541331E011"/>
    <d v="2021-09-13T00:00:00"/>
    <d v="2021-09-19T00:00:00"/>
    <n v="-645"/>
    <x v="116"/>
    <n v="0"/>
    <x v="0"/>
    <s v="Accepted"/>
    <n v="0"/>
    <s v="yes"/>
    <n v="18000"/>
    <s v="paid"/>
  </r>
  <r>
    <s v="S0541341E001"/>
    <s v="SD"/>
    <s v="Statistika 6"/>
    <s v="https://drive.google.com/open?id=1SDUqy-whNHwB5F9UkR_lJ6lRqLv3ZNnG"/>
    <s v="S0541341E001"/>
    <d v="2021-09-13T00:00:00"/>
    <d v="2021-09-19T00:00:00"/>
    <n v="-645"/>
    <x v="116"/>
    <n v="0"/>
    <x v="0"/>
    <s v="Accepted"/>
    <n v="0"/>
    <s v="yes"/>
    <n v="18000"/>
    <s v="paid"/>
  </r>
  <r>
    <s v="S0301651E001"/>
    <s v="SD"/>
    <s v="Statistika 6"/>
    <s v="https://drive.google.com/open?id=1J_fuQdG9A6YHco1T_MbIBWfZn8h2lxAu"/>
    <s v="S0301651E001"/>
    <d v="2021-09-04T00:00:00"/>
    <d v="2021-09-23T00:00:00"/>
    <n v="-641"/>
    <x v="117"/>
    <n v="0"/>
    <x v="0"/>
    <s v="Accepted"/>
    <n v="0"/>
    <s v="no"/>
    <n v="15000"/>
    <s v="paid"/>
  </r>
  <r>
    <s v="S0591832E001"/>
    <s v="SD"/>
    <s v="Statistika 6"/>
    <s v="https://drive.google.com/open?id=1bLq7S17bndBV8-nHTjQKtQVR4cznkmfo"/>
    <s v="S0591832E001"/>
    <d v="2021-09-15T00:00:00"/>
    <d v="2021-09-23T00:00:00"/>
    <n v="-641"/>
    <x v="117"/>
    <n v="0"/>
    <x v="0"/>
    <s v="Accepted"/>
    <n v="0"/>
    <s v="yes"/>
    <n v="18000"/>
    <s v="paid"/>
  </r>
  <r>
    <s v="S0301511E002"/>
    <s v="SD"/>
    <s v="Sistem Koordinat"/>
    <s v="https://drive.google.com/open?id=18hY3VsvayKPX-7Y31VDEFj5yYP1qyYTt"/>
    <s v="S0301511E002"/>
    <d v="2021-09-20T00:00:00"/>
    <d v="2021-09-23T00:00:00"/>
    <n v="-641"/>
    <x v="117"/>
    <n v="0"/>
    <x v="0"/>
    <s v="Accepted"/>
    <n v="0"/>
    <s v="no"/>
    <n v="15000"/>
    <s v="paid"/>
  </r>
  <r>
    <s v="S0391151E002"/>
    <s v="SD"/>
    <s v="Sistem Koordinat"/>
    <s v="https://drive.google.com/open?id=1IEN4--vAbrgI1tVKnyj2rQxnesKe6Mil"/>
    <s v="S0391151E002"/>
    <d v="2021-09-20T00:00:00"/>
    <d v="2021-09-23T00:00:00"/>
    <n v="-641"/>
    <x v="117"/>
    <n v="0"/>
    <x v="0"/>
    <s v="Accepted"/>
    <n v="0"/>
    <s v="no"/>
    <n v="15000"/>
    <s v="paid"/>
  </r>
  <r>
    <s v="S0472001a002"/>
    <s v="SD"/>
    <s v="Operasi Bilangan Pecahan"/>
    <s v="https://drive.google.com/open?id=11J1fJl6SDMVAQYh2oGJI0JuXh4Gxezfx"/>
    <s v="S0472001a002"/>
    <d v="2021-09-20T00:00:00"/>
    <d v="2021-09-23T00:00:00"/>
    <n v="-641"/>
    <x v="117"/>
    <n v="0"/>
    <x v="0"/>
    <s v="Accepted"/>
    <n v="0"/>
    <s v="yes"/>
    <n v="18000"/>
    <s v="paid"/>
  </r>
  <r>
    <s v="S0551511E001"/>
    <s v="SD"/>
    <s v="Statistika"/>
    <s v="https://drive.google.com/open?id=1AVpoYt2eNqBjtg0zKZY2-EHFTrDySZyc"/>
    <s v="S0551511E001"/>
    <d v="2021-09-20T00:00:00"/>
    <d v="2021-09-23T00:00:00"/>
    <n v="-641"/>
    <x v="117"/>
    <n v="0"/>
    <x v="0"/>
    <s v="Accepted"/>
    <n v="0"/>
    <s v="no"/>
    <n v="15000"/>
    <s v="paid"/>
  </r>
  <r>
    <s v="S0561391E009"/>
    <s v="SD"/>
    <s v="Statistika 6"/>
    <s v="https://drive.google.com/open?id=1vhtkKBk-D9CXfWFXNFxOuGl-m0Rpiee5"/>
    <s v="S0561391E009"/>
    <d v="2021-09-20T00:00:00"/>
    <d v="2021-09-23T00:00:00"/>
    <n v="-641"/>
    <x v="117"/>
    <n v="0"/>
    <x v="0"/>
    <s v="Accepted"/>
    <n v="0"/>
    <s v="no"/>
    <n v="15000"/>
    <s v="paid"/>
  </r>
  <r>
    <s v="S0901892E002"/>
    <s v="SD"/>
    <s v="Perpangkatan Dan Akar"/>
    <s v="https://drive.google.com/open?id=1DrcoPCvNgne6xxOBWG--0r8WJ-DGcI5Y"/>
    <s v="S0901892E002"/>
    <d v="2021-09-20T00:00:00"/>
    <d v="2021-09-23T00:00:00"/>
    <n v="-641"/>
    <x v="118"/>
    <n v="0"/>
    <x v="0"/>
    <s v="Accepted"/>
    <n v="0"/>
    <s v="no"/>
    <n v="15000"/>
    <s v="paid"/>
  </r>
  <r>
    <s v="S0840911c002"/>
    <s v="SD"/>
    <s v="Perpangkatan Dan Akar"/>
    <s v="https://drive.google.com/open?id=1Ne_ulFg7Kxsb-lfPyxWloq_QcU2N0TXw"/>
    <s v="S0840911c002"/>
    <d v="2021-09-20T00:00:00"/>
    <d v="2021-09-23T00:00:00"/>
    <n v="-641"/>
    <x v="118"/>
    <n v="0"/>
    <x v="0"/>
    <s v="Accepted"/>
    <n v="0"/>
    <s v="no"/>
    <n v="15000"/>
    <s v="paid"/>
  </r>
  <r>
    <s v="S0861161E001"/>
    <s v="SD"/>
    <s v="Perpangkatan Dan Akar"/>
    <s v="https://drive.google.com/open?id=1hYwJRQqss7KiPL4cHiMJ7IU10J1Gshi-"/>
    <s v="S0861161E001"/>
    <d v="2021-09-20T00:00:00"/>
    <d v="2021-09-23T00:00:00"/>
    <n v="-641"/>
    <x v="118"/>
    <n v="0"/>
    <x v="0"/>
    <s v="Accepted"/>
    <n v="0"/>
    <s v="no"/>
    <n v="15000"/>
    <s v="paid"/>
  </r>
  <r>
    <s v="S0891941E002"/>
    <s v="SD"/>
    <s v="Perpangkatan Dan Akar"/>
    <s v="https://drive.google.com/open?id=1tS-NnJtpXnlAc1aVyp3vpCaSXdBKNL5J"/>
    <s v="S0891941E002"/>
    <d v="2021-09-20T00:00:00"/>
    <d v="2021-09-23T00:00:00"/>
    <n v="-641"/>
    <x v="118"/>
    <n v="0"/>
    <x v="0"/>
    <s v="Accepted"/>
    <n v="0"/>
    <s v="no"/>
    <n v="15000"/>
    <s v="paid"/>
  </r>
  <r>
    <s v="S0200632E002"/>
    <s v="SD"/>
    <s v="Bangun Datar"/>
    <s v="https://drive.google.com/open?id=1LSKcyZCCwTR4x-6CxvLjPRoguY6xtXsz"/>
    <s v="S0200632E002"/>
    <d v="2021-09-20T00:00:00"/>
    <d v="2021-09-23T00:00:00"/>
    <n v="-641"/>
    <x v="119"/>
    <n v="0"/>
    <x v="0"/>
    <s v="Accepted"/>
    <n v="0"/>
    <s v="no"/>
    <n v="15000"/>
    <s v="paid"/>
  </r>
  <r>
    <s v="V0213142E005"/>
    <s v="SD"/>
    <s v="Bangun Ruang"/>
    <s v="https://drive.google.com/open?id=1ucnuFIB6y-eC8oNgxVyixU8WhV9sjHjg"/>
    <s v="V0213142E005"/>
    <d v="2021-09-22T00:00:00"/>
    <d v="2021-09-23T00:00:00"/>
    <n v="-641"/>
    <x v="119"/>
    <n v="0"/>
    <x v="0"/>
    <s v="Accepted"/>
    <n v="0"/>
    <s v="no"/>
    <n v="15000"/>
    <s v="paid"/>
  </r>
  <r>
    <s v="T007N901P001"/>
    <s v="SD"/>
    <s v="Aproksimasi / Pembulatan"/>
    <s v="https://drive.google.com/open?id=1Fh6jbhnFGG7GoOWqQdvuk_NQP8qj4yAS"/>
    <s v="T007N901P001"/>
    <d v="2021-09-22T00:00:00"/>
    <d v="2021-09-23T00:00:00"/>
    <n v="-641"/>
    <x v="119"/>
    <n v="0"/>
    <x v="0"/>
    <s v="Accepted"/>
    <n v="0"/>
    <s v="no"/>
    <n v="15000"/>
    <s v="paid"/>
  </r>
  <r>
    <s v="T007P701P001"/>
    <s v="SD"/>
    <s v="Aproksimasi / Pembulatan"/>
    <s v="https://drive.google.com/open?id=1yNqWHT7Rl3LYzVvUw8xIQAheyQdIr78l"/>
    <s v="T007P701P001"/>
    <d v="2021-09-22T00:00:00"/>
    <d v="2021-09-23T00:00:00"/>
    <n v="-641"/>
    <x v="119"/>
    <n v="0"/>
    <x v="0"/>
    <s v="Accepted"/>
    <n v="0"/>
    <s v="no"/>
    <n v="15000"/>
    <s v="paid"/>
  </r>
  <r>
    <s v="T007B301P001"/>
    <s v="SD"/>
    <s v="Aproksimasi / Pembulatan"/>
    <s v="https://drive.google.com/open?id=1JJNAoc_8-dITX19JEB4jy8nMJgwdtX6R"/>
    <s v="T007B301P001"/>
    <d v="2021-09-22T00:00:00"/>
    <d v="2021-09-23T00:00:00"/>
    <n v="-641"/>
    <x v="119"/>
    <n v="0"/>
    <x v="0"/>
    <s v="Accepted"/>
    <n v="0"/>
    <s v="no"/>
    <n v="15000"/>
    <s v="paid"/>
  </r>
  <r>
    <s v="T007C501P001"/>
    <s v="SD"/>
    <s v="Aproksimasi / Pembulatan"/>
    <s v="https://drive.google.com/open?id=1GCEutFOPrck4WufGna6030OJi7LRoFwv"/>
    <s v="T007C501P001"/>
    <d v="2021-09-22T00:00:00"/>
    <d v="2021-09-23T00:00:00"/>
    <n v="-641"/>
    <x v="119"/>
    <n v="0"/>
    <x v="0"/>
    <s v="Accepted"/>
    <n v="0"/>
    <s v="no"/>
    <n v="15000"/>
    <s v="paid"/>
  </r>
  <r>
    <s v="T007D901P001"/>
    <s v="SD"/>
    <s v="Aproksimasi / Pembulatan"/>
    <s v="https://drive.google.com/open?id=1fxXeEyHbQJRK_wMk3PKZBikIOkqVUEFP"/>
    <s v="T007D901P001"/>
    <d v="2021-09-22T00:00:00"/>
    <d v="2021-09-23T00:00:00"/>
    <n v="-641"/>
    <x v="119"/>
    <n v="0"/>
    <x v="0"/>
    <s v="Accepted"/>
    <n v="0"/>
    <s v="no"/>
    <n v="15000"/>
    <s v="paid"/>
  </r>
  <r>
    <s v="T007X002P001"/>
    <s v="SD"/>
    <s v="Aproksimasi / Pembulatan"/>
    <s v="https://drive.google.com/open?id=1R1JbYxJ8CDOwi5AXTKDRys8OJkaYg1wU"/>
    <s v="T007X002P001"/>
    <d v="2021-09-22T00:00:00"/>
    <d v="2021-09-23T00:00:00"/>
    <n v="-641"/>
    <x v="119"/>
    <n v="0"/>
    <x v="0"/>
    <s v="Accepted"/>
    <n v="0"/>
    <s v="no"/>
    <n v="15000"/>
    <s v="paid"/>
  </r>
  <r>
    <s v="T0089802P001"/>
    <s v="SD"/>
    <s v="Bangun Datar"/>
    <s v="https://drive.google.com/open?id=1fKcCWixb4YI-i_JfjblLJP1vp65ACfT-"/>
    <s v="T0089802P001"/>
    <d v="2021-09-22T00:00:00"/>
    <d v="2021-09-23T00:00:00"/>
    <n v="-641"/>
    <x v="119"/>
    <n v="0"/>
    <x v="0"/>
    <s v="Accepted"/>
    <n v="0"/>
    <s v="no"/>
    <n v="15000"/>
    <s v="paid"/>
  </r>
  <r>
    <s v="T0081101P001"/>
    <s v="SD"/>
    <s v="Bangun Datar"/>
    <s v="https://drive.google.com/open?id=1Pua_AsUk1C9Y5sm18luhnp5a8_qGddqp"/>
    <s v="T0081101P001"/>
    <d v="2021-09-22T00:00:00"/>
    <d v="2021-09-23T00:00:00"/>
    <n v="-641"/>
    <x v="119"/>
    <n v="0"/>
    <x v="0"/>
    <s v="Accepted"/>
    <n v="0"/>
    <s v="no"/>
    <n v="15000"/>
    <s v="paid"/>
  </r>
  <r>
    <s v="T008B401P001"/>
    <s v="SD"/>
    <s v="Bangun Datar"/>
    <s v="https://drive.google.com/open?id=1qGRE_mZ0vnGDGZwv2-EBVJ6IsEv6uU1E"/>
    <s v="T008B401P001"/>
    <d v="2021-09-22T00:00:00"/>
    <d v="2021-09-23T00:00:00"/>
    <n v="-641"/>
    <x v="119"/>
    <n v="0"/>
    <x v="0"/>
    <s v="Accepted"/>
    <n v="0"/>
    <s v="no"/>
    <n v="15000"/>
    <s v="paid"/>
  </r>
  <r>
    <s v="T008M802P001"/>
    <s v="SD"/>
    <s v="Bangun Datar"/>
    <s v="https://drive.google.com/open?id=1RmGnaiRrpwJTne7RRUlXfaiWZyAMrrRx"/>
    <s v="T008M802P001"/>
    <d v="2021-09-22T00:00:00"/>
    <d v="2021-09-23T00:00:00"/>
    <n v="-641"/>
    <x v="119"/>
    <n v="0"/>
    <x v="0"/>
    <s v="Accepted"/>
    <n v="0"/>
    <s v="no"/>
    <n v="15000"/>
    <s v="paid"/>
  </r>
  <r>
    <s v="T008P602P001"/>
    <s v="SD"/>
    <s v="Bangun Datar"/>
    <s v="https://drive.google.com/open?id=1b6YYNrgAqOMvgjIG9EKukYnUFZC6rP28"/>
    <s v="T008P602P001"/>
    <d v="2021-09-22T00:00:00"/>
    <d v="2021-09-23T00:00:00"/>
    <n v="-641"/>
    <x v="119"/>
    <n v="0"/>
    <x v="0"/>
    <s v="Accepted"/>
    <n v="0"/>
    <s v="no"/>
    <n v="15000"/>
    <s v="paid"/>
  </r>
  <r>
    <s v="S0541112E003"/>
    <s v="SD"/>
    <s v="Sistem Koordinat"/>
    <s v="https://drive.google.com/open?id=1CqjfRefOTOgZ4SZTpYcV3ppdYS8IxYK-"/>
    <s v="S0541112E003"/>
    <d v="2021-09-17T00:00:00"/>
    <d v="2021-09-26T00:00:00"/>
    <n v="-638"/>
    <x v="120"/>
    <n v="0"/>
    <x v="0"/>
    <s v="Accepted"/>
    <n v="0"/>
    <s v="no"/>
    <n v="15000"/>
    <s v="paid"/>
  </r>
  <r>
    <s v="S0441941E003"/>
    <s v="SD"/>
    <s v="Sistem Koordinat"/>
    <s v="https://drive.google.com/open?id=1lBnWWxpyUtUxGXb_x6yleKeILv6lQgrv"/>
    <s v="S0441941E003"/>
    <d v="2021-09-20T00:00:00"/>
    <d v="2021-09-26T00:00:00"/>
    <n v="-638"/>
    <x v="120"/>
    <n v="0"/>
    <x v="0"/>
    <s v="Accepted"/>
    <n v="0"/>
    <s v="yes"/>
    <n v="18000"/>
    <s v="paid"/>
  </r>
  <r>
    <s v="S0180293E001"/>
    <s v="SD"/>
    <s v="Satuan Baku"/>
    <s v="https://drive.google.com/open?id=1EeL4KjrVCvXTGQ9IfikJKqP0GtQPzpn-"/>
    <s v="S0180293E001"/>
    <d v="2021-09-20T00:00:00"/>
    <d v="2021-09-26T00:00:00"/>
    <n v="-638"/>
    <x v="120"/>
    <n v="0"/>
    <x v="0"/>
    <s v="Accepted"/>
    <n v="0"/>
    <s v="yes"/>
    <n v="18000"/>
    <s v="paid"/>
  </r>
  <r>
    <s v="S0292041a002"/>
    <s v="SD"/>
    <s v="Operasi Bilangan Pecahan"/>
    <s v="https://drive.google.com/open?id=1ag4NQor9u-bldCJUmSjgWGlNDBVb5pLX"/>
    <s v="S0292041a002"/>
    <d v="2021-09-20T00:00:00"/>
    <d v="2021-09-26T00:00:00"/>
    <n v="-638"/>
    <x v="120"/>
    <n v="0"/>
    <x v="0"/>
    <s v="Accepted"/>
    <n v="0"/>
    <s v="yes"/>
    <n v="18000"/>
    <s v="paid"/>
  </r>
  <r>
    <s v="S0510552E001"/>
    <s v="SD"/>
    <s v="Operasi Bilangan Pecahan"/>
    <s v="https://drive.google.com/open?id=1n4cSjO2wgBqX4S5TQLf4kq9J-rjejNBL"/>
    <s v="S0510552E001"/>
    <d v="2021-09-20T00:00:00"/>
    <d v="2021-09-26T00:00:00"/>
    <n v="-638"/>
    <x v="120"/>
    <n v="0"/>
    <x v="0"/>
    <s v="Accepted"/>
    <n v="0"/>
    <s v="yes"/>
    <n v="18000"/>
    <s v="paid"/>
  </r>
  <r>
    <s v="S0300361E002"/>
    <s v="SD"/>
    <s v="Bangun Datar"/>
    <s v="https://drive.google.com/open?id=1fOJ3HaE9yMdzwsRP8795-CF01sk-Q4az"/>
    <s v="S0300361E002"/>
    <d v="2021-09-20T00:00:00"/>
    <d v="2021-09-26T00:00:00"/>
    <n v="-638"/>
    <x v="120"/>
    <n v="0"/>
    <x v="0"/>
    <s v="Accepted"/>
    <n v="0"/>
    <s v="yes"/>
    <n v="18000"/>
    <s v="paid"/>
  </r>
  <r>
    <s v="V0130783E001"/>
    <s v="SD"/>
    <s v="Bangun Ruang"/>
    <s v="https://drive.google.com/open?id=1VACElBYpkV6AWBzpE1PydDdo6uLSPfKq"/>
    <s v="V0130783E001"/>
    <d v="2021-09-20T00:00:00"/>
    <d v="2021-09-26T00:00:00"/>
    <n v="-638"/>
    <x v="120"/>
    <n v="0"/>
    <x v="0"/>
    <s v="Accepted"/>
    <n v="0"/>
    <s v="yes"/>
    <n v="18000"/>
    <s v="paid"/>
  </r>
  <r>
    <s v="S0290292a002"/>
    <s v="SD"/>
    <s v="Operasi Bilangan Pecahan"/>
    <s v="v"/>
    <s v="S0290292a002"/>
    <d v="2021-09-20T00:00:00"/>
    <d v="2021-09-26T00:00:00"/>
    <n v="-638"/>
    <x v="120"/>
    <n v="0"/>
    <x v="0"/>
    <s v="Accepted"/>
    <n v="0"/>
    <s v="yes"/>
    <n v="18000"/>
    <s v="paid"/>
  </r>
  <r>
    <s v="V0130673E002"/>
    <s v="SD"/>
    <s v="Bangun Datar"/>
    <s v="https://drive.google.com/open?id=1oa4okxbPxByDI2o4gomCclkf9J2zdG10"/>
    <s v="V0130673E002"/>
    <d v="2021-09-20T00:00:00"/>
    <d v="2021-09-26T00:00:00"/>
    <n v="-638"/>
    <x v="120"/>
    <n v="0"/>
    <x v="0"/>
    <s v="Accepted"/>
    <n v="0"/>
    <s v="yes"/>
    <n v="18000"/>
    <s v="paid"/>
  </r>
  <r>
    <s v="T0059601P001"/>
    <s v="SD"/>
    <s v="Operasi Bilangan Pecahan"/>
    <s v="https://drive.google.com/open?id=1nPJ0ZzmFe620gHmJlf2QuBNdObyiXvEf"/>
    <s v="T0059601P001"/>
    <d v="2021-09-20T00:00:00"/>
    <d v="2021-09-26T00:00:00"/>
    <n v="-638"/>
    <x v="120"/>
    <n v="0"/>
    <x v="0"/>
    <s v="Accepted"/>
    <n v="0"/>
    <s v="yes"/>
    <n v="18000"/>
    <s v="paid"/>
  </r>
  <r>
    <s v="S0681241E001"/>
    <s v="SD"/>
    <s v="Statistika 6"/>
    <s v="https://drive.google.com/open?id=1lK-860nZzX_eg7BQj8p8rks0v0DtnC9U"/>
    <s v="S0681241E001"/>
    <d v="2021-09-20T00:00:00"/>
    <d v="2021-09-26T00:00:00"/>
    <n v="-638"/>
    <x v="120"/>
    <n v="0"/>
    <x v="0"/>
    <s v="Accepted"/>
    <n v="0"/>
    <s v="yes"/>
    <n v="18000"/>
    <s v="paid"/>
  </r>
  <r>
    <s v="T008A502P001"/>
    <s v="SD"/>
    <s v="Bangun Datar"/>
    <s v="https://drive.google.com/open?id=15iX9VHnPpPcCECphYSvDzsjzFlvXllty"/>
    <s v="T008A502P001"/>
    <d v="2021-09-22T00:00:00"/>
    <d v="2021-09-26T00:00:00"/>
    <n v="-638"/>
    <x v="120"/>
    <n v="0"/>
    <x v="0"/>
    <s v="Accepted"/>
    <n v="0"/>
    <s v="yes"/>
    <n v="18000"/>
    <s v="paid"/>
  </r>
  <r>
    <s v="S0821211E001"/>
    <s v="SD"/>
    <s v="Bangun Datar"/>
    <s v="https://drive.google.com/open?id=1KUrxcWunCVJC5rv-QniTlhEgJ5XYqDkd"/>
    <s v="S0821211E001"/>
    <d v="2021-09-24T00:00:00"/>
    <d v="2021-09-26T00:00:00"/>
    <n v="-638"/>
    <x v="120"/>
    <n v="0"/>
    <x v="0"/>
    <s v="Accepted"/>
    <n v="0"/>
    <s v="no"/>
    <n v="15000"/>
    <s v="paid"/>
  </r>
  <r>
    <s v="S0441852c004"/>
    <s v="SD"/>
    <s v="Sistem Koordinat"/>
    <s v="https://drive.google.com/open?id=1wBzyBwkgQ6_uA6DLPv32XEKAB-lXCL5D"/>
    <s v="S0441852c004"/>
    <d v="2021-09-24T00:00:00"/>
    <d v="2021-09-26T00:00:00"/>
    <n v="-638"/>
    <x v="120"/>
    <n v="0"/>
    <x v="0"/>
    <s v="Accepted"/>
    <n v="0"/>
    <s v="no"/>
    <n v="15000"/>
    <s v="paid"/>
  </r>
  <r>
    <s v="S0861151E014"/>
    <s v="SD"/>
    <s v="Perpangkatan Dan Akar"/>
    <s v="https://drive.google.com/open?id=1xdAlJEn9owlg0HlWdj7KqponsCMRNV03"/>
    <s v="S0861151E014"/>
    <d v="2021-09-24T00:00:00"/>
    <d v="2021-09-26T00:00:00"/>
    <n v="-638"/>
    <x v="120"/>
    <n v="0"/>
    <x v="0"/>
    <s v="Accepted"/>
    <n v="0"/>
    <s v="no"/>
    <n v="15000"/>
    <s v="paid"/>
  </r>
  <r>
    <s v="T0300106P002"/>
    <s v="SD"/>
    <s v="Bilangan Bulat"/>
    <s v="https://drive.google.com/open?id=1ASFjAanNScVe4AwSZV3QwAAussL8SUj8"/>
    <s v="T0300106P002"/>
    <d v="2021-09-24T00:00:00"/>
    <d v="2021-09-26T00:00:00"/>
    <n v="-638"/>
    <x v="120"/>
    <n v="0"/>
    <x v="0"/>
    <s v="Accepted"/>
    <n v="0"/>
    <s v="no"/>
    <n v="15000"/>
    <s v="paid"/>
  </r>
  <r>
    <s v="T0300501P005"/>
    <s v="SD"/>
    <s v="Bilangan Bulat"/>
    <s v="https://drive.google.com/open?id=1z03GNwbRzjcnxDaVC-W5wBbGR0iZX1ep"/>
    <s v="T0300501P005"/>
    <d v="2021-09-24T00:00:00"/>
    <d v="2021-09-26T00:00:00"/>
    <n v="-638"/>
    <x v="120"/>
    <n v="0"/>
    <x v="0"/>
    <s v="Accepted"/>
    <n v="0"/>
    <s v="no"/>
    <n v="15000"/>
    <s v="paid"/>
  </r>
  <r>
    <s v="T0200205P013"/>
    <s v="SD"/>
    <s v="Bilangan Bulat"/>
    <s v="https://drive.google.com/open?id=1tIjwwQ2EURceD0x1vo33mNB6WJYE6RHJ"/>
    <s v="T0200205P013"/>
    <d v="2021-09-24T00:00:00"/>
    <d v="2021-09-26T00:00:00"/>
    <n v="-638"/>
    <x v="120"/>
    <n v="0"/>
    <x v="0"/>
    <s v="Accepted"/>
    <n v="0"/>
    <s v="no"/>
    <n v="15000"/>
    <s v="paid"/>
  </r>
  <r>
    <s v="T0200203P015"/>
    <s v="SD"/>
    <s v="Bilangan Bulat"/>
    <s v="https://drive.google.com/open?id=1l6m0ry9ykIS81eUp06UsgUu5dJW1GT7Z"/>
    <s v="T0200203P015"/>
    <d v="2021-09-24T00:00:00"/>
    <d v="2021-09-26T00:00:00"/>
    <n v="-638"/>
    <x v="120"/>
    <n v="0"/>
    <x v="0"/>
    <s v="Accepted"/>
    <n v="0"/>
    <s v="no"/>
    <n v="15000"/>
    <s v="paid"/>
  </r>
  <r>
    <s v="T0210605P031"/>
    <s v="SD"/>
    <s v="Bilangan Bulat"/>
    <s v="https://drive.google.com/open?id=1tOl78xowU49h2RbEkqvOr55ghUF9ZkyM"/>
    <s v="T0210605P031"/>
    <d v="2021-09-24T00:00:00"/>
    <d v="2021-09-26T00:00:00"/>
    <n v="-638"/>
    <x v="120"/>
    <n v="0"/>
    <x v="0"/>
    <s v="Accepted"/>
    <n v="0"/>
    <s v="no"/>
    <n v="15000"/>
    <s v="paid"/>
  </r>
  <r>
    <s v="T0210209P003"/>
    <s v="SD"/>
    <s v="Bilangan Bulat"/>
    <s v="https://drive.google.com/open?id=1j0F2XF5mkXLvuSe_TO2649q7IgzSHx_W"/>
    <s v="T0210209P003"/>
    <d v="2021-09-24T00:00:00"/>
    <d v="2021-09-26T00:00:00"/>
    <n v="-638"/>
    <x v="120"/>
    <n v="0"/>
    <x v="0"/>
    <s v="Accepted"/>
    <n v="0"/>
    <s v="no"/>
    <n v="15000"/>
    <s v="paid"/>
  </r>
  <r>
    <s v="T0230153P002"/>
    <s v="SD"/>
    <s v="Bilangan Bulat"/>
    <s v="https://drive.google.com/open?id=1Svgd9pWyGf-GZImXAJ_XmUjHCOaHYNds"/>
    <s v="T0230153P002"/>
    <d v="2021-09-24T00:00:00"/>
    <d v="2021-09-26T00:00:00"/>
    <n v="-638"/>
    <x v="120"/>
    <n v="0"/>
    <x v="0"/>
    <s v="Accepted"/>
    <n v="0"/>
    <s v="no"/>
    <n v="15000"/>
    <s v="paid"/>
  </r>
  <r>
    <s v="T0230157P003"/>
    <s v="SD"/>
    <s v="Bilangan Bulat"/>
    <s v="https://drive.google.com/open?id=1riEyGBx3dJvWnjXJczLeNJYH1uWX2ATx"/>
    <s v="T0230157P003"/>
    <d v="2021-09-24T00:00:00"/>
    <d v="2021-09-26T00:00:00"/>
    <n v="-638"/>
    <x v="120"/>
    <n v="0"/>
    <x v="0"/>
    <s v="Accepted"/>
    <n v="0"/>
    <s v="no"/>
    <n v="15000"/>
    <s v="paid"/>
  </r>
  <r>
    <s v="T0230458P013"/>
    <s v="SD"/>
    <s v="Bilangan Bulat"/>
    <s v="https://drive.google.com/open?id=1yjqOsRjMPAUZmovPp6rC_-961WhLR4RP"/>
    <s v="T0230458P013"/>
    <d v="2021-09-24T00:00:00"/>
    <d v="2021-09-26T00:00:00"/>
    <n v="-638"/>
    <x v="120"/>
    <n v="0"/>
    <x v="0"/>
    <s v="Accepted"/>
    <n v="0"/>
    <s v="no"/>
    <n v="15000"/>
    <s v="paid"/>
  </r>
  <r>
    <s v="S0840031E005"/>
    <s v="SD"/>
    <s v="Pecahan"/>
    <s v="https://drive.google.com/open?id=14l5D-LXpRI1iBvJWrBe-kXRc-8jGTi8x"/>
    <s v="S0840031E005"/>
    <d v="2021-09-24T00:00:00"/>
    <d v="2021-09-26T00:00:00"/>
    <n v="-638"/>
    <x v="120"/>
    <n v="0"/>
    <x v="0"/>
    <s v="Accepted"/>
    <n v="0"/>
    <s v="no"/>
    <n v="15000"/>
    <s v="paid"/>
  </r>
  <r>
    <s v="S0840061b001"/>
    <s v="SD"/>
    <s v="Pecahan"/>
    <s v="https://drive.google.com/open?id=1CBWrtxK0E-CyYkORPaMD3yGw3hGb3nMY"/>
    <s v="S0840061b001"/>
    <d v="2021-09-24T00:00:00"/>
    <d v="2021-09-26T00:00:00"/>
    <n v="-638"/>
    <x v="120"/>
    <n v="0"/>
    <x v="0"/>
    <s v="Accepted"/>
    <n v="0"/>
    <s v="no"/>
    <n v="15000"/>
    <s v="paid"/>
  </r>
  <r>
    <s v="S0840061d001"/>
    <s v="SD"/>
    <s v="Pecahan"/>
    <s v="https://drive.google.com/open?id=1vc0o7o3QiJnZsCuuxKU3JZIVWyseFD_M"/>
    <s v="S0840061d001"/>
    <d v="2021-09-24T00:00:00"/>
    <d v="2021-09-26T00:00:00"/>
    <n v="-638"/>
    <x v="120"/>
    <n v="0"/>
    <x v="0"/>
    <s v="Accepted"/>
    <n v="0"/>
    <s v="no"/>
    <n v="15000"/>
    <s v="paid"/>
  </r>
  <r>
    <s v="S0840061a004"/>
    <s v="SD"/>
    <s v="Pecahan"/>
    <s v="https://drive.google.com/open?id=1g-tjQ2fpK_Ptu4Dv01fLPDG4pNGLI_1V"/>
    <s v="S0840061a004"/>
    <d v="2021-09-24T00:00:00"/>
    <d v="2021-09-26T00:00:00"/>
    <n v="-638"/>
    <x v="120"/>
    <n v="0"/>
    <x v="0"/>
    <s v="Accepted"/>
    <n v="0"/>
    <s v="no"/>
    <n v="15000"/>
    <s v="paid"/>
  </r>
  <r>
    <s v="S0840061c004"/>
    <s v="SD"/>
    <s v="Pecahan"/>
    <s v="https://drive.google.com/open?id=1r4Rg4VplwsGZ5lmvNTukKqxqGz8FQl2q"/>
    <s v="S0840061c004"/>
    <d v="2021-09-24T00:00:00"/>
    <d v="2021-09-26T00:00:00"/>
    <n v="-638"/>
    <x v="120"/>
    <n v="0"/>
    <x v="0"/>
    <s v="Accepted"/>
    <n v="0"/>
    <s v="no"/>
    <n v="15000"/>
    <s v="paid"/>
  </r>
  <r>
    <s v="S0840061E005"/>
    <s v="SD"/>
    <s v="Pecahan"/>
    <s v="https://drive.google.com/open?id=1lifQsf74gHg4dgzm5BsqEcy1X2fZNTBO"/>
    <s v="S0840061E005"/>
    <d v="2021-09-24T00:00:00"/>
    <d v="2021-09-26T00:00:00"/>
    <n v="-638"/>
    <x v="120"/>
    <n v="0"/>
    <x v="0"/>
    <s v="Accepted"/>
    <n v="0"/>
    <s v="no"/>
    <n v="15000"/>
    <s v="paid"/>
  </r>
  <r>
    <s v="S0840091a002"/>
    <s v="SD"/>
    <s v="Pecahan"/>
    <s v="https://drive.google.com/open?id=1CO-DmxZVBWIpsVhevWK1dCzj1FD7JqZ9"/>
    <s v="S0840091a002"/>
    <d v="2021-09-24T00:00:00"/>
    <d v="2021-09-26T00:00:00"/>
    <n v="-638"/>
    <x v="120"/>
    <n v="0"/>
    <x v="0"/>
    <s v="Accepted"/>
    <n v="0"/>
    <s v="no"/>
    <n v="15000"/>
    <s v="paid"/>
  </r>
  <r>
    <s v="S0840091a003"/>
    <s v="SD"/>
    <s v="Pecahan"/>
    <s v="https://drive.google.com/open?id=13CgA9K6eHiwqsaghCyWngo-6DSk1G_3A"/>
    <s v="S0840091a003"/>
    <d v="2021-09-24T00:00:00"/>
    <d v="2021-09-26T00:00:00"/>
    <n v="-638"/>
    <x v="120"/>
    <n v="0"/>
    <x v="0"/>
    <s v="Accepted"/>
    <n v="0"/>
    <s v="no"/>
    <n v="15000"/>
    <s v="paid"/>
  </r>
  <r>
    <s v="S0840091d003"/>
    <s v="SD"/>
    <s v="Pecahan"/>
    <s v="https://drive.google.com/open?id=1GtATdvgJ-ffj5KkguedVinq8qGL92SeW"/>
    <s v="S0840091d003"/>
    <d v="2021-09-24T00:00:00"/>
    <d v="2021-09-26T00:00:00"/>
    <n v="-638"/>
    <x v="120"/>
    <n v="0"/>
    <x v="0"/>
    <s v="Accepted"/>
    <n v="0"/>
    <s v="no"/>
    <n v="15000"/>
    <s v="paid"/>
  </r>
  <r>
    <s v="S0840091c004"/>
    <s v="SD"/>
    <s v="Pecahan"/>
    <s v="https://drive.google.com/open?id=1eeFgdLgb3m-gWdE3yNIaxW2tYrfuwNOP"/>
    <s v="S0840091c004"/>
    <d v="2021-09-24T00:00:00"/>
    <d v="2021-09-26T00:00:00"/>
    <n v="-638"/>
    <x v="120"/>
    <n v="0"/>
    <x v="0"/>
    <s v="Accepted"/>
    <n v="0"/>
    <s v="no"/>
    <n v="15000"/>
    <s v="paid"/>
  </r>
  <r>
    <s v="S0051004E012"/>
    <s v="SD"/>
    <s v="Bangun Ruang Sisi Lengkung"/>
    <s v="https://drive.google.com/open?id=1YFHsS6qxMOS4Muoto8jU_UU8pZOPvgM_"/>
    <s v="S0051004E012"/>
    <d v="2021-09-24T00:00:00"/>
    <d v="2021-09-26T00:00:00"/>
    <n v="-638"/>
    <x v="120"/>
    <n v="0"/>
    <x v="0"/>
    <s v="Accepted"/>
    <n v="0"/>
    <s v="no"/>
    <n v="15000"/>
    <s v="paid"/>
  </r>
  <r>
    <s v="S0471922E002"/>
    <s v="SD"/>
    <s v="Operasi Bilangan Pecahan"/>
    <s v="https://drive.google.com/open?id=149y0slhH11DpezQHyW6vgBzWer8Jqjhu"/>
    <s v="S0471922E002"/>
    <d v="2021-09-24T00:00:00"/>
    <d v="2021-09-26T00:00:00"/>
    <n v="-638"/>
    <x v="120"/>
    <n v="0"/>
    <x v="0"/>
    <s v="Accepted"/>
    <n v="0"/>
    <s v="no"/>
    <n v="15000"/>
    <s v="paid"/>
  </r>
  <r>
    <s v="T0204601P004"/>
    <s v="SD"/>
    <s v="Skala"/>
    <s v="https://drive.google.com/open?id=1-zOlu9PQ1oUrf6iz5B9oR-46kVWluvvc"/>
    <s v="T0204601P004"/>
    <d v="2021-09-24T00:00:00"/>
    <d v="2021-10-10T00:00:00"/>
    <n v="-624"/>
    <x v="120"/>
    <n v="640"/>
    <x v="2"/>
    <s v="Rejected"/>
    <n v="1"/>
    <s v="no"/>
    <n v="0"/>
    <s v="not yet"/>
  </r>
  <r>
    <s v="S0491361E001"/>
    <s v="SD"/>
    <s v="Sistem Koordinat"/>
    <s v="https://drive.google.com/open?id=1fC8bcjmciR--uqJdCePHy8ZATXR4eTK2"/>
    <s v="S0491361E001"/>
    <d v="2021-09-20T00:00:00"/>
    <d v="2021-10-10T00:00:00"/>
    <n v="-624"/>
    <x v="121"/>
    <n v="644"/>
    <x v="3"/>
    <s v="Rejected"/>
    <n v="1"/>
    <s v="no"/>
    <n v="0"/>
    <s v="not yet"/>
  </r>
  <r>
    <s v="S0520141E002"/>
    <s v="SD"/>
    <s v="Bilangan Bulat"/>
    <s v="https://drive.google.com/open?id=1ws12otnnhEom_pu2FQ8gPwEsKQhyAS_b"/>
    <s v="S0520141E002"/>
    <d v="2021-09-27T00:00:00"/>
    <d v="2021-09-30T00:00:00"/>
    <n v="-634"/>
    <x v="122"/>
    <n v="0"/>
    <x v="0"/>
    <s v="Accepted"/>
    <n v="0"/>
    <s v="no"/>
    <n v="15000"/>
    <s v="paid"/>
  </r>
  <r>
    <s v="T019C501P001"/>
    <s v="SD"/>
    <s v="Kecepatan Dan Debit"/>
    <s v="https://drive.google.com/open?id=1V4p3cDFGRYwEaqHGaBRIs9b1nzj8f7Ce"/>
    <s v="T019C501P001"/>
    <d v="2021-09-27T00:00:00"/>
    <d v="2021-09-30T00:00:00"/>
    <n v="-634"/>
    <x v="122"/>
    <n v="0"/>
    <x v="0"/>
    <s v="Accepted"/>
    <n v="0"/>
    <s v="no"/>
    <n v="15000"/>
    <s v="paid"/>
  </r>
  <r>
    <s v="T008M801P001"/>
    <s v="SD"/>
    <s v="Bilangan Bulat"/>
    <s v="https://drive.google.com/open?id=1T2Axn8eYaz9T3s6y4XUj8HKev1dZePvb"/>
    <s v="T008M801P001"/>
    <d v="2021-09-27T00:00:00"/>
    <d v="2021-09-30T00:00:00"/>
    <n v="-634"/>
    <x v="122"/>
    <n v="0"/>
    <x v="0"/>
    <s v="Accepted"/>
    <n v="0"/>
    <s v="no"/>
    <n v="15000"/>
    <s v="paid"/>
  </r>
  <r>
    <s v="T006F203P001"/>
    <s v="SD"/>
    <s v="Bilangan Bulat"/>
    <s v="https://drive.google.com/open?id=1Snl-_mo_10PGVZmtuhiEcTdt4ThnrU_B"/>
    <s v="T006F203P001"/>
    <d v="2021-09-27T00:00:00"/>
    <d v="2021-09-30T00:00:00"/>
    <n v="-634"/>
    <x v="122"/>
    <n v="0"/>
    <x v="0"/>
    <s v="Accepted"/>
    <n v="0"/>
    <s v="no"/>
    <n v="15000"/>
    <s v="paid"/>
  </r>
  <r>
    <s v="T0065405P001"/>
    <s v="SD"/>
    <s v="Bilangan Bulat"/>
    <s v="https://drive.google.com/open?id=1sJP93npVeJmgkAW3T8u7GwnW0koEu-Mx"/>
    <s v="T0065405P001"/>
    <d v="2021-09-27T00:00:00"/>
    <d v="2021-09-30T00:00:00"/>
    <n v="-634"/>
    <x v="122"/>
    <n v="0"/>
    <x v="0"/>
    <s v="Accepted"/>
    <n v="0"/>
    <s v="no"/>
    <n v="15000"/>
    <s v="paid"/>
  </r>
  <r>
    <s v="T022O901E001"/>
    <s v="SD"/>
    <s v="Kecepatan Dan Debit"/>
    <s v="https://drive.google.com/open?id=1SDjdBKtbgAlpYlAthSdB7gQRxD2OkN8B"/>
    <s v="T022O901E001"/>
    <d v="2021-09-27T00:00:00"/>
    <d v="2021-09-30T00:00:00"/>
    <n v="-634"/>
    <x v="122"/>
    <n v="0"/>
    <x v="0"/>
    <s v="Accepted"/>
    <n v="0"/>
    <s v="no"/>
    <n v="15000"/>
    <s v="paid"/>
  </r>
  <r>
    <s v="S0541191E001"/>
    <s v="SD"/>
    <s v="Pengumpulan Dan Penyajian Data"/>
    <s v="https://drive.google.com/open?id=1Ed9QGQe4NwT0hR4UrnpJXONUWpRJ0M2U"/>
    <s v="S0541191E001"/>
    <d v="2021-09-13T00:00:00"/>
    <d v="2021-10-03T00:00:00"/>
    <n v="-631"/>
    <x v="123"/>
    <n v="0"/>
    <x v="0"/>
    <s v="Accepted"/>
    <n v="0"/>
    <s v="no"/>
    <n v="15000"/>
    <s v="paid"/>
  </r>
  <r>
    <s v="S0212111E002"/>
    <s v="SD"/>
    <s v="Bangun Ruang"/>
    <s v="https://drive.google.com/open?id=1845lNgJ2_cI14rH1qucpdPtHPRH1X1yJ"/>
    <s v="S0212111E002"/>
    <d v="2021-09-20T00:00:00"/>
    <d v="2021-10-03T00:00:00"/>
    <n v="-631"/>
    <x v="123"/>
    <n v="0"/>
    <x v="0"/>
    <s v="Accepted"/>
    <n v="1"/>
    <s v="no"/>
    <n v="15000"/>
    <s v="paid"/>
  </r>
  <r>
    <s v="T007O801P001"/>
    <s v="SD"/>
    <s v="Aproksimasi / Pembulatan"/>
    <s v="https://drive.google.com/open?id=1cn1HHLk2agvLp3CHBALGldqvXr9mzNwv"/>
    <s v="T007O801P001"/>
    <d v="2021-09-24T00:00:00"/>
    <d v="2021-10-03T00:00:00"/>
    <n v="-631"/>
    <x v="123"/>
    <n v="640"/>
    <x v="2"/>
    <s v="Rejected"/>
    <n v="1"/>
    <s v="yes"/>
    <n v="0"/>
    <s v="not yet"/>
  </r>
  <r>
    <s v="T007O101P001"/>
    <s v="SD"/>
    <s v="Aproksimasi / Pembulatan"/>
    <s v="https://drive.google.com/open?id=1hkcriSO3F5aEHv9CGIjFo_9QSlHGcNKD"/>
    <s v="T007O101P001"/>
    <d v="2021-09-27T00:00:00"/>
    <d v="2021-10-03T00:00:00"/>
    <n v="-631"/>
    <x v="123"/>
    <n v="637"/>
    <x v="2"/>
    <s v="Rejected"/>
    <n v="1"/>
    <s v="no"/>
    <n v="0"/>
    <s v="not yet"/>
  </r>
  <r>
    <s v="T0205001P008"/>
    <s v="SD"/>
    <s v="Skala"/>
    <s v="https://drive.google.com/open?id=1jzz7gzoRwo9M-Fp3HSrlBQ4tt6ChhaAG"/>
    <s v="T0205001P008"/>
    <d v="2021-09-27T00:00:00"/>
    <d v="2021-10-03T00:00:00"/>
    <n v="-631"/>
    <x v="123"/>
    <n v="0"/>
    <x v="0"/>
    <s v="Accepted"/>
    <n v="0"/>
    <s v="no"/>
    <n v="15000"/>
    <s v="paid"/>
  </r>
  <r>
    <s v="V0030673E001"/>
    <s v="SD"/>
    <s v="Pengumpulan Dan Penyajian Data"/>
    <s v="https://drive.google.com/open?id=1FlHqkOYyfCuFy-9iiRnJ0m4PWPWP0Ka5"/>
    <s v="V0030673E001"/>
    <d v="2021-09-27T00:00:00"/>
    <d v="2021-10-03T00:00:00"/>
    <n v="-631"/>
    <x v="123"/>
    <n v="0"/>
    <x v="0"/>
    <s v="Accepted"/>
    <n v="0"/>
    <s v="no"/>
    <n v="15000"/>
    <s v="paid"/>
  </r>
  <r>
    <s v="T0068801P001"/>
    <s v="SD"/>
    <s v="Bilangan Bulat"/>
    <s v="https://drive.google.com/open?id=1w3CHO3P30C--5JGxb5UZL4Vleze2_m_O"/>
    <s v="T0068801P001"/>
    <d v="2021-09-27T00:00:00"/>
    <d v="2021-10-03T00:00:00"/>
    <n v="-631"/>
    <x v="123"/>
    <n v="0"/>
    <x v="0"/>
    <s v="Accepted"/>
    <n v="0"/>
    <s v="no"/>
    <n v="15000"/>
    <s v="paid"/>
  </r>
  <r>
    <s v="T0404518E058"/>
    <s v="SD"/>
    <s v="Skala"/>
    <s v="https://drive.google.com/open?id=1UdFdSbMLsOpKDnS1ju9kbCwiXr-OOZDz"/>
    <s v="T0404518E058"/>
    <d v="2021-09-27T00:00:00"/>
    <d v="2021-10-03T00:00:00"/>
    <n v="-631"/>
    <x v="123"/>
    <n v="0"/>
    <x v="0"/>
    <s v="Accepted"/>
    <n v="0"/>
    <s v="no"/>
    <n v="15000"/>
    <s v="paid"/>
  </r>
  <r>
    <s v="T0389601E002"/>
    <s v="SD"/>
    <s v="Kecepatan Dan Debit"/>
    <s v="https://drive.google.com/open?id=1tFhroAPc59yZzTkjr8BbfjlimDOfbCSr"/>
    <s v="T0389601E002"/>
    <d v="2021-09-27T00:00:00"/>
    <d v="2021-10-03T00:00:00"/>
    <n v="-631"/>
    <x v="123"/>
    <n v="0"/>
    <x v="0"/>
    <s v="Accepted"/>
    <n v="0"/>
    <s v="no"/>
    <n v="15000"/>
    <s v="paid"/>
  </r>
  <r>
    <s v="V0220301P002"/>
    <s v="SD"/>
    <s v="Skala"/>
    <s v="https://drive.google.com/open?id=1suTEIps2Sway6XIzyBHI1V5b7zUiypl1"/>
    <s v="V0220301P002"/>
    <d v="2021-09-27T00:00:00"/>
    <d v="2021-10-03T00:00:00"/>
    <n v="-631"/>
    <x v="123"/>
    <n v="0"/>
    <x v="0"/>
    <s v="Accepted"/>
    <n v="0"/>
    <s v="no"/>
    <n v="15000"/>
    <s v="paid"/>
  </r>
  <r>
    <s v="T0092003E001"/>
    <s v="SD"/>
    <s v="Kecepatan Dan Debit"/>
    <s v="https://drive.google.com/open?id=1ykQ5-urO9hmrOT31bobwcoPvkOUiXC8j"/>
    <s v="T0092003E001"/>
    <d v="2021-10-01T00:00:00"/>
    <d v="2021-10-03T00:00:00"/>
    <n v="-631"/>
    <x v="123"/>
    <n v="0"/>
    <x v="0"/>
    <s v="Accepted"/>
    <n v="0"/>
    <s v="no"/>
    <n v="15000"/>
    <s v="paid"/>
  </r>
  <r>
    <s v="S0850981E003"/>
    <s v="SD"/>
    <s v="KPK dan FPB"/>
    <s v="https://drive.google.com/open?id=1YgAUcgLMLwfuynfB3rCiPDMjY0mpGOC7"/>
    <s v="S0850981E003"/>
    <d v="2021-10-01T00:00:00"/>
    <d v="2021-10-03T00:00:00"/>
    <n v="-631"/>
    <x v="123"/>
    <n v="633"/>
    <x v="2"/>
    <s v="Rejected"/>
    <n v="1"/>
    <s v="no"/>
    <n v="0"/>
    <s v="not yet"/>
  </r>
  <r>
    <s v="S0880651P003"/>
    <s v="SD"/>
    <s v="KPK dan FPB"/>
    <s v="https://drive.google.com/open?id=1YADB_QQjDYnWECiVv9adqdFJCjWCr1ye"/>
    <s v="S0880651P003"/>
    <d v="2021-10-01T00:00:00"/>
    <d v="2021-10-03T00:00:00"/>
    <n v="-631"/>
    <x v="123"/>
    <n v="633"/>
    <x v="2"/>
    <s v="Rejected"/>
    <n v="1"/>
    <s v="no"/>
    <n v="0"/>
    <s v="not yet"/>
  </r>
  <r>
    <s v="U0010291E001"/>
    <s v="SD"/>
    <s v="Pecahan"/>
    <s v="https://drive.google.com/open?id=1Xx7D319Ryg4oh029fIRqZ-6FxLCXrha3"/>
    <s v="U0010291E001"/>
    <d v="2021-10-01T00:00:00"/>
    <d v="2021-10-03T00:00:00"/>
    <n v="-631"/>
    <x v="123"/>
    <n v="0"/>
    <x v="0"/>
    <s v="Accepted"/>
    <n v="0"/>
    <s v="no"/>
    <n v="15000"/>
    <s v="paid"/>
  </r>
  <r>
    <s v="T0170454E004"/>
    <s v="SD"/>
    <s v="Operasi Bilangan Pecahan"/>
    <s v="https://drive.google.com/open?id=1xuBVdbXYZN6drYP7a6etJ-41BOi-8ohj"/>
    <s v="T0170454E004"/>
    <d v="2021-10-01T00:00:00"/>
    <d v="2021-10-03T00:00:00"/>
    <n v="-631"/>
    <x v="123"/>
    <n v="0"/>
    <x v="0"/>
    <s v="Accepted"/>
    <n v="0"/>
    <s v="no"/>
    <n v="15000"/>
    <s v="paid"/>
  </r>
  <r>
    <s v="U0010761E004"/>
    <s v="SD"/>
    <s v="Operasi Bilangan Pecahan"/>
    <s v="https://drive.google.com/open?id=1xpIKWHT3OjEISvNx_Fszg0gxW-D7IXfc"/>
    <s v="U0010761E004"/>
    <d v="2021-10-01T00:00:00"/>
    <d v="2021-10-03T00:00:00"/>
    <n v="-631"/>
    <x v="123"/>
    <n v="0"/>
    <x v="0"/>
    <s v="Accepted"/>
    <n v="0"/>
    <s v="no"/>
    <n v="15000"/>
    <s v="paid"/>
  </r>
  <r>
    <s v="V0213212E004"/>
    <s v="SD"/>
    <s v="KPK dan FPB"/>
    <s v="https://drive.google.com/open?id=1xKeerG785CasUo6-5vbCUNUdDku0Mrvp"/>
    <s v="V0213212E004"/>
    <d v="2021-10-01T00:00:00"/>
    <d v="2021-10-03T00:00:00"/>
    <n v="-631"/>
    <x v="123"/>
    <n v="0"/>
    <x v="0"/>
    <s v="Accepted"/>
    <n v="0"/>
    <s v="no"/>
    <n v="15000"/>
    <s v="paid"/>
  </r>
  <r>
    <s v="S0900693E001"/>
    <s v="SD"/>
    <s v="Operasi Bilangan Pecahan"/>
    <s v="https://drive.google.com/open?id=1XIQzeJ-1lIjUiQgQ65cAvG2aiKS_jF8j"/>
    <s v="S0900693E001"/>
    <d v="2021-10-01T00:00:00"/>
    <d v="2021-10-03T00:00:00"/>
    <n v="-631"/>
    <x v="123"/>
    <n v="0"/>
    <x v="0"/>
    <s v="Accepted"/>
    <n v="0"/>
    <s v="no"/>
    <n v="15000"/>
    <s v="paid"/>
  </r>
  <r>
    <s v="V0213212E009"/>
    <s v="SD"/>
    <s v="KPK dan FPB"/>
    <s v="https://drive.google.com/open?id=1xhV8ESuowNwapu_oCXCqqzBS_L36HbMx"/>
    <s v="V0213212E009"/>
    <d v="2021-10-01T00:00:00"/>
    <d v="2021-10-03T00:00:00"/>
    <n v="-631"/>
    <x v="123"/>
    <n v="0"/>
    <x v="0"/>
    <s v="Accepted"/>
    <n v="0"/>
    <s v="no"/>
    <n v="15000"/>
    <s v="paid"/>
  </r>
  <r>
    <s v="T007V302P001"/>
    <s v="SD"/>
    <s v="Aproksimasi / Pembulatan"/>
    <s v="https://drive.google.com/open?id=1DcCeWHSEpdN45gOoQzxaRlXpQmyld9Xz"/>
    <s v="T007V302P001"/>
    <d v="2021-09-22T00:00:00"/>
    <d v="2021-10-10T00:00:00"/>
    <n v="-624"/>
    <x v="123"/>
    <n v="642"/>
    <x v="3"/>
    <s v="Rejected"/>
    <n v="1"/>
    <s v="no"/>
    <n v="0"/>
    <s v="not yet"/>
  </r>
  <r>
    <s v="T0300508P014"/>
    <s v="SD"/>
    <s v="Operasi Bilangan Pecahan"/>
    <s v="https://drive.google.com/open?id=1CwMVuybyO9vxbSazTcj1sTKccC5Hgpzh"/>
    <s v="T0300508P014"/>
    <d v="2021-09-27T00:00:00"/>
    <d v="2021-10-10T00:00:00"/>
    <n v="-624"/>
    <x v="124"/>
    <n v="0"/>
    <x v="0"/>
    <s v="Accepted"/>
    <n v="0"/>
    <s v="yes"/>
    <n v="18000"/>
    <s v="paid"/>
  </r>
  <r>
    <s v="S0150351E002"/>
    <s v="SD"/>
    <s v="Pecahan"/>
    <s v="https://drive.google.com/open?id=16z9RgX4Jzu2uxGMzciIAwuO25VKtDiYk"/>
    <s v="S0150351E002"/>
    <d v="2021-09-27T00:00:00"/>
    <d v="2021-10-10T00:00:00"/>
    <n v="-624"/>
    <x v="124"/>
    <n v="0"/>
    <x v="0"/>
    <s v="Accepted"/>
    <n v="0"/>
    <s v="yes"/>
    <n v="18000"/>
    <s v="paid"/>
  </r>
  <r>
    <s v="S0340582E001"/>
    <s v="SD"/>
    <s v="KPK dan FPB"/>
    <s v="https://drive.google.com/open?id=1Xxm_n9C3oWsgmldMhMLNlEhiYK8dIfeZ"/>
    <s v="S0340582E001"/>
    <d v="2021-10-04T00:00:00"/>
    <d v="2021-10-10T00:00:00"/>
    <n v="-624"/>
    <x v="124"/>
    <n v="0"/>
    <x v="0"/>
    <s v="Accepted"/>
    <n v="0"/>
    <s v="no"/>
    <n v="15000"/>
    <s v="paid"/>
  </r>
  <r>
    <s v="S0870962E001"/>
    <s v="SD"/>
    <s v="Aproksimasi / Pembulatan"/>
    <s v="https://drive.google.com/open?id=1qekCf6zA0oBEfvM0JaSyW6mtBXg8QtI4"/>
    <s v="S0870962E001"/>
    <d v="2021-10-04T00:00:00"/>
    <d v="2021-10-10T00:00:00"/>
    <n v="-624"/>
    <x v="124"/>
    <n v="0"/>
    <x v="0"/>
    <s v="Accepted"/>
    <n v="0"/>
    <s v="no"/>
    <n v="15000"/>
    <s v="paid"/>
  </r>
  <r>
    <s v="S0910511E003"/>
    <s v="SD"/>
    <s v="Operasi Bilangan Pecahan"/>
    <s v="https://drive.google.com/open?id=1QCtWvaFxKwqqYSfAHCcVtJdwM86EzS1G"/>
    <s v="S0910511E003"/>
    <d v="2021-10-04T00:00:00"/>
    <d v="2021-10-10T00:00:00"/>
    <n v="-624"/>
    <x v="124"/>
    <n v="0"/>
    <x v="0"/>
    <s v="Accepted"/>
    <n v="0"/>
    <s v="no"/>
    <n v="15000"/>
    <s v="paid"/>
  </r>
  <r>
    <s v="S0880853b001"/>
    <s v="SD"/>
    <s v="Aproksimasi / Pembulatan"/>
    <s v="https://drive.google.com/open?id=1qCIbtDpi0ITimWeNwTAsGi7CXEC917x6"/>
    <s v="S0880853b001"/>
    <d v="2021-10-04T00:00:00"/>
    <d v="2021-10-10T00:00:00"/>
    <n v="-624"/>
    <x v="124"/>
    <n v="0"/>
    <x v="0"/>
    <s v="Accepted"/>
    <n v="0"/>
    <s v="no"/>
    <n v="15000"/>
    <s v="paid"/>
  </r>
  <r>
    <s v="T008G402P001"/>
    <s v="SD"/>
    <s v="Operasi Bilangan Pecahan"/>
    <s v="https://drive.google.com/open?id=1qcC84qFQZXAV8TNQwofPkKWUlwiAQ2mI"/>
    <s v="T008G402P001"/>
    <d v="2021-10-04T00:00:00"/>
    <d v="2021-10-10T00:00:00"/>
    <n v="-624"/>
    <x v="124"/>
    <n v="0"/>
    <x v="0"/>
    <s v="Accepted"/>
    <n v="0"/>
    <s v="no"/>
    <n v="15000"/>
    <s v="paid"/>
  </r>
  <r>
    <s v="S0860891E004"/>
    <s v="SD"/>
    <s v="Aproksimasi / Pembulatan"/>
    <s v="https://drive.google.com/open?id=1QawAG5ETFmYKTKKxfgwC5dVzNXKJ3NQ5"/>
    <s v="S0860891E004"/>
    <d v="2021-10-04T00:00:00"/>
    <d v="2021-10-10T00:00:00"/>
    <n v="-624"/>
    <x v="124"/>
    <n v="0"/>
    <x v="0"/>
    <s v="Accepted"/>
    <n v="0"/>
    <s v="no"/>
    <n v="15000"/>
    <s v="paid"/>
  </r>
  <r>
    <s v="S0880332E003"/>
    <s v="SD"/>
    <s v="Aproksimasi / Pembulatan"/>
    <s v="https://drive.google.com/open?id=1q84JrHm6qp7tTzoRx7v75_dgIY7x-zCy"/>
    <s v="S0880332E003"/>
    <d v="2021-10-04T00:00:00"/>
    <d v="2021-10-10T00:00:00"/>
    <n v="-624"/>
    <x v="124"/>
    <n v="0"/>
    <x v="0"/>
    <s v="Accepted"/>
    <n v="0"/>
    <s v="no"/>
    <n v="15000"/>
    <s v="paid"/>
  </r>
  <r>
    <s v="V0191402P010"/>
    <s v="SD"/>
    <s v="Perpangkatan Dan Akar"/>
    <s v="https://drive.google.com/open?id=1kl5QbVhIliXj_uK1wLGbEFjEwEdW7SD4"/>
    <s v="V0191402P010"/>
    <d v="2021-10-04T00:00:00"/>
    <d v="2021-10-10T00:00:00"/>
    <n v="-624"/>
    <x v="125"/>
    <n v="0"/>
    <x v="0"/>
    <s v="Accepted"/>
    <n v="0"/>
    <s v="no"/>
    <n v="15000"/>
    <s v="paid"/>
  </r>
  <r>
    <s v="T038B501E004"/>
    <s v="SD"/>
    <s v="Kecepatan Dan Debit"/>
    <s v="https://drive.google.com/open?id=1VaqE9jSJekITskJHkJoi2sbdHxA3dM_d"/>
    <s v="T038B501E004"/>
    <d v="2021-10-04T00:00:00"/>
    <d v="2021-10-10T00:00:00"/>
    <n v="-624"/>
    <x v="125"/>
    <n v="0"/>
    <x v="0"/>
    <s v="Accepted"/>
    <n v="0"/>
    <s v="no"/>
    <n v="15000"/>
    <s v="paid"/>
  </r>
  <r>
    <s v="T0170149P005"/>
    <s v="SD"/>
    <s v="Pecahan"/>
    <s v="https://drive.google.com/open?id=1yCOzeGGzEd5TfiCjSqaR889sw5OqT5S2"/>
    <s v="T0170149P005"/>
    <d v="2021-10-04T00:00:00"/>
    <d v="2021-10-10T00:00:00"/>
    <n v="-624"/>
    <x v="125"/>
    <n v="0"/>
    <x v="0"/>
    <s v="Accepted"/>
    <n v="0"/>
    <s v="no"/>
    <n v="15000"/>
    <s v="paid"/>
  </r>
  <r>
    <s v="T008X101P001"/>
    <s v="SD"/>
    <s v="Operasi Bilangan Pecahan"/>
    <s v="https://drive.google.com/open?id=1XD8iGjltK9Wf4eJwtpH9LtQhiB6Df_2L"/>
    <s v="T008X101P001"/>
    <d v="2021-10-04T00:00:00"/>
    <d v="2021-10-10T00:00:00"/>
    <n v="-624"/>
    <x v="125"/>
    <n v="0"/>
    <x v="0"/>
    <s v="Accepted"/>
    <n v="0"/>
    <s v="no"/>
    <n v="15000"/>
    <s v="paid"/>
  </r>
  <r>
    <s v="V0060891E007"/>
    <s v="SD"/>
    <s v="Operasi Bilangan Pecahan"/>
    <s v="https://drive.google.com/open?id=1qFdObshFi7J3fTsi5yyos2npoSHXAvB7"/>
    <s v="V0060891E007"/>
    <d v="2021-10-04T00:00:00"/>
    <d v="2021-10-10T00:00:00"/>
    <n v="-624"/>
    <x v="125"/>
    <n v="0"/>
    <x v="0"/>
    <s v="Accepted"/>
    <n v="0"/>
    <s v="no"/>
    <n v="15000"/>
    <s v="paid"/>
  </r>
  <r>
    <s v="V0210952E006"/>
    <s v="SD"/>
    <s v="Operasi Bilangan Pecahan"/>
    <s v="https://drive.google.com/open?id=1QeLGhh0fXoL4LSWCxkBCe4fFVp4WFPxT"/>
    <s v="V0210952E006"/>
    <d v="2021-10-04T00:00:00"/>
    <d v="2021-10-10T00:00:00"/>
    <n v="-624"/>
    <x v="125"/>
    <n v="0"/>
    <x v="0"/>
    <s v="Accepted"/>
    <n v="0"/>
    <s v="no"/>
    <n v="15000"/>
    <s v="paid"/>
  </r>
  <r>
    <s v="T0100357E004"/>
    <s v="SD"/>
    <s v="Operasi Bilangan Pecahan"/>
    <s v="https://drive.google.com/open?id=1qEg9K3cMdiOhMuUKuoAEig-GHZvKZ5f2"/>
    <s v="T0100357E004"/>
    <d v="2021-10-04T00:00:00"/>
    <d v="2021-10-10T00:00:00"/>
    <n v="-624"/>
    <x v="125"/>
    <n v="0"/>
    <x v="0"/>
    <s v="Accepted"/>
    <n v="0"/>
    <s v="no"/>
    <n v="15000"/>
    <s v="paid"/>
  </r>
  <r>
    <s v="T0100231P015"/>
    <s v="SD"/>
    <s v="Operasi Bilangan Pecahan"/>
    <s v="https://drive.google.com/open?id=1QdM6TYMVzmqk4lXnZNoZCFS8vRhS6ep8"/>
    <s v="T0100231P015"/>
    <d v="2021-10-04T00:00:00"/>
    <d v="2021-10-10T00:00:00"/>
    <n v="-624"/>
    <x v="125"/>
    <n v="0"/>
    <x v="0"/>
    <s v="Accepted"/>
    <n v="0"/>
    <s v="no"/>
    <n v="15000"/>
    <s v="paid"/>
  </r>
  <r>
    <s v="V0211151P019"/>
    <s v="SD"/>
    <s v="Operasi Bilangan Pecahan"/>
    <s v="https://drive.google.com/open?id=1qcBOex9MQ5QCRA0fb9KS0O8KVb1rRr-o"/>
    <s v="V0211151P019"/>
    <d v="2021-10-04T00:00:00"/>
    <d v="2021-10-10T00:00:00"/>
    <n v="-624"/>
    <x v="125"/>
    <n v="0"/>
    <x v="0"/>
    <s v="Accepted"/>
    <n v="0"/>
    <s v="no"/>
    <n v="15000"/>
    <s v="paid"/>
  </r>
  <r>
    <s v="T0404618E073"/>
    <s v="SD"/>
    <s v="Bangun Datar"/>
    <s v="https://drive.google.com/open?id=1Q98gvYM-Xc0hiqv2aPpPSexypH9b0Qmj"/>
    <s v="T0404618E073"/>
    <d v="2021-10-04T00:00:00"/>
    <d v="2021-10-10T00:00:00"/>
    <n v="-624"/>
    <x v="125"/>
    <n v="0"/>
    <x v="0"/>
    <s v="Accepted"/>
    <n v="0"/>
    <s v="no"/>
    <n v="15000"/>
    <s v="paid"/>
  </r>
  <r>
    <s v="T0100264P014"/>
    <s v="SD"/>
    <s v="Operasi Bilangan Pecahan"/>
    <s v="https://drive.google.com/open?id=1Q8vDNMLzuMWzVm1kXo8KEBs8y_wLsBpD"/>
    <s v="T0100264P014"/>
    <d v="2021-10-04T00:00:00"/>
    <d v="2021-10-10T00:00:00"/>
    <n v="-624"/>
    <x v="125"/>
    <n v="0"/>
    <x v="0"/>
    <s v="Accepted"/>
    <n v="0"/>
    <s v="no"/>
    <n v="15000"/>
    <s v="paid"/>
  </r>
  <r>
    <s v="T0110424E036"/>
    <s v="SD"/>
    <s v="Operasi Bilangan Pecahan"/>
    <s v="https://drive.google.com/open?id=1Q8gk2VhAw-Z9i-9yuR5MjbtZVM__HQ8A"/>
    <s v="T0110424E036"/>
    <d v="2021-10-04T00:00:00"/>
    <d v="2021-10-10T00:00:00"/>
    <n v="-624"/>
    <x v="125"/>
    <n v="0"/>
    <x v="0"/>
    <s v="Accepted"/>
    <n v="0"/>
    <s v="no"/>
    <n v="15000"/>
    <s v="paid"/>
  </r>
  <r>
    <s v="T0100122P006"/>
    <s v="SD"/>
    <s v="Operasi Bilangan Pecahan"/>
    <s v="https://drive.google.com/open?id=1q7D7E7wKqV3rgpbSsRsvm0RV_Frp3JpN"/>
    <s v="T0100122P006"/>
    <d v="2021-10-04T00:00:00"/>
    <d v="2021-10-10T00:00:00"/>
    <n v="-624"/>
    <x v="125"/>
    <n v="0"/>
    <x v="0"/>
    <s v="Accepted"/>
    <n v="0"/>
    <s v="no"/>
    <n v="15000"/>
    <s v="paid"/>
  </r>
  <r>
    <s v="T01002A1P022"/>
    <s v="SD"/>
    <s v="Operasi Bilangan Pecahan"/>
    <s v="https://drive.google.com/open?id=1q7bz8DL-hc2my8nZ49aQXSgx5iylnivc"/>
    <s v="T01002A1P022"/>
    <d v="2021-10-04T00:00:00"/>
    <d v="2021-10-10T00:00:00"/>
    <n v="-624"/>
    <x v="125"/>
    <n v="0"/>
    <x v="0"/>
    <s v="Accepted"/>
    <n v="0"/>
    <s v="no"/>
    <n v="15000"/>
    <s v="paid"/>
  </r>
  <r>
    <s v="S0301711b002"/>
    <s v="SD"/>
    <s v="Statistika 6"/>
    <s v="https://drive.google.com/open?id=1d73fyh4U9VvyibAlLWNfvU0SNg8-ITc8"/>
    <s v="S0301711b002"/>
    <d v="2021-09-04T00:00:00"/>
    <d v="2021-10-10T00:00:00"/>
    <n v="-624"/>
    <x v="126"/>
    <n v="0"/>
    <x v="0"/>
    <s v="Accepted"/>
    <n v="2"/>
    <s v="no"/>
    <n v="15000"/>
    <s v="paid"/>
  </r>
  <r>
    <s v="S0451471E002"/>
    <s v="SD"/>
    <s v="Pecahan"/>
    <s v="https://drive.google.com/open?id=1RdzdakSb8pEBPSyharkecbYnYGkTwnEq"/>
    <s v="S0451471E002"/>
    <d v="2021-09-20T00:00:00"/>
    <d v="2021-10-10T00:00:00"/>
    <n v="-624"/>
    <x v="126"/>
    <n v="0"/>
    <x v="0"/>
    <s v="Accepted"/>
    <n v="1"/>
    <s v="no"/>
    <n v="15000"/>
    <s v="paid"/>
  </r>
  <r>
    <s v="S0010322E001"/>
    <s v="SD"/>
    <s v="Aproksimasi / Pembulatan"/>
    <s v="https://drive.google.com/open?id=1Rk2tp4l4uieQ7_n2Pc76ZODZLkCZDbPl"/>
    <s v="S0010322E001"/>
    <d v="2021-09-20T00:00:00"/>
    <d v="2021-10-10T00:00:00"/>
    <n v="-624"/>
    <x v="126"/>
    <n v="0"/>
    <x v="0"/>
    <s v="Accepted"/>
    <n v="1"/>
    <s v="yes"/>
    <n v="18000"/>
    <s v="paid"/>
  </r>
  <r>
    <s v="S0100432E011"/>
    <s v="SD"/>
    <s v="Aproksimasi / Pembulatan"/>
    <s v="https://drive.google.com/open?id=1NzFWrhWUd0CLedacX23keS_lzHgh-qPb"/>
    <s v="S0100432E011"/>
    <d v="2021-09-20T00:00:00"/>
    <d v="2021-10-10T00:00:00"/>
    <n v="-624"/>
    <x v="126"/>
    <n v="0"/>
    <x v="0"/>
    <s v="Accepted"/>
    <n v="1"/>
    <s v="no"/>
    <n v="15000"/>
    <s v="paid"/>
  </r>
  <r>
    <s v="S0110411E002"/>
    <s v="SD"/>
    <s v="Aproksimasi / Pembulatan"/>
    <s v="https://drive.google.com/open?id=1CqhKYcPd4apaT-qp6HGNs21FgMYic0Tv"/>
    <s v="S0110411E002"/>
    <d v="2021-09-20T00:00:00"/>
    <d v="2021-10-10T00:00:00"/>
    <n v="-624"/>
    <x v="126"/>
    <n v="0"/>
    <x v="0"/>
    <s v="Accepted"/>
    <n v="1"/>
    <s v="no"/>
    <n v="15000"/>
    <s v="paid"/>
  </r>
  <r>
    <s v="S0261641E005"/>
    <s v="SD"/>
    <s v="Bangun Datar"/>
    <s v="https://drive.google.com/open?id=1bQswanMAQJfUJi9gJDVacIsLfA6zvXTe"/>
    <s v="S0261641E005"/>
    <d v="2021-10-04T00:00:00"/>
    <d v="2021-10-10T00:00:00"/>
    <n v="-624"/>
    <x v="126"/>
    <n v="0"/>
    <x v="0"/>
    <s v="Accepted"/>
    <n v="1"/>
    <s v="no"/>
    <n v="15000"/>
    <s v="paid"/>
  </r>
  <r>
    <s v="S0100562E001"/>
    <s v="SD"/>
    <s v="Aproksimasi / Pembulatan"/>
    <s v="https://drive.google.com/open?id=1GqWaZwVWM8yGCzhR9yNhP1Rdb6kFObG7"/>
    <s v="S0100562E001"/>
    <d v="2021-10-04T00:00:00"/>
    <d v="2021-10-10T00:00:00"/>
    <n v="-624"/>
    <x v="126"/>
    <n v="0"/>
    <x v="0"/>
    <s v="Accepted"/>
    <n v="1"/>
    <s v="no"/>
    <n v="15000"/>
    <s v="paid"/>
  </r>
  <r>
    <s v="S0442341P029"/>
    <s v="SD"/>
    <s v="Sistem Koordinat"/>
    <s v="https://drive.google.com/open?id=1DtW4N5SyDvofa_brqLy2mJzRoQ2TQEUT"/>
    <s v="S0442341P029"/>
    <d v="2021-10-04T00:00:00"/>
    <d v="2021-10-10T00:00:00"/>
    <n v="-624"/>
    <x v="126"/>
    <n v="0"/>
    <x v="0"/>
    <s v="Accepted"/>
    <n v="1"/>
    <s v="no"/>
    <n v="15000"/>
    <s v="paid"/>
  </r>
  <r>
    <s v="S0910541E001"/>
    <s v="SD"/>
    <s v="Operasi Bilangan Pecahan"/>
    <s v="https://drive.google.com/open?id=1Q9Djlrwz6C7B3FIiIGNa_tObnhtqKbXT"/>
    <s v="S0910541E001"/>
    <d v="2021-10-04T00:00:00"/>
    <d v="2021-10-10T00:00:00"/>
    <n v="-624"/>
    <x v="126"/>
    <n v="0"/>
    <x v="0"/>
    <s v="Accepted"/>
    <n v="0"/>
    <s v="yes"/>
    <n v="18000"/>
    <s v="paid"/>
  </r>
  <r>
    <s v="S0581921E004"/>
    <s v="SD"/>
    <s v="Pengumpulan Dan Penyajian Data"/>
    <s v="https://drive.google.com/open?id=1kUIp-onCXWBJ8JLKoZs9sUp4M3ORDxcd"/>
    <s v="S0581921E004"/>
    <d v="2021-09-20T00:00:00"/>
    <d v="2021-10-10T00:00:00"/>
    <n v="-624"/>
    <x v="127"/>
    <n v="0"/>
    <x v="0"/>
    <s v="Accepted"/>
    <n v="1"/>
    <s v="yes"/>
    <n v="18000"/>
    <s v="paid"/>
  </r>
  <r>
    <s v="T0230558P020"/>
    <s v="SD"/>
    <s v="Bilangan Bulat"/>
    <s v="https://drive.google.com/open?id=1xgh3ZisPaVIF5Z7SrlhhdzoXqw0EgE-d"/>
    <s v="T0230558P020"/>
    <d v="2021-09-24T00:00:00"/>
    <d v="2021-10-10T00:00:00"/>
    <n v="-624"/>
    <x v="127"/>
    <n v="0"/>
    <x v="0"/>
    <s v="Accepted"/>
    <n v="1"/>
    <s v="no"/>
    <n v="15000"/>
    <s v="paid"/>
  </r>
  <r>
    <s v="S0840091b001"/>
    <s v="SD"/>
    <s v="Pecahan"/>
    <s v="https://drive.google.com/open?id=1D1sBnjyLTjrzxfIWUWxXklagTaD1sJkH"/>
    <s v="S0840091b001"/>
    <d v="2021-09-24T00:00:00"/>
    <d v="2021-10-10T00:00:00"/>
    <n v="-624"/>
    <x v="127"/>
    <n v="0"/>
    <x v="0"/>
    <s v="Accepted"/>
    <n v="1"/>
    <s v="no"/>
    <n v="15000"/>
    <s v="paid"/>
  </r>
  <r>
    <s v="T0100333E002"/>
    <s v="SD"/>
    <s v="Operasi Bilangan Pecahan"/>
    <s v="https://drive.google.com/open?id=1qe-FPitlFDCkPLp4g6cFkwMB83g-XGOQ"/>
    <s v="T0100333E002"/>
    <d v="2021-10-04T00:00:00"/>
    <d v="2021-10-10T00:00:00"/>
    <n v="-624"/>
    <x v="127"/>
    <n v="0"/>
    <x v="0"/>
    <s v="Accepted"/>
    <n v="0"/>
    <s v="no"/>
    <n v="15000"/>
    <s v="paid"/>
  </r>
  <r>
    <s v="T0100180P006"/>
    <s v="SD"/>
    <s v="Bilangan Bulat"/>
    <s v="https://drive.google.com/open?id=1viJ8A7n5Iu1anqyTsqBbEh4M_v_qq_yw"/>
    <s v="T0100180P006"/>
    <d v="2021-09-27T00:00:00"/>
    <d v="2021-10-14T00:00:00"/>
    <n v="-620"/>
    <x v="127"/>
    <n v="0"/>
    <x v="0"/>
    <s v="Accepted"/>
    <n v="1"/>
    <s v="no"/>
    <n v="15000"/>
    <s v="paid"/>
  </r>
  <r>
    <s v="S0830382E001"/>
    <s v="SD"/>
    <s v="Bilangan Bulat"/>
    <s v="https://drive.google.com/open?id=1TsJwtTljHQtMBjx6mUaLMkGhVVrgNb_s"/>
    <s v="S0830382E001"/>
    <d v="2021-09-27T00:00:00"/>
    <d v="2021-10-14T00:00:00"/>
    <n v="-620"/>
    <x v="127"/>
    <n v="0"/>
    <x v="0"/>
    <s v="Accepted"/>
    <n v="1"/>
    <s v="no"/>
    <n v="15000"/>
    <s v="paid"/>
  </r>
  <r>
    <s v="T006B203P001"/>
    <s v="SD"/>
    <s v="Bangun Ruang"/>
    <s v="https://drive.google.com/open?id=1tTaSgU_NyWfZR5ytLOpiviElrQ_PBkHu"/>
    <s v="T006B203P001"/>
    <d v="2021-10-11T00:00:00"/>
    <d v="2021-10-17T00:00:00"/>
    <n v="-617"/>
    <x v="128"/>
    <n v="623"/>
    <x v="3"/>
    <s v="Rejected"/>
    <n v="1"/>
    <s v="no"/>
    <n v="0"/>
    <s v="not yet"/>
  </r>
  <r>
    <s v="S0541321E009"/>
    <s v="SD"/>
    <s v="Pengumpulan Dan Penyajian Data"/>
    <s v="https://drive.google.com/open?id=1kWpuoy7SXb7BTW0Ws2Ctvqx7uMqaOuu2"/>
    <s v="S0541321E009"/>
    <d v="2021-09-13T00:00:00"/>
    <d v="2021-10-17T00:00:00"/>
    <n v="-617"/>
    <x v="129"/>
    <n v="0"/>
    <x v="0"/>
    <s v="Accepted"/>
    <n v="0"/>
    <s v="yes"/>
    <n v="18000"/>
    <s v="paid"/>
  </r>
  <r>
    <s v="T0300421E005"/>
    <s v="SD"/>
    <s v="Operasi Bilangan Pecahan"/>
    <s v="https://drive.google.com/open?id=1jsqMaRzNjrornXgfnMsSSlOeWTzAw_rO"/>
    <s v="T0300421E005"/>
    <d v="2021-10-04T00:00:00"/>
    <d v="2021-10-17T00:00:00"/>
    <n v="-617"/>
    <x v="129"/>
    <n v="0"/>
    <x v="0"/>
    <s v="Accepted"/>
    <n v="0"/>
    <s v="yes"/>
    <n v="18000"/>
    <s v="paid"/>
  </r>
  <r>
    <s v="V0220301P001"/>
    <s v="SD"/>
    <s v="Skala"/>
    <s v="https://drive.google.com/open?id=1QH8sshWUgHH6p379PCTMMd3s7l3cbhSP"/>
    <s v="V0220301P001"/>
    <d v="2021-10-04T00:00:00"/>
    <d v="2021-10-17T00:00:00"/>
    <n v="-617"/>
    <x v="129"/>
    <n v="0"/>
    <x v="0"/>
    <s v="Accepted"/>
    <n v="0"/>
    <s v="yes"/>
    <n v="18000"/>
    <s v="paid"/>
  </r>
  <r>
    <s v="S0581911E001"/>
    <s v="SD"/>
    <s v="Pengumpulan Dan Penyajian Data"/>
    <s v="https://drive.google.com/open?id=1QY20Gl0GtPnwzdwypYtkiJQj9ClkE4ju"/>
    <s v="S0581911E001"/>
    <d v="2021-10-11T00:00:00"/>
    <d v="2021-10-17T00:00:00"/>
    <n v="-617"/>
    <x v="129"/>
    <n v="623"/>
    <x v="5"/>
    <s v="Rejected"/>
    <n v="1"/>
    <s v="no"/>
    <n v="0"/>
    <s v="not yet"/>
  </r>
  <r>
    <s v="S0840911b002"/>
    <s v="SD"/>
    <s v="Perpangkatan Dan Akar"/>
    <s v="https://drive.google.com/open?id=1rnHhL_upBcdi5pg231YfGfptqOuE_W-K"/>
    <s v="S0840911b002"/>
    <d v="2021-10-11T00:00:00"/>
    <d v="2021-10-17T00:00:00"/>
    <n v="-617"/>
    <x v="129"/>
    <n v="0"/>
    <x v="0"/>
    <s v="Accepted"/>
    <n v="0"/>
    <s v="no"/>
    <n v="15000"/>
    <s v="not yet"/>
  </r>
  <r>
    <s v="T007M002P001"/>
    <s v="SD"/>
    <s v="Aproksimasi / Pembulatan"/>
    <s v="https://drive.google.com/open?id=1PFquUT6pho40KeLLjQYD7CbCa2j7QlLH"/>
    <s v="T007M002P001"/>
    <d v="2021-10-11T00:00:00"/>
    <d v="2021-10-17T00:00:00"/>
    <n v="-617"/>
    <x v="129"/>
    <n v="0"/>
    <x v="0"/>
    <s v="Accepted"/>
    <n v="0"/>
    <s v="no"/>
    <n v="15000"/>
    <s v="not yet"/>
  </r>
  <r>
    <s v="T0230151P002"/>
    <s v="SD"/>
    <s v="Bilangan Bulat"/>
    <s v="https://drive.google.com/open?id=1SljbDyAGEvmPaD7yTCLZCbxV99mpKGhp"/>
    <s v="T0230151P002"/>
    <d v="2021-10-11T00:00:00"/>
    <d v="2021-10-17T00:00:00"/>
    <n v="-617"/>
    <x v="129"/>
    <n v="0"/>
    <x v="0"/>
    <s v="Accepted"/>
    <n v="0"/>
    <s v="no"/>
    <n v="15000"/>
    <s v="not yet"/>
  </r>
  <r>
    <s v="T0300120P004"/>
    <s v="SD"/>
    <s v="Operasi Bilangan Pecahan"/>
    <s v="https://drive.google.com/open?id=1yWqVT1Pxz-kGJQfDvmV77R6L9DpY3bh7"/>
    <s v="T0300120P004"/>
    <d v="2021-10-11T00:00:00"/>
    <d v="2021-10-17T00:00:00"/>
    <n v="-617"/>
    <x v="129"/>
    <n v="0"/>
    <x v="0"/>
    <s v="Accepted"/>
    <n v="0"/>
    <s v="no"/>
    <n v="15000"/>
    <s v="not yet"/>
  </r>
  <r>
    <s v="T0403012E013"/>
    <s v="SD"/>
    <s v="Kecepatan Dan Debit"/>
    <s v="https://drive.google.com/open?id=1wW1CXfho_CNblAbw00i81fVNRrPJlXEB"/>
    <s v="T0403012E013"/>
    <d v="2021-10-11T00:00:00"/>
    <d v="2021-10-17T00:00:00"/>
    <n v="-617"/>
    <x v="129"/>
    <n v="0"/>
    <x v="0"/>
    <s v="Accepted"/>
    <n v="0"/>
    <s v="no"/>
    <n v="15000"/>
    <s v="not yet"/>
  </r>
  <r>
    <s v="T01003A4P032"/>
    <s v="SD"/>
    <s v="Skala"/>
    <s v="https://drive.google.com/open?id=1yn_qc3Po_qCWY3-HUVfShy9bqt0dOe5H"/>
    <s v="T01003A4P032"/>
    <d v="2021-10-11T00:00:00"/>
    <d v="2021-10-17T00:00:00"/>
    <n v="-617"/>
    <x v="129"/>
    <n v="0"/>
    <x v="0"/>
    <s v="Accepted"/>
    <n v="0"/>
    <s v="no"/>
    <n v="15000"/>
    <s v="not yet"/>
  </r>
  <r>
    <s v="T0080401P001"/>
    <s v="SD"/>
    <s v="Kecepatan Dan Debit"/>
    <s v="https://drive.google.com/open?id=1YDixv1bFXs04IZE5CaDqhRwKR1_iZlVE"/>
    <s v="T0080401P001"/>
    <d v="2021-10-11T00:00:00"/>
    <d v="2021-10-17T00:00:00"/>
    <n v="-617"/>
    <x v="129"/>
    <n v="0"/>
    <x v="0"/>
    <s v="Accepted"/>
    <n v="0"/>
    <s v="no"/>
    <n v="15000"/>
    <s v="not yet"/>
  </r>
  <r>
    <s v="T0290321E005"/>
    <s v="SD"/>
    <s v="Skala"/>
    <s v="https://drive.google.com/open?id=1UsJuJ9vvB09LVU-hbXurMCFVOBkrKYHM"/>
    <s v="T0290321E005"/>
    <d v="2021-09-27T00:00:00"/>
    <d v="2021-10-24T00:00:00"/>
    <n v="-610"/>
    <x v="130"/>
    <n v="637"/>
    <x v="5"/>
    <s v="Rejected"/>
    <n v="2"/>
    <s v="no"/>
    <n v="0"/>
    <s v="not yet"/>
  </r>
  <r>
    <s v="S0411222E003"/>
    <s v="SD"/>
    <s v="Pengumpulan Dan Penyajian Data"/>
    <s v="https://drive.google.com/open?id=1Y9qnZho1us4sxulPW5nWWjvywgdYEcQJ"/>
    <s v="S0411222E003"/>
    <d v="2021-10-04T00:00:00"/>
    <d v="2021-10-24T00:00:00"/>
    <n v="-610"/>
    <x v="130"/>
    <n v="630"/>
    <x v="5"/>
    <s v="Rejected"/>
    <n v="1"/>
    <s v="yes"/>
    <n v="0"/>
    <s v="not yet"/>
  </r>
  <r>
    <s v="S0780151P001"/>
    <s v="SD"/>
    <s v="Operasi Bilangan Pecahan"/>
    <s v="https://drive.google.com/open?id=1qAKy9d8nz8XtHuQ2il9Kb5eGwSiNOJHh"/>
    <s v="S0780151P001"/>
    <d v="2021-10-04T00:00:00"/>
    <d v="2021-10-24T00:00:00"/>
    <n v="-610"/>
    <x v="130"/>
    <n v="630"/>
    <x v="5"/>
    <s v="Rejected"/>
    <n v="1"/>
    <s v="no"/>
    <n v="0"/>
    <s v="not yet"/>
  </r>
  <r>
    <s v="S0841541E011"/>
    <s v="SD"/>
    <s v="Aproksimasi / Pembulatan"/>
    <s v="https://drive.google.com/open?id=1q74ZMNFA_nnoAIjxYScBa9Wy5deB2qbB"/>
    <s v="S0841541E011"/>
    <d v="2021-10-04T00:00:00"/>
    <d v="2021-10-24T00:00:00"/>
    <n v="-610"/>
    <x v="130"/>
    <n v="630"/>
    <x v="5"/>
    <s v="Rejected"/>
    <n v="1"/>
    <s v="no"/>
    <n v="0"/>
    <s v="not yet"/>
  </r>
  <r>
    <s v="S0840081E001"/>
    <s v="SD"/>
    <s v="Pecahan"/>
    <s v="https://drive.google.com/open?id=1trrWGnGp78CLIjq7NvESV7SVWsdKPfwo"/>
    <s v="S0840081E001"/>
    <d v="2021-10-11T00:00:00"/>
    <d v="2021-10-24T00:00:00"/>
    <n v="-610"/>
    <x v="130"/>
    <n v="623"/>
    <x v="5"/>
    <s v="Rejected"/>
    <n v="1"/>
    <s v="yes"/>
    <n v="0"/>
    <s v="not yet"/>
  </r>
  <r>
    <s v="S0490781E004"/>
    <s v="SD"/>
    <s v="Pengumpulan Dan Penyajian Data"/>
    <s v="https://drive.google.com/open?id=113ZZVeXv2JGyABW92TOCdYxqo22WUx8b"/>
    <s v="S0490781E004"/>
    <d v="2021-10-11T00:00:00"/>
    <d v="2021-10-24T00:00:00"/>
    <n v="-610"/>
    <x v="130"/>
    <n v="0"/>
    <x v="0"/>
    <s v="Accepted"/>
    <n v="1"/>
    <s v="yes"/>
    <n v="18000"/>
    <s v="not yet"/>
  </r>
  <r>
    <s v="M2400881E001"/>
    <s v="SMA"/>
    <s v="Program Linear"/>
    <s v="https://drive.google.com/open?id=1DSk6ltXo5oozVC1PRnyVQJGTxATmGKUE"/>
    <s v="M2400881E001"/>
    <d v="2020-10-09T00:00:00"/>
    <d v="2020-10-16T00:00:00"/>
    <n v="-983"/>
    <x v="131"/>
    <n v="990"/>
    <x v="0"/>
    <s v="Not Submitted"/>
    <n v="0"/>
    <s v="yes"/>
    <n v="0"/>
    <s v="not yet"/>
  </r>
  <r>
    <s v="B0035541E002"/>
    <s v="SMA"/>
    <s v="Program Linear"/>
    <s v="https://drive.google.com/open?id=1CCRs94a-rtWAvr1Yh_cLf55UnLeRxwNh"/>
    <s v="B0035541E002"/>
    <d v="2020-10-20T00:00:00"/>
    <d v="2020-10-27T00:00:00"/>
    <n v="-972"/>
    <x v="131"/>
    <n v="979"/>
    <x v="0"/>
    <s v="Not Submitted"/>
    <n v="0"/>
    <s v="no"/>
    <n v="0"/>
    <s v="not yet"/>
  </r>
  <r>
    <s v="C0040011P002"/>
    <s v="SMA"/>
    <s v="Persamaan Trigonometri"/>
    <s v="https://drive.google.com/open?id=1XkRVCsz4y-TLz5q8IW8S52ldLCcHyQpi"/>
    <s v="C0040011P002"/>
    <d v="2020-10-20T00:00:00"/>
    <d v="2020-10-27T00:00:00"/>
    <n v="-972"/>
    <x v="131"/>
    <n v="979"/>
    <x v="0"/>
    <s v="Not Submitted"/>
    <n v="0"/>
    <s v="no"/>
    <n v="0"/>
    <s v="not yet"/>
  </r>
  <r>
    <s v="C0040011P005"/>
    <s v="SMA"/>
    <s v="Persamaan Trigonometri"/>
    <s v="https://drive.google.com/open?id=1P38DKmKoe7lQUgI0doEZqealGfvTbiyi"/>
    <s v="C0040011P005"/>
    <d v="2020-10-20T00:00:00"/>
    <d v="2020-10-27T00:00:00"/>
    <n v="-972"/>
    <x v="131"/>
    <n v="979"/>
    <x v="0"/>
    <s v="Not Submitted"/>
    <n v="1"/>
    <s v="no"/>
    <n v="0"/>
    <s v="not yet"/>
  </r>
  <r>
    <s v="C0040021P006"/>
    <s v="SMA"/>
    <s v="Persamaan Trigonometri"/>
    <s v="https://drive.google.com/open?id=11SLotIkVuJxjJQreq6nfgY2OyN3CyY7e"/>
    <s v="C0040021P006"/>
    <d v="2020-10-20T00:00:00"/>
    <d v="2020-10-27T00:00:00"/>
    <n v="-972"/>
    <x v="131"/>
    <n v="979"/>
    <x v="0"/>
    <s v="Not Submitted"/>
    <n v="0"/>
    <s v="no"/>
    <n v="0"/>
    <s v="not yet"/>
  </r>
  <r>
    <s v="C0040021P007"/>
    <s v="SMA"/>
    <s v="Persamaan Trigonometri"/>
    <s v="https://drive.google.com/open?id=1WxeI--uJGRjMQd6QgjR1DaarxZvLJkgI"/>
    <s v="C0040021P007"/>
    <d v="2020-10-20T00:00:00"/>
    <d v="2020-10-27T00:00:00"/>
    <n v="-972"/>
    <x v="131"/>
    <n v="979"/>
    <x v="0"/>
    <s v="Not Submitted"/>
    <n v="0"/>
    <s v="yes"/>
    <n v="0"/>
    <s v="not yet"/>
  </r>
  <r>
    <s v="M1872382E002"/>
    <s v="SMA"/>
    <s v="Integral"/>
    <s v="https://drive.google.com/open?id=1LYhxHLD3eHxFIQ1ws0Kz9Ui7Lg241V5x"/>
    <s v="M1872382E002"/>
    <d v="2020-12-07T00:00:00"/>
    <d v="2020-12-14T00:00:00"/>
    <n v="-924"/>
    <x v="131"/>
    <n v="931"/>
    <x v="0"/>
    <s v="Not Submitted"/>
    <n v="0"/>
    <s v="no"/>
    <n v="0"/>
    <s v="not yet"/>
  </r>
  <r>
    <s v="M1800764E002"/>
    <s v="SMA"/>
    <s v="Peluang Wajib"/>
    <s v="https://drive.google.com/open?id=1QiLfV6OpqYz0qb-GmNI_zCC5VIz3H2gg"/>
    <s v="M1800764E002"/>
    <d v="2020-12-18T00:00:00"/>
    <d v="2020-12-25T00:00:00"/>
    <n v="-913"/>
    <x v="131"/>
    <n v="920"/>
    <x v="0"/>
    <s v="Not Submitted"/>
    <n v="1"/>
    <s v="no"/>
    <n v="0"/>
    <s v="not yet"/>
  </r>
  <r>
    <s v="B0056903E004"/>
    <s v="SMA"/>
    <s v="Logika Matematika"/>
    <s v="https://drive.google.com/open?id=1gPH2W6HBVnyRnz0U7xUfJ0Tu7yNVg4hD"/>
    <s v="B0056903E004"/>
    <d v="2021-03-09T00:00:00"/>
    <d v="2021-03-16T00:00:00"/>
    <n v="-832"/>
    <x v="131"/>
    <n v="839"/>
    <x v="0"/>
    <s v="Not Submitted"/>
    <n v="0"/>
    <s v="yes"/>
    <n v="0"/>
    <s v="not yet"/>
  </r>
  <r>
    <s v="B0098041E002"/>
    <s v="SMA"/>
    <s v="Trigonometri"/>
    <s v="https://drive.google.com/open?id=1H9s4bzRXfihVsz5zpQPSMnUMVtsMuN-N"/>
    <s v="B0098041E002"/>
    <d v="2021-05-10T00:00:00"/>
    <d v="2021-05-17T00:00:00"/>
    <n v="-770"/>
    <x v="131"/>
    <n v="777"/>
    <x v="3"/>
    <s v="Rejected"/>
    <n v="1"/>
    <s v="no"/>
    <n v="0"/>
    <s v="not yet"/>
  </r>
  <r>
    <s v="B0098251E002"/>
    <s v="SMA"/>
    <s v="Trigonometri"/>
    <s v="https://drive.google.com/open?id=1p9Upgrb-b40Pbh6fVgHM1lxG_ICjPznK"/>
    <s v="B0098251E002"/>
    <d v="2021-05-10T00:00:00"/>
    <d v="2021-05-17T00:00:00"/>
    <n v="-770"/>
    <x v="131"/>
    <n v="777"/>
    <x v="0"/>
    <s v="Not Submitted"/>
    <n v="0"/>
    <s v="no"/>
    <n v="0"/>
    <s v="not yet"/>
  </r>
  <r>
    <s v="S0041382E003"/>
    <s v="SD"/>
    <s v="Statistika 6"/>
    <s v="https://drive.google.com/open?id=1XvUKFf0jynZpTYMaZLI5VgrKpYH-sLgU"/>
    <s v="S0041382E003"/>
    <d v="2021-06-18T00:00:00"/>
    <d v="2021-06-24T00:00:00"/>
    <n v="-732"/>
    <x v="131"/>
    <n v="738"/>
    <x v="2"/>
    <s v="Rejected"/>
    <n v="1"/>
    <s v="no"/>
    <n v="0"/>
    <s v="not yet"/>
  </r>
  <r>
    <s v="S0401451E002"/>
    <s v="SD"/>
    <s v="Kesebangunan Dan Simetri"/>
    <s v="https://drive.google.com/open?id=1JkQPUIi7MVI-LApHe1vgIC7u6rbHYSAd"/>
    <s v="S0401451E002"/>
    <d v="2021-06-18T00:00:00"/>
    <d v="2021-06-24T00:00:00"/>
    <n v="-732"/>
    <x v="131"/>
    <n v="738"/>
    <x v="2"/>
    <s v="Rejected"/>
    <n v="1"/>
    <s v="no"/>
    <n v="0"/>
    <s v="not yet"/>
  </r>
  <r>
    <s v="S0041211P014"/>
    <s v="SD"/>
    <s v="Bangun Ruang Sisi Lengkung"/>
    <s v="https://drive.google.com/open?id=1TSloVj-dflFYS_RQXP90gFk3LPlnWXPQ"/>
    <s v="S0041211P014"/>
    <d v="2021-07-05T00:00:00"/>
    <d v="2021-07-11T00:00:00"/>
    <n v="-715"/>
    <x v="131"/>
    <n v="721"/>
    <x v="0"/>
    <s v="Not Submitted"/>
    <n v="0"/>
    <s v="no"/>
    <n v="0"/>
    <s v="not yet"/>
  </r>
  <r>
    <s v="S0041211P015"/>
    <s v="SD"/>
    <s v="Bangun Ruang Sisi Lengkung"/>
    <s v="https://drive.google.com/open?id=1q6XqNyanzGrRr2Mn44ch6fMyvgUcEO8n"/>
    <s v="S0041211P015"/>
    <d v="2021-07-05T00:00:00"/>
    <d v="2021-07-11T00:00:00"/>
    <n v="-715"/>
    <x v="131"/>
    <n v="721"/>
    <x v="0"/>
    <s v="Not Submitted"/>
    <n v="0"/>
    <s v="no"/>
    <n v="0"/>
    <s v="not yet"/>
  </r>
  <r>
    <s v="S0081061E001"/>
    <s v="SD"/>
    <s v="Bangun Ruang Sisi Lengkung"/>
    <s v="https://drive.google.com/open?id=1yXx9VjXMK7ezewPC8vU8W8K9bNmuQg-r"/>
    <s v="S0081061E001"/>
    <d v="2021-07-05T00:00:00"/>
    <d v="2021-07-11T00:00:00"/>
    <n v="-715"/>
    <x v="131"/>
    <n v="721"/>
    <x v="0"/>
    <s v="Not Submitted"/>
    <n v="0"/>
    <s v="no"/>
    <n v="0"/>
    <s v="not yet"/>
  </r>
  <r>
    <s v="S0510741E001"/>
    <s v="SD"/>
    <s v="Bangun Datar"/>
    <s v="https://drive.google.com/open?id=1A6yyeWnN7sX0w7cuC8pQIUqPkAJ-Ap1B"/>
    <s v="S0510741E001"/>
    <d v="2021-07-05T00:00:00"/>
    <d v="2021-07-11T00:00:00"/>
    <n v="-715"/>
    <x v="131"/>
    <n v="721"/>
    <x v="0"/>
    <s v="Not Submitted"/>
    <n v="0"/>
    <s v="no"/>
    <n v="0"/>
    <s v="not yet"/>
  </r>
  <r>
    <s v="S0510741E002"/>
    <s v="SD"/>
    <s v="Bangun Datar"/>
    <s v="https://drive.google.com/open?id=1xBhGxExJrnE1xerG7QXsOZI-vS2F_ny5"/>
    <s v="S0510741E002"/>
    <d v="2021-07-05T00:00:00"/>
    <d v="2021-07-11T00:00:00"/>
    <n v="-715"/>
    <x v="131"/>
    <n v="721"/>
    <x v="0"/>
    <s v="Not Submitted"/>
    <n v="0"/>
    <s v="no"/>
    <n v="0"/>
    <s v="not yet"/>
  </r>
  <r>
    <s v="S0501221E029"/>
    <s v="SD"/>
    <s v="Bangun Datar"/>
    <s v="https://drive.google.com/open?id=1B9aeuJExZTYH3gHN6IEqeeeUV-b8-rcX"/>
    <s v="S0501221E029"/>
    <d v="2021-07-05T00:00:00"/>
    <d v="2021-07-11T00:00:00"/>
    <n v="-715"/>
    <x v="131"/>
    <n v="721"/>
    <x v="0"/>
    <s v="Not Submitted"/>
    <n v="0"/>
    <s v="no"/>
    <n v="0"/>
    <s v="not yet"/>
  </r>
  <r>
    <s v="S0510981E020"/>
    <s v="SD"/>
    <s v="Bangun Ruang"/>
    <s v="https://drive.google.com/open?id=1QZFEHy0GEzPi_AxKEADTOeQ2E6AfPgZg"/>
    <s v="S0510981E020"/>
    <d v="2021-07-05T00:00:00"/>
    <d v="2021-07-11T00:00:00"/>
    <n v="-715"/>
    <x v="131"/>
    <n v="721"/>
    <x v="0"/>
    <s v="Not Submitted"/>
    <n v="0"/>
    <s v="no"/>
    <n v="0"/>
    <s v="not yet"/>
  </r>
  <r>
    <s v="S0511001E015"/>
    <s v="SD"/>
    <s v="Bangun Ruang"/>
    <s v="https://drive.google.com/open?id=1yKvaB2jpHmpwFzlANWKYVsKd26KQvjij"/>
    <s v="S0511001E015"/>
    <d v="2021-07-05T00:00:00"/>
    <d v="2021-07-11T00:00:00"/>
    <n v="-715"/>
    <x v="131"/>
    <n v="721"/>
    <x v="0"/>
    <s v="Not Submitted"/>
    <n v="0"/>
    <s v="no"/>
    <n v="0"/>
    <s v="not yet"/>
  </r>
  <r>
    <s v="S0511022E042"/>
    <s v="SD"/>
    <s v="Bangun Ruang"/>
    <s v="https://drive.google.com/open?id=1-z8e6TdGaM2phDpnGTB47MGhLFjufSRU"/>
    <s v="S0511022E042"/>
    <d v="2021-07-05T00:00:00"/>
    <d v="2021-07-11T00:00:00"/>
    <n v="-715"/>
    <x v="131"/>
    <n v="721"/>
    <x v="0"/>
    <s v="Not Submitted"/>
    <n v="0"/>
    <s v="no"/>
    <n v="0"/>
    <s v="not yet"/>
  </r>
  <r>
    <s v="S0501131E002"/>
    <s v="SD"/>
    <s v="Bangun Ruang"/>
    <s v="https://drive.google.com/open?id=1Ta3MxbYNBEN0fLUFIn9BN79S66YxedbF"/>
    <s v="S0501131E002"/>
    <d v="2021-07-05T00:00:00"/>
    <d v="2021-07-11T00:00:00"/>
    <n v="-715"/>
    <x v="131"/>
    <n v="721"/>
    <x v="0"/>
    <s v="Not Submitted"/>
    <n v="0"/>
    <s v="no"/>
    <n v="0"/>
    <s v="not yet"/>
  </r>
  <r>
    <s v="S0501211E022"/>
    <s v="SD"/>
    <s v="Bangun Ruang"/>
    <s v="https://drive.google.com/open?id=1i_81EPAA19xoFtzh3MIjhgzneLP_zPEM"/>
    <s v="S0501211E022"/>
    <d v="2021-07-05T00:00:00"/>
    <d v="2021-07-11T00:00:00"/>
    <n v="-715"/>
    <x v="131"/>
    <n v="721"/>
    <x v="0"/>
    <s v="Not Submitted"/>
    <n v="0"/>
    <s v="no"/>
    <n v="0"/>
    <s v="not yet"/>
  </r>
  <r>
    <s v="S0501221E030"/>
    <s v="SD"/>
    <s v="Bangun Ruang"/>
    <s v="https://drive.google.com/open?id=1-f8v2F2gUEGnvw6lAugaUSp9MR1g5CFv"/>
    <s v="S0501221E030"/>
    <d v="2021-07-05T00:00:00"/>
    <d v="2021-07-11T00:00:00"/>
    <n v="-715"/>
    <x v="131"/>
    <n v="721"/>
    <x v="0"/>
    <s v="Not Submitted"/>
    <n v="0"/>
    <s v="no"/>
    <n v="0"/>
    <s v="not yet"/>
  </r>
  <r>
    <s v="S0501221E031"/>
    <s v="SD"/>
    <s v="Bangun Ruang"/>
    <s v="https://drive.google.com/open?id=1HBJjADanacTFbCVqkOTR4S4B-0QLZPQi"/>
    <s v="S0501221E031"/>
    <d v="2021-07-05T00:00:00"/>
    <d v="2021-07-11T00:00:00"/>
    <n v="-715"/>
    <x v="131"/>
    <n v="721"/>
    <x v="0"/>
    <s v="Not Submitted"/>
    <n v="0"/>
    <s v="no"/>
    <n v="0"/>
    <s v="not yet"/>
  </r>
  <r>
    <s v="S0501231E032"/>
    <s v="SD"/>
    <s v="Bangun Ruang"/>
    <s v="https://drive.google.com/open?id=18YfsS_it6OgPaVbQFEtM6I62CJj75KO8"/>
    <s v="S0501231E032"/>
    <d v="2021-07-05T00:00:00"/>
    <d v="2021-07-11T00:00:00"/>
    <n v="-715"/>
    <x v="131"/>
    <n v="721"/>
    <x v="0"/>
    <s v="Not Submitted"/>
    <n v="0"/>
    <s v="no"/>
    <n v="0"/>
    <s v="not yet"/>
  </r>
  <r>
    <s v="S0061541E001"/>
    <s v="SD"/>
    <s v="Bangun Ruang"/>
    <s v="https://drive.google.com/open?id=11Esml-vY7ocnFByyQxMB2o3ffVLQ-YWO"/>
    <s v="S0061541E001"/>
    <d v="2021-07-12T00:00:00"/>
    <d v="2021-07-18T00:00:00"/>
    <n v="-708"/>
    <x v="131"/>
    <n v="714"/>
    <x v="0"/>
    <s v="Not Submitted"/>
    <n v="0"/>
    <s v="no"/>
    <n v="0"/>
    <s v="not yet"/>
  </r>
  <r>
    <s v="S0070961E005"/>
    <s v="SD"/>
    <s v="Lingkaran"/>
    <s v="https://drive.google.com/open?id=1jatU8nmvmCv6afrYEO2HkwbGt8rbR5we"/>
    <s v="S0070961E005"/>
    <d v="2021-07-12T00:00:00"/>
    <d v="2021-07-18T00:00:00"/>
    <n v="-708"/>
    <x v="131"/>
    <n v="714"/>
    <x v="0"/>
    <s v="Not Submitted"/>
    <n v="0"/>
    <s v="no"/>
    <n v="0"/>
    <s v="not yet"/>
  </r>
  <r>
    <s v="S0040843E005"/>
    <s v="SD"/>
    <s v="Lingkaran"/>
    <s v="https://drive.google.com/open?id=1nG2JjFV8-Qx3J7g2-znofqBbvp9Kt1t_"/>
    <s v="S0040843E005"/>
    <d v="2021-07-12T00:00:00"/>
    <d v="2021-07-18T00:00:00"/>
    <n v="-708"/>
    <x v="131"/>
    <n v="714"/>
    <x v="0"/>
    <s v="Not Submitted"/>
    <n v="0"/>
    <s v="no"/>
    <n v="0"/>
    <s v="not yet"/>
  </r>
  <r>
    <s v="S0040841E002"/>
    <s v="SD"/>
    <s v="Lingkaran"/>
    <s v="https://drive.google.com/open?id=1Mqj8kMgriJdtADLj3iNZIh23SRfacxWi"/>
    <s v="S0040841E002"/>
    <d v="2021-07-12T00:00:00"/>
    <d v="2021-07-18T00:00:00"/>
    <n v="-708"/>
    <x v="131"/>
    <n v="714"/>
    <x v="0"/>
    <s v="Not Submitted"/>
    <n v="0"/>
    <s v="no"/>
    <n v="0"/>
    <s v="not yet"/>
  </r>
  <r>
    <s v="S0060831E003"/>
    <s v="SD"/>
    <s v="Operasi Bilangan Pecahan"/>
    <s v="https://drive.google.com/open?id=1ZjqWYmAR3NKSWRBzyR1ooooYGBDMu1oa"/>
    <s v="S0060831E003"/>
    <d v="2021-07-12T00:00:00"/>
    <d v="2021-07-18T00:00:00"/>
    <n v="-708"/>
    <x v="131"/>
    <n v="714"/>
    <x v="0"/>
    <s v="Not Submitted"/>
    <n v="0"/>
    <s v="no"/>
    <n v="0"/>
    <s v="not yet"/>
  </r>
  <r>
    <s v="S0101211E003"/>
    <s v="SD"/>
    <s v="Kecepatan Dan Debit"/>
    <s v="https://drive.google.com/open?id=13FOIJIFjemqOhz0FmL5YRsSzMc4Ah9vm"/>
    <s v="S0101211E003"/>
    <d v="2021-07-12T00:00:00"/>
    <d v="2021-07-18T00:00:00"/>
    <n v="-708"/>
    <x v="131"/>
    <n v="714"/>
    <x v="0"/>
    <s v="Not Submitted"/>
    <n v="0"/>
    <s v="no"/>
    <n v="0"/>
    <s v="not yet"/>
  </r>
  <r>
    <s v="S0140331E001"/>
    <s v="SD"/>
    <s v="Kecepatan Dan Debit"/>
    <s v="https://drive.google.com/open?id=1lD4wSN91_mbk8vyl088-gDLB7aU8UQWO"/>
    <s v="S0140331E001"/>
    <d v="2021-07-12T00:00:00"/>
    <d v="2021-07-18T00:00:00"/>
    <n v="-708"/>
    <x v="131"/>
    <n v="714"/>
    <x v="0"/>
    <s v="Not Submitted"/>
    <n v="0"/>
    <s v="no"/>
    <n v="0"/>
    <s v="not yet"/>
  </r>
  <r>
    <s v="S0130662E004"/>
    <s v="SD"/>
    <s v="KPK dan FPB"/>
    <s v="https://drive.google.com/open?id=1aPMTZo3VPhG31qkOMncUTCvVo0oVFrUN"/>
    <s v="S0130662E004"/>
    <d v="2021-07-12T00:00:00"/>
    <d v="2021-07-18T00:00:00"/>
    <n v="-708"/>
    <x v="131"/>
    <n v="714"/>
    <x v="0"/>
    <s v="Not Submitted"/>
    <n v="0"/>
    <s v="no"/>
    <n v="0"/>
    <s v="not yet"/>
  </r>
  <r>
    <s v="S0130662E003"/>
    <s v="SD"/>
    <s v="KPK dan FPB"/>
    <s v="https://drive.google.com/open?id=1JViXzqnc3qZSD-gt4KYlm6cH0cGIBTzN"/>
    <s v="S0130662E003"/>
    <d v="2021-07-12T00:00:00"/>
    <d v="2021-07-18T00:00:00"/>
    <n v="-708"/>
    <x v="131"/>
    <n v="714"/>
    <x v="0"/>
    <s v="Not Submitted"/>
    <n v="0"/>
    <s v="no"/>
    <n v="0"/>
    <s v="not yet"/>
  </r>
  <r>
    <s v="S0130721E002"/>
    <s v="SD"/>
    <s v="KPK dan FPB"/>
    <s v="https://drive.google.com/open?id=1GZt4Rv2Qb0I8dfXj9zICWMpqu4gBd1pg"/>
    <s v="S0130721E002"/>
    <d v="2021-07-12T00:00:00"/>
    <d v="2021-07-18T00:00:00"/>
    <n v="-708"/>
    <x v="131"/>
    <n v="714"/>
    <x v="0"/>
    <s v="Not Submitted"/>
    <n v="0"/>
    <s v="no"/>
    <n v="0"/>
    <s v="not yet"/>
  </r>
  <r>
    <s v="S0130732E005"/>
    <s v="SD"/>
    <s v="KPK dan FPB"/>
    <s v="https://drive.google.com/open?id=1uIbe2_nIlrs5XNIKSKZDYiz-Ns7T9J82"/>
    <s v="S0130732E005"/>
    <d v="2021-07-12T00:00:00"/>
    <d v="2021-07-18T00:00:00"/>
    <n v="-708"/>
    <x v="131"/>
    <n v="714"/>
    <x v="0"/>
    <s v="Not Submitted"/>
    <n v="0"/>
    <s v="no"/>
    <n v="0"/>
    <s v="not yet"/>
  </r>
  <r>
    <s v="S0130744E002"/>
    <s v="SD"/>
    <s v="KPK dan FPB"/>
    <s v="https://drive.google.com/open?id=10Xd0IAXXhpy3NZUC96HU5Ytx6E5cDQtR"/>
    <s v="S0130744E002"/>
    <d v="2021-07-12T00:00:00"/>
    <d v="2021-07-18T00:00:00"/>
    <n v="-708"/>
    <x v="131"/>
    <n v="714"/>
    <x v="0"/>
    <s v="Not Submitted"/>
    <n v="0"/>
    <s v="no"/>
    <n v="0"/>
    <s v="not yet"/>
  </r>
  <r>
    <s v="S0370412E001"/>
    <s v="SD"/>
    <s v="KPK dan FPB"/>
    <s v="https://drive.google.com/open?id=1q_nbFqUY15C37i7cA7OJzJllmi6tFgw2"/>
    <s v="S0370412E001"/>
    <d v="2021-07-12T00:00:00"/>
    <d v="2021-07-18T00:00:00"/>
    <n v="-708"/>
    <x v="131"/>
    <n v="714"/>
    <x v="0"/>
    <s v="Not Submitted"/>
    <n v="0"/>
    <s v="no"/>
    <n v="0"/>
    <s v="not yet"/>
  </r>
  <r>
    <s v="S0370412E002"/>
    <s v="SD"/>
    <s v="KPK dan FPB"/>
    <s v="https://drive.google.com/open?id=1R6kyIwXIiZYLcjYXCgIuO9fgKuzZyK39"/>
    <s v="S0370412E002"/>
    <d v="2021-07-12T00:00:00"/>
    <d v="2021-07-18T00:00:00"/>
    <n v="-708"/>
    <x v="131"/>
    <n v="714"/>
    <x v="0"/>
    <s v="Not Submitted"/>
    <n v="0"/>
    <s v="no"/>
    <n v="0"/>
    <s v="not yet"/>
  </r>
  <r>
    <s v="S0220212E009"/>
    <s v="SD"/>
    <s v="Kecepatan Dan Debit"/>
    <s v="https://drive.google.com/open?id=1_DhHKZfVWhiB7nEmmQTksngkWV7K2sgQ"/>
    <s v="S0220212E009"/>
    <d v="2021-07-12T00:00:00"/>
    <d v="2021-07-18T00:00:00"/>
    <n v="-708"/>
    <x v="131"/>
    <n v="714"/>
    <x v="0"/>
    <s v="Not Submitted"/>
    <n v="0"/>
    <s v="no"/>
    <n v="0"/>
    <s v="not yet"/>
  </r>
  <r>
    <s v="S0220231c003"/>
    <s v="SD"/>
    <s v="Kecepatan Dan Debit"/>
    <s v="https://drive.google.com/open?id=1eNn_xbG8UbG5IYgPbyhULuiLBA5C9y6z"/>
    <s v="S0220231c003"/>
    <d v="2021-07-12T00:00:00"/>
    <d v="2021-07-18T00:00:00"/>
    <n v="-708"/>
    <x v="131"/>
    <n v="714"/>
    <x v="0"/>
    <s v="Not Submitted"/>
    <n v="0"/>
    <s v="no"/>
    <n v="0"/>
    <s v="not yet"/>
  </r>
  <r>
    <s v="S0130731P002"/>
    <s v="SD"/>
    <s v="KPK dan FPB"/>
    <s v="https://drive.google.com/open?id=1eenMBPJqMIliUoX3cOhyUZzOo-hWLJHV"/>
    <s v="S0130731P002"/>
    <d v="2021-07-12T00:00:00"/>
    <d v="2021-07-18T00:00:00"/>
    <n v="-708"/>
    <x v="131"/>
    <n v="714"/>
    <x v="0"/>
    <s v="Not Submitted"/>
    <n v="0"/>
    <s v="no"/>
    <n v="0"/>
    <s v="not yet"/>
  </r>
  <r>
    <s v="S0171423E002"/>
    <s v="SD"/>
    <s v="KPK dan FPB"/>
    <s v="https://drive.google.com/open?id=1nAcA6rK1G7zm1DsXJjFVH1_M6yoDhQCb"/>
    <s v="S0171423E002"/>
    <d v="2021-07-12T00:00:00"/>
    <d v="2021-07-18T00:00:00"/>
    <n v="-708"/>
    <x v="131"/>
    <n v="714"/>
    <x v="0"/>
    <s v="Not Submitted"/>
    <n v="0"/>
    <s v="no"/>
    <n v="0"/>
    <s v="not yet"/>
  </r>
  <r>
    <s v="S0130691E005"/>
    <s v="SD"/>
    <s v="KPK dan FPB"/>
    <s v="https://drive.google.com/open?id=1L5ABPLTY-5AoDrZKVXRHNkLG_QvTDyTq"/>
    <s v="S0130691E005"/>
    <d v="2021-07-12T00:00:00"/>
    <d v="2021-07-18T00:00:00"/>
    <n v="-708"/>
    <x v="131"/>
    <n v="714"/>
    <x v="0"/>
    <s v="Not Submitted"/>
    <n v="0"/>
    <s v="no"/>
    <n v="0"/>
    <s v="not yet"/>
  </r>
  <r>
    <s v="S0140321E004"/>
    <s v="SD"/>
    <s v="Kecepatan Dan Debit"/>
    <s v="https://drive.google.com/open?id=1QQFIMfakuxAp_ray5o2R10YzFCT-52Rd"/>
    <s v="S0140321E004"/>
    <d v="2021-07-19T00:00:00"/>
    <d v="2021-07-25T00:00:00"/>
    <n v="-701"/>
    <x v="131"/>
    <n v="707"/>
    <x v="1"/>
    <s v="Rejected"/>
    <n v="1"/>
    <s v="no"/>
    <n v="0"/>
    <s v="not yet"/>
  </r>
  <r>
    <s v="S0380861E002"/>
    <s v="SD"/>
    <s v="Pecahan"/>
    <s v="https://drive.google.com/open?id=1jtb_PlGiM6ZQxTm64khGP11RwTBba9xM"/>
    <s v="S0380861E002"/>
    <d v="2021-07-19T00:00:00"/>
    <d v="2021-07-25T00:00:00"/>
    <n v="-701"/>
    <x v="131"/>
    <n v="707"/>
    <x v="0"/>
    <s v="Not Submitted"/>
    <n v="0"/>
    <s v="no"/>
    <n v="0"/>
    <s v="not yet"/>
  </r>
  <r>
    <s v="S0380861E003"/>
    <s v="SD"/>
    <s v="Pecahan"/>
    <s v="https://drive.google.com/open?id=1KFzAG1C0cl9IvHDA67_dwc--G3cY69b1"/>
    <s v="S0380861E003"/>
    <d v="2021-07-19T00:00:00"/>
    <d v="2021-07-25T00:00:00"/>
    <n v="-701"/>
    <x v="131"/>
    <n v="707"/>
    <x v="0"/>
    <s v="Not Submitted"/>
    <n v="0"/>
    <s v="no"/>
    <n v="0"/>
    <s v="not yet"/>
  </r>
  <r>
    <s v="S0380861E004"/>
    <s v="SD"/>
    <s v="Pecahan"/>
    <s v="https://drive.google.com/open?id=1L5Yc50t-7RjZarzkCZCL9p-Zat7h9k-w"/>
    <s v="S0380861E004"/>
    <d v="2021-07-19T00:00:00"/>
    <d v="2021-07-25T00:00:00"/>
    <n v="-701"/>
    <x v="131"/>
    <n v="707"/>
    <x v="0"/>
    <s v="Not Submitted"/>
    <n v="0"/>
    <s v="no"/>
    <n v="0"/>
    <s v="not yet"/>
  </r>
  <r>
    <s v="S0380861E007"/>
    <s v="SD"/>
    <s v="Pecahan"/>
    <s v="https://drive.google.com/open?id=1Kq0vkv7U8GmUCSTHxvJHKR5R46G_-oCI"/>
    <s v="S0380861E007"/>
    <d v="2021-07-19T00:00:00"/>
    <d v="2021-07-25T00:00:00"/>
    <n v="-701"/>
    <x v="131"/>
    <n v="707"/>
    <x v="0"/>
    <s v="Not Submitted"/>
    <n v="0"/>
    <s v="no"/>
    <n v="0"/>
    <s v="not yet"/>
  </r>
  <r>
    <s v="S0380881E001"/>
    <s v="SD"/>
    <s v="Pecahan"/>
    <s v="https://drive.google.com/open?id=13qNnMnkQvsSbwJ2_PnkH7jXc0kvt7OkH"/>
    <s v="S0380881E001"/>
    <d v="2021-07-19T00:00:00"/>
    <d v="2021-07-25T00:00:00"/>
    <n v="-701"/>
    <x v="131"/>
    <n v="707"/>
    <x v="0"/>
    <s v="Not Submitted"/>
    <n v="0"/>
    <s v="no"/>
    <n v="0"/>
    <s v="not yet"/>
  </r>
  <r>
    <s v="S0380881E005"/>
    <s v="SD"/>
    <s v="Pecahan"/>
    <s v="https://drive.google.com/open?id=191_hmXRjnmAGKyAotlk5kst8U-__WscS"/>
    <s v="S0380881E005"/>
    <d v="2021-07-19T00:00:00"/>
    <d v="2021-07-25T00:00:00"/>
    <n v="-701"/>
    <x v="131"/>
    <n v="707"/>
    <x v="0"/>
    <s v="Not Submitted"/>
    <n v="0"/>
    <s v="no"/>
    <n v="0"/>
    <s v="not yet"/>
  </r>
  <r>
    <s v="S0380971E002"/>
    <s v="SD"/>
    <s v="Operasi Bilangan Pecahan"/>
    <s v="https://drive.google.com/open?id=1-IE7PLwrd14YV7qy7JLrKz1XqoR_s91q"/>
    <s v="S0380971E002"/>
    <d v="2021-07-19T00:00:00"/>
    <d v="2021-07-25T00:00:00"/>
    <n v="-701"/>
    <x v="131"/>
    <n v="707"/>
    <x v="0"/>
    <s v="Not Submitted"/>
    <n v="0"/>
    <s v="no"/>
    <n v="0"/>
    <s v="not yet"/>
  </r>
  <r>
    <s v="S0380991E004"/>
    <s v="SD"/>
    <s v="Operasi Bilangan Pecahan"/>
    <s v="https://drive.google.com/open?id=13byNGlgkySXHO5z3-sR4EegYqd6pjRy0"/>
    <s v="S0380991E004"/>
    <d v="2021-07-19T00:00:00"/>
    <d v="2021-07-25T00:00:00"/>
    <n v="-701"/>
    <x v="131"/>
    <n v="707"/>
    <x v="0"/>
    <s v="Not Submitted"/>
    <n v="0"/>
    <s v="no"/>
    <n v="0"/>
    <s v="not yet"/>
  </r>
  <r>
    <s v="S0380992E002"/>
    <s v="SD"/>
    <s v="Operasi Bilangan Pecahan"/>
    <s v="https://drive.google.com/open?id=1YzjtOACgQCjycbumysl05BW6cUZDr7uQ"/>
    <s v="S0380992E002"/>
    <d v="2021-07-19T00:00:00"/>
    <d v="2021-07-25T00:00:00"/>
    <n v="-701"/>
    <x v="131"/>
    <n v="707"/>
    <x v="0"/>
    <s v="Not Submitted"/>
    <n v="0"/>
    <s v="no"/>
    <n v="0"/>
    <s v="not yet"/>
  </r>
  <r>
    <s v="S0381001E001"/>
    <s v="SD"/>
    <s v="Operasi Bilangan Pecahan"/>
    <s v="https://drive.google.com/open?id=1q-TVDQ16Zigd9e7WPVFDhFJ4n-15_wt0"/>
    <s v="S0381001E001"/>
    <d v="2021-07-19T00:00:00"/>
    <d v="2021-07-25T00:00:00"/>
    <n v="-701"/>
    <x v="131"/>
    <n v="707"/>
    <x v="0"/>
    <s v="Not Submitted"/>
    <n v="0"/>
    <s v="no"/>
    <n v="0"/>
    <s v="not yet"/>
  </r>
  <r>
    <s v="S0381001E002"/>
    <s v="SD"/>
    <s v="Operasi Bilangan Pecahan"/>
    <s v="https://drive.google.com/open?id=1jjM8LOzSAK0_yFGiSmswpEDUYxJbqgcO"/>
    <s v="S0381001E002"/>
    <d v="2021-07-19T00:00:00"/>
    <d v="2021-07-25T00:00:00"/>
    <n v="-701"/>
    <x v="131"/>
    <n v="707"/>
    <x v="0"/>
    <s v="Not Submitted"/>
    <n v="0"/>
    <s v="no"/>
    <n v="0"/>
    <s v="not yet"/>
  </r>
  <r>
    <s v="S0381001E003"/>
    <s v="SD"/>
    <s v="Operasi Bilangan Pecahan"/>
    <s v="https://drive.google.com/open?id=1RmUvhLnLTMAx3NvChyndzbANHNY_jvLe"/>
    <s v="S0381001E003"/>
    <d v="2021-07-19T00:00:00"/>
    <d v="2021-07-25T00:00:00"/>
    <n v="-701"/>
    <x v="131"/>
    <n v="707"/>
    <x v="0"/>
    <s v="Not Submitted"/>
    <n v="0"/>
    <s v="no"/>
    <n v="0"/>
    <s v="not yet"/>
  </r>
  <r>
    <s v="S0381001E004"/>
    <s v="SD"/>
    <s v="Operasi Bilangan Pecahan"/>
    <s v="https://drive.google.com/open?id=1ezJqPaZcD7L2n3gIZP3L_JamIBOCEQRr"/>
    <s v="S0381001E004"/>
    <d v="2021-07-19T00:00:00"/>
    <d v="2021-07-25T00:00:00"/>
    <n v="-701"/>
    <x v="131"/>
    <n v="707"/>
    <x v="0"/>
    <s v="Not Submitted"/>
    <n v="0"/>
    <s v="no"/>
    <n v="0"/>
    <s v="not yet"/>
  </r>
  <r>
    <s v="S0381001E005"/>
    <s v="SD"/>
    <s v="Operasi Bilangan Pecahan"/>
    <s v="https://drive.google.com/open?id=1GYvDdsWSXXYOKlpJCiTODHTmOQdzyGvn"/>
    <s v="S0381001E005"/>
    <d v="2021-07-19T00:00:00"/>
    <d v="2021-07-25T00:00:00"/>
    <n v="-701"/>
    <x v="131"/>
    <n v="707"/>
    <x v="0"/>
    <s v="Not Submitted"/>
    <n v="0"/>
    <s v="no"/>
    <n v="0"/>
    <s v="not yet"/>
  </r>
  <r>
    <s v="S0381001E006"/>
    <s v="SD"/>
    <s v="Operasi Bilangan Pecahan"/>
    <s v="https://drive.google.com/open?id=1pIm-Fw6iKOAd2aZSTm0CDz-6YT5mwFTg"/>
    <s v="S0381001E006"/>
    <d v="2021-07-19T00:00:00"/>
    <d v="2021-07-25T00:00:00"/>
    <n v="-701"/>
    <x v="131"/>
    <n v="707"/>
    <x v="0"/>
    <s v="Not Submitted"/>
    <n v="0"/>
    <s v="no"/>
    <n v="0"/>
    <s v="not yet"/>
  </r>
  <r>
    <s v="S0381001E008"/>
    <s v="SD"/>
    <s v="Operasi Bilangan Pecahan"/>
    <s v="https://drive.google.com/open?id=1v6ZfN8T22CEF6UeyAuPOSlZwviIDAUsa"/>
    <s v="S0381001E008"/>
    <d v="2021-07-19T00:00:00"/>
    <d v="2021-07-25T00:00:00"/>
    <n v="-701"/>
    <x v="131"/>
    <n v="707"/>
    <x v="0"/>
    <s v="Not Submitted"/>
    <n v="0"/>
    <s v="no"/>
    <n v="0"/>
    <s v="not yet"/>
  </r>
  <r>
    <s v="S0381001E009"/>
    <s v="SD"/>
    <s v="Operasi Bilangan Pecahan"/>
    <s v="https://drive.google.com/open?id=1NvUJNEVpNOSuTymQx39r1QoFgT-YaY9I"/>
    <s v="S0381001E009"/>
    <d v="2021-07-19T00:00:00"/>
    <d v="2021-07-25T00:00:00"/>
    <n v="-701"/>
    <x v="131"/>
    <n v="707"/>
    <x v="0"/>
    <s v="Not Submitted"/>
    <n v="0"/>
    <s v="no"/>
    <n v="0"/>
    <s v="not yet"/>
  </r>
  <r>
    <s v="S0381001E010"/>
    <s v="SD"/>
    <s v="Operasi Bilangan Pecahan"/>
    <s v="https://drive.google.com/open?id=1adZF5HBBAfdERifvbvA1BBgsy1xPMNnh"/>
    <s v="S0381001E010"/>
    <d v="2021-07-19T00:00:00"/>
    <d v="2021-07-25T00:00:00"/>
    <n v="-701"/>
    <x v="131"/>
    <n v="707"/>
    <x v="0"/>
    <s v="Not Submitted"/>
    <n v="0"/>
    <s v="no"/>
    <n v="0"/>
    <s v="not yet"/>
  </r>
  <r>
    <s v="S0381001E011"/>
    <s v="SD"/>
    <s v="Operasi Bilangan Pecahan"/>
    <s v="https://drive.google.com/open?id=1Mi1j3SFUJpGqeERp9x4bQsAizP1PQdXS"/>
    <s v="S0381001E011"/>
    <d v="2021-07-19T00:00:00"/>
    <d v="2021-07-25T00:00:00"/>
    <n v="-701"/>
    <x v="131"/>
    <n v="707"/>
    <x v="0"/>
    <s v="Not Submitted"/>
    <n v="0"/>
    <s v="no"/>
    <n v="0"/>
    <s v="not yet"/>
  </r>
  <r>
    <s v="S0381031E001"/>
    <s v="SD"/>
    <s v="Pecahan"/>
    <s v="https://drive.google.com/open?id=1glKkf1TRfp-jGK7HjcXI5_IiWG40Yipv"/>
    <s v="S0381031E001"/>
    <d v="2021-07-19T00:00:00"/>
    <d v="2021-07-25T00:00:00"/>
    <n v="-701"/>
    <x v="131"/>
    <n v="707"/>
    <x v="0"/>
    <s v="Not Submitted"/>
    <n v="0"/>
    <s v="no"/>
    <n v="0"/>
    <s v="not yet"/>
  </r>
  <r>
    <s v="S0381031E002"/>
    <s v="SD"/>
    <s v="Pecahan"/>
    <s v="https://drive.google.com/open?id=13tsQlK6J9zRO1j6EADVcpkbYRYukQk9C"/>
    <s v="S0381031E002"/>
    <d v="2021-07-19T00:00:00"/>
    <d v="2021-07-25T00:00:00"/>
    <n v="-701"/>
    <x v="131"/>
    <n v="707"/>
    <x v="0"/>
    <s v="Not Submitted"/>
    <n v="0"/>
    <s v="no"/>
    <n v="0"/>
    <s v="not yet"/>
  </r>
  <r>
    <s v="S0381031E003"/>
    <s v="SD"/>
    <s v="Pecahan"/>
    <s v="https://drive.google.com/open?id=128RncTS2xyFzpEXlki8slOa_x3ryfwyE"/>
    <s v="S0381031E003"/>
    <d v="2021-07-19T00:00:00"/>
    <d v="2021-07-25T00:00:00"/>
    <n v="-701"/>
    <x v="131"/>
    <n v="707"/>
    <x v="0"/>
    <s v="Not Submitted"/>
    <n v="0"/>
    <s v="no"/>
    <n v="0"/>
    <s v="not yet"/>
  </r>
  <r>
    <s v="S0381031E005"/>
    <s v="SD"/>
    <s v="Pecahan"/>
    <s v="https://drive.google.com/open?id=1uioMPRqlssex_DyQfTvK0ax-AwD-tLoK"/>
    <s v="S0381031E005"/>
    <d v="2021-07-19T00:00:00"/>
    <d v="2021-07-25T00:00:00"/>
    <n v="-701"/>
    <x v="131"/>
    <n v="707"/>
    <x v="0"/>
    <s v="Not Submitted"/>
    <n v="0"/>
    <s v="no"/>
    <n v="0"/>
    <s v="not yet"/>
  </r>
  <r>
    <s v="S0381031E006"/>
    <s v="SD"/>
    <s v="Pecahan"/>
    <s v="https://drive.google.com/open?id=1GCagG0oCz8GRn1WkHwyovXNbgKM5TiYf"/>
    <s v="S0381031E006"/>
    <d v="2021-07-19T00:00:00"/>
    <d v="2021-07-25T00:00:00"/>
    <n v="-701"/>
    <x v="131"/>
    <n v="707"/>
    <x v="0"/>
    <s v="Not Submitted"/>
    <n v="0"/>
    <s v="no"/>
    <n v="0"/>
    <s v="not yet"/>
  </r>
  <r>
    <s v="S0381031E007"/>
    <s v="SD"/>
    <s v="Pecahan"/>
    <s v="https://drive.google.com/open?id=1h2_Bi8az12CoPl3_kWgLR2wVG0B6qEBl"/>
    <s v="S0381031E007"/>
    <d v="2021-07-19T00:00:00"/>
    <d v="2021-07-25T00:00:00"/>
    <n v="-701"/>
    <x v="131"/>
    <n v="707"/>
    <x v="0"/>
    <s v="Not Submitted"/>
    <n v="0"/>
    <s v="no"/>
    <n v="0"/>
    <s v="not yet"/>
  </r>
  <r>
    <s v="S0381042E003"/>
    <s v="SD"/>
    <s v="Pecahan"/>
    <s v="https://drive.google.com/open?id=1u1LJRkD_HSxzeicH351LZV0vhfBbY3MU"/>
    <s v="S0381042E003"/>
    <d v="2021-07-19T00:00:00"/>
    <d v="2021-07-25T00:00:00"/>
    <n v="-701"/>
    <x v="131"/>
    <n v="707"/>
    <x v="0"/>
    <s v="Not Submitted"/>
    <n v="0"/>
    <s v="no"/>
    <n v="0"/>
    <s v="not yet"/>
  </r>
  <r>
    <s v="S0381051E001"/>
    <s v="SD"/>
    <s v="Pecahan"/>
    <s v="https://drive.google.com/open?id=1mJoDIQKrutlZ7wFa1VEo1PR2hfHwygF4"/>
    <s v="S0381051E001"/>
    <d v="2021-07-19T00:00:00"/>
    <d v="2021-07-25T00:00:00"/>
    <n v="-701"/>
    <x v="131"/>
    <n v="707"/>
    <x v="0"/>
    <s v="Not Submitted"/>
    <n v="0"/>
    <s v="no"/>
    <n v="0"/>
    <s v="not yet"/>
  </r>
  <r>
    <s v="S0381051E004"/>
    <s v="SD"/>
    <s v="Pecahan"/>
    <s v="https://drive.google.com/open?id=1vMNU1Po4VVWtGixYIewpLDg1vQMQkrrL"/>
    <s v="S0381051E004"/>
    <d v="2021-07-19T00:00:00"/>
    <d v="2021-07-25T00:00:00"/>
    <n v="-701"/>
    <x v="131"/>
    <n v="707"/>
    <x v="0"/>
    <s v="Not Submitted"/>
    <n v="0"/>
    <s v="no"/>
    <n v="0"/>
    <s v="not yet"/>
  </r>
  <r>
    <s v="S0381051E006"/>
    <s v="SD"/>
    <s v="Pecahan"/>
    <s v="https://drive.google.com/open?id=1m-K59Zpebxz8wduMq12HhJkIFDHpk8x7"/>
    <s v="S0381051E006"/>
    <d v="2021-07-19T00:00:00"/>
    <d v="2021-07-25T00:00:00"/>
    <n v="-701"/>
    <x v="131"/>
    <n v="707"/>
    <x v="0"/>
    <s v="Not Submitted"/>
    <n v="0"/>
    <s v="no"/>
    <n v="0"/>
    <s v="not yet"/>
  </r>
  <r>
    <s v="S0381051E007"/>
    <s v="SD"/>
    <s v="Pecahan"/>
    <s v="https://drive.google.com/open?id=1qT77b_ZVrrvVbvlccnmiH07qtAQUKSYT"/>
    <s v="S0381051E007"/>
    <d v="2021-07-19T00:00:00"/>
    <d v="2021-07-25T00:00:00"/>
    <n v="-701"/>
    <x v="131"/>
    <n v="707"/>
    <x v="0"/>
    <s v="Not Submitted"/>
    <n v="0"/>
    <s v="no"/>
    <n v="0"/>
    <s v="not yet"/>
  </r>
  <r>
    <s v="S0381051E012"/>
    <s v="SD"/>
    <s v="Operasi Bilangan Pecahan"/>
    <s v="https://drive.google.com/open?id=1jr2iFfH4IBZjL6oX_LFghnjGtp2qmZV1"/>
    <s v="S0381051E012"/>
    <d v="2021-07-19T00:00:00"/>
    <d v="2021-07-25T00:00:00"/>
    <n v="-701"/>
    <x v="131"/>
    <n v="707"/>
    <x v="0"/>
    <s v="Not Submitted"/>
    <n v="0"/>
    <s v="no"/>
    <n v="0"/>
    <s v="not yet"/>
  </r>
  <r>
    <s v="S0381051E013"/>
    <s v="SD"/>
    <s v="Operasi Bilangan Pecahan"/>
    <s v="https://drive.google.com/open?id=1xtksi4q2_4WbZ-7US1e-PFHk4Tpb8CMz"/>
    <s v="S0381051E013"/>
    <d v="2021-07-19T00:00:00"/>
    <d v="2021-07-25T00:00:00"/>
    <n v="-701"/>
    <x v="131"/>
    <n v="707"/>
    <x v="0"/>
    <s v="Not Submitted"/>
    <n v="0"/>
    <s v="no"/>
    <n v="0"/>
    <s v="not yet"/>
  </r>
  <r>
    <s v="S0381331P007"/>
    <s v="SD"/>
    <s v="Operasi Bilangan Pecahan"/>
    <s v="https://drive.google.com/open?id=1DeiBhYWQM1iNyxBN_G6abYmdmBQG7VAy"/>
    <s v="S0381331P007"/>
    <d v="2021-07-19T00:00:00"/>
    <d v="2021-07-25T00:00:00"/>
    <n v="-701"/>
    <x v="131"/>
    <n v="707"/>
    <x v="0"/>
    <s v="Not Submitted"/>
    <n v="0"/>
    <s v="no"/>
    <n v="0"/>
    <s v="not yet"/>
  </r>
  <r>
    <s v="S0150351E001"/>
    <s v="SD"/>
    <s v="Pecahan"/>
    <s v="https://drive.google.com/open?id=1ipEJghnxzlr628jwU8FgdqA3Y0ADd8NI"/>
    <s v="S0150351E001"/>
    <d v="2021-08-02T00:00:00"/>
    <d v="2021-08-08T00:00:00"/>
    <n v="-687"/>
    <x v="131"/>
    <n v="693"/>
    <x v="0"/>
    <s v="Not Submitted"/>
    <n v="0"/>
    <s v="no"/>
    <n v="0"/>
    <s v="not yet"/>
  </r>
  <r>
    <s v="S0410432E004"/>
    <s v="SD"/>
    <s v="Bangun Ruang Sisi Lengkung"/>
    <s v="https://drive.google.com/open?id=1VNSDr-N5UN_C30FXNAGtTYDlfzXipGPN"/>
    <s v="S0410432E004"/>
    <d v="2021-08-02T00:00:00"/>
    <d v="2021-08-08T00:00:00"/>
    <n v="-687"/>
    <x v="131"/>
    <n v="693"/>
    <x v="0"/>
    <s v="Not Submitted"/>
    <n v="0"/>
    <s v="no"/>
    <n v="0"/>
    <s v="not yet"/>
  </r>
  <r>
    <s v="S0571882E019"/>
    <s v="SD"/>
    <s v="Bangun Ruang Sisi Lengkung"/>
    <s v="https://drive.google.com/open?id=1lJ9rlR3o2E3eXyd4mANSokS83N63kP0o"/>
    <s v="S0571882E019"/>
    <d v="2021-08-02T00:00:00"/>
    <d v="2021-08-08T00:00:00"/>
    <n v="-687"/>
    <x v="131"/>
    <n v="693"/>
    <x v="0"/>
    <s v="Not Submitted"/>
    <n v="0"/>
    <s v="no"/>
    <n v="0"/>
    <s v="not yet"/>
  </r>
  <r>
    <s v="V0150852E009"/>
    <s v="SD"/>
    <s v="Skala"/>
    <s v="https://drive.google.com/open?id=1Ukl5-YKr1QvaG4SZQyTKqEg7kF6_JJnp"/>
    <s v="V0150852E009"/>
    <d v="2021-08-16T00:00:00"/>
    <d v="2021-08-22T00:00:00"/>
    <n v="-673"/>
    <x v="131"/>
    <n v="679"/>
    <x v="0"/>
    <s v="Not Submitted"/>
    <n v="0"/>
    <s v="no"/>
    <n v="0"/>
    <s v="not yet"/>
  </r>
  <r>
    <s v="S0341292E002"/>
    <s v="SD"/>
    <s v="Pecahan"/>
    <s v="https://drive.google.com/open?id=1hDOJOS2Yx9Z0VQ1Q_gIl_TOUgL_WrExs"/>
    <s v="S0341292E002"/>
    <d v="2021-08-16T00:00:00"/>
    <d v="2021-08-22T00:00:00"/>
    <n v="-673"/>
    <x v="131"/>
    <n v="679"/>
    <x v="0"/>
    <s v="Not Submitted"/>
    <n v="0"/>
    <s v="no"/>
    <n v="0"/>
    <s v="not yet"/>
  </r>
  <r>
    <s v="S0191282E002"/>
    <s v="SD"/>
    <s v="Pecahan"/>
    <s v="https://drive.google.com/open?id=1Gxakr8bUbgktqnQNHI1EjSi8tpCxdAl9"/>
    <s v="S0191282E002"/>
    <d v="2021-08-16T00:00:00"/>
    <d v="2021-08-22T00:00:00"/>
    <n v="-673"/>
    <x v="131"/>
    <n v="679"/>
    <x v="0"/>
    <s v="Not Submitted"/>
    <n v="0"/>
    <s v="no"/>
    <n v="0"/>
    <s v="not yet"/>
  </r>
  <r>
    <s v="S0370401E005"/>
    <s v="SD"/>
    <s v="KPK dan FPB"/>
    <s v="https://drive.google.com/open?id=1goESmWnD36zVPXvjQ4sxLMmBcaPLox_w"/>
    <s v="S0370401E005"/>
    <d v="2021-08-23T00:00:00"/>
    <d v="2021-08-26T00:00:00"/>
    <n v="-669"/>
    <x v="131"/>
    <n v="672"/>
    <x v="0"/>
    <s v="Not Submitted"/>
    <n v="0"/>
    <s v="no"/>
    <n v="0"/>
    <s v="not yet"/>
  </r>
  <r>
    <s v="V0140202E003"/>
    <s v="SD"/>
    <s v="Operasi Bilangan Pecahan"/>
    <s v="https://drive.google.com/open?id=1bjfDKSeX5vpDdDVTyhyH2tL5_NKQKNhG"/>
    <s v="V0140202E003"/>
    <d v="2021-08-23T00:00:00"/>
    <d v="2021-08-26T00:00:00"/>
    <n v="-669"/>
    <x v="131"/>
    <n v="672"/>
    <x v="0"/>
    <s v="Not Submitted"/>
    <n v="0"/>
    <s v="no"/>
    <n v="0"/>
    <s v="not yet"/>
  </r>
  <r>
    <s v="V0130601P013"/>
    <s v="SD"/>
    <s v="Bangun Datar"/>
    <s v="https://drive.google.com/open?id=15K9PmA2RY8P4HlkGtwD_c6hJ-zRIp_rO"/>
    <s v="V0130601P013"/>
    <d v="2021-08-23T00:00:00"/>
    <d v="2021-08-26T00:00:00"/>
    <n v="-669"/>
    <x v="131"/>
    <n v="672"/>
    <x v="0"/>
    <s v="Not Submitted"/>
    <n v="0"/>
    <s v="no"/>
    <n v="0"/>
    <s v="not yet"/>
  </r>
  <r>
    <s v="V0130783E005"/>
    <s v="SD"/>
    <s v="Bangun Ruang"/>
    <s v="https://drive.google.com/open?id=1ocL4oTYN4xbmYD6I--u5UTswYujzKoR-"/>
    <s v="V0130783E005"/>
    <d v="2021-08-23T00:00:00"/>
    <d v="2021-08-26T00:00:00"/>
    <n v="-669"/>
    <x v="131"/>
    <n v="672"/>
    <x v="0"/>
    <s v="Not Submitted"/>
    <n v="0"/>
    <s v="no"/>
    <n v="0"/>
    <s v="not yet"/>
  </r>
  <r>
    <s v="S0170292E001"/>
    <s v="SD"/>
    <s v="Aproksimasi / Pembulatan"/>
    <s v="https://drive.google.com/open?id=1HmPFDzs7nOT0c4g0Lt-YaDRK6RLSbCkT"/>
    <s v="S0170292E001"/>
    <d v="2021-08-23T00:00:00"/>
    <d v="2021-08-26T00:00:00"/>
    <n v="-669"/>
    <x v="131"/>
    <n v="672"/>
    <x v="0"/>
    <s v="Not Submitted"/>
    <n v="0"/>
    <s v="no"/>
    <n v="0"/>
    <s v="not yet"/>
  </r>
  <r>
    <s v="S0350272E005"/>
    <s v="SD"/>
    <s v="Aproksimasi / Pembulatan"/>
    <s v="https://drive.google.com/open?id=1pGZdhVJdjep9lilFM9Pg0pt9CmUTXciy"/>
    <s v="S0350272E005"/>
    <d v="2021-08-23T00:00:00"/>
    <d v="2021-08-26T00:00:00"/>
    <n v="-669"/>
    <x v="131"/>
    <n v="672"/>
    <x v="0"/>
    <s v="Not Submitted"/>
    <n v="0"/>
    <s v="no"/>
    <n v="0"/>
    <s v="not yet"/>
  </r>
  <r>
    <s v="S0150737E001"/>
    <s v="SD"/>
    <s v="Bangun Ruang Sisi Lengkung"/>
    <s v="https://drive.google.com/open?id=19xXnCmb4jGcAXvy7f6QV_CifOKKDr-w1"/>
    <s v="S0150737E001"/>
    <d v="2021-08-27T00:00:00"/>
    <d v="2021-08-29T00:00:00"/>
    <n v="-666"/>
    <x v="131"/>
    <n v="668"/>
    <x v="0"/>
    <s v="Not Submitted"/>
    <n v="0"/>
    <s v="no"/>
    <n v="0"/>
    <s v="not yet"/>
  </r>
  <r>
    <s v="S0300392E001"/>
    <s v="SD"/>
    <s v="Bangun Datar"/>
    <s v="https://drive.google.com/open?id=1-bOH8bkYrEleJoZ8RbDnhDUMxkv6zByX"/>
    <s v="S0300392E001"/>
    <d v="2021-08-27T00:00:00"/>
    <d v="2021-08-29T00:00:00"/>
    <n v="-666"/>
    <x v="131"/>
    <n v="668"/>
    <x v="0"/>
    <s v="Not Submitted"/>
    <n v="0"/>
    <s v="no"/>
    <n v="0"/>
    <s v="not yet"/>
  </r>
  <r>
    <s v="S0580102E001"/>
    <s v="SD"/>
    <s v="Operasi Bilangan Pecahan"/>
    <s v="https://drive.google.com/open?id=1IYDICNs1J2M0xeBisvqg8N2_cA814Ydd"/>
    <s v="S0580102E001"/>
    <d v="2021-08-27T00:00:00"/>
    <d v="2021-08-29T00:00:00"/>
    <n v="-666"/>
    <x v="131"/>
    <n v="668"/>
    <x v="0"/>
    <s v="Not Submitted"/>
    <n v="0"/>
    <s v="no"/>
    <n v="0"/>
    <s v="not yet"/>
  </r>
  <r>
    <s v="V0130103E005"/>
    <s v="SD"/>
    <s v="Bilangan Bulat"/>
    <s v="https://drive.google.com/open?id=1EyN9kkkLMz28e6HruJaIykkfWtITgj-n"/>
    <s v="V0130103E005"/>
    <d v="2021-08-27T00:00:00"/>
    <d v="2021-08-29T00:00:00"/>
    <n v="-666"/>
    <x v="131"/>
    <n v="668"/>
    <x v="0"/>
    <s v="Not Submitted"/>
    <n v="0"/>
    <s v="no"/>
    <n v="0"/>
    <s v="not yet"/>
  </r>
  <r>
    <s v="S0291362E006"/>
    <s v="SD"/>
    <s v="Operasi Bilangan Pecahan"/>
    <s v="https://drive.google.com/open?id=1oSlaLQAbksTerPYIMti5zL1X7rXaYaRu"/>
    <s v="S0291362E006"/>
    <d v="2021-08-27T00:00:00"/>
    <d v="2021-08-29T00:00:00"/>
    <n v="-666"/>
    <x v="131"/>
    <n v="668"/>
    <x v="4"/>
    <s v="Rejected"/>
    <n v="1"/>
    <s v="no"/>
    <n v="0"/>
    <s v="not yet"/>
  </r>
  <r>
    <s v="S0510501E002"/>
    <s v="SD"/>
    <s v="Operasi Bilangan Pecahan"/>
    <s v="https://drive.google.com/open?id=1DsjHh4PQaA-__pOz6o_FP8wWF27VYzCU"/>
    <s v="S0510501E002"/>
    <d v="2021-08-27T00:00:00"/>
    <d v="2021-08-29T00:00:00"/>
    <n v="-666"/>
    <x v="131"/>
    <n v="668"/>
    <x v="4"/>
    <s v="Rejected"/>
    <n v="1"/>
    <s v="no"/>
    <n v="0"/>
    <s v="not yet"/>
  </r>
  <r>
    <s v="S0151151P025"/>
    <s v="SD"/>
    <s v="Bangun Ruang Sisi Lengkung"/>
    <s v="https://drive.google.com/open?id=1-xqwJOwr9EIH3RMZyoKvYaE-R8EvG_Hz"/>
    <s v="S0151151P025"/>
    <d v="2021-08-27T00:00:00"/>
    <d v="2021-08-29T00:00:00"/>
    <n v="-666"/>
    <x v="131"/>
    <n v="668"/>
    <x v="2"/>
    <s v="Rejected"/>
    <n v="1"/>
    <s v="no"/>
    <n v="0"/>
    <s v="not yet"/>
  </r>
  <r>
    <s v="S0150874E001"/>
    <s v="SD"/>
    <s v="Bangun Ruang Sisi Lengkung"/>
    <s v="https://drive.google.com/open?id=1zB_RapXD0eK04e6p4PRSvfEWeNLbbNbE"/>
    <s v="S0150874E001"/>
    <d v="2021-08-30T00:00:00"/>
    <d v="2021-09-02T00:00:00"/>
    <n v="-662"/>
    <x v="131"/>
    <n v="665"/>
    <x v="0"/>
    <s v="Not Submitted"/>
    <n v="0"/>
    <s v="no"/>
    <n v="0"/>
    <s v="not yet"/>
  </r>
  <r>
    <s v="S0400761E001"/>
    <s v="SD"/>
    <s v="Bangun Datar"/>
    <s v="https://drive.google.com/open?id=1hEQXa63ipsz-XHsSq7BiqeCdvXUe7-yp"/>
    <s v="S0400761E001"/>
    <d v="2021-08-30T00:00:00"/>
    <d v="2021-09-02T00:00:00"/>
    <n v="-662"/>
    <x v="131"/>
    <n v="665"/>
    <x v="0"/>
    <s v="Not Submitted"/>
    <n v="0"/>
    <s v="no"/>
    <n v="0"/>
    <s v="not yet"/>
  </r>
  <r>
    <s v="T0055601P001"/>
    <s v="SD"/>
    <s v="Perpangkatan Dan Akar"/>
    <s v="https://drive.google.com/open?id=1L2f0Ruo1690uy9Htpx1ZLFb7gKDzSuiK"/>
    <s v="T0055601P001"/>
    <d v="2021-08-30T00:00:00"/>
    <d v="2021-09-02T00:00:00"/>
    <n v="-662"/>
    <x v="131"/>
    <n v="665"/>
    <x v="0"/>
    <s v="Not Submitted"/>
    <n v="0"/>
    <s v="no"/>
    <n v="0"/>
    <s v="not yet"/>
  </r>
  <r>
    <s v="T005J703P001"/>
    <s v="SD"/>
    <s v="Bangun Ruang"/>
    <s v="https://drive.google.com/open?id=129w5dSHWER5RY68ZoZSFCnO-_QVKoIoj"/>
    <s v="T005J703P001"/>
    <d v="2021-08-30T00:00:00"/>
    <d v="2021-09-02T00:00:00"/>
    <n v="-662"/>
    <x v="131"/>
    <n v="665"/>
    <x v="0"/>
    <s v="Not Submitted"/>
    <n v="0"/>
    <s v="no"/>
    <n v="0"/>
    <s v="not yet"/>
  </r>
  <r>
    <s v="T005P903P001"/>
    <s v="SD"/>
    <s v="Bangun Ruang"/>
    <s v="https://drive.google.com/open?id=1rWJoipApGeSt1C1tHqkfPKldr127yKdi"/>
    <s v="T005P903P001"/>
    <d v="2021-08-30T00:00:00"/>
    <d v="2021-09-02T00:00:00"/>
    <n v="-662"/>
    <x v="131"/>
    <n v="665"/>
    <x v="0"/>
    <s v="Not Submitted"/>
    <n v="0"/>
    <s v="no"/>
    <n v="0"/>
    <s v="not yet"/>
  </r>
  <r>
    <s v="T0090616E001"/>
    <s v="SD"/>
    <s v="Perpangkatan Dan Akar"/>
    <s v="https://drive.google.com/open?id=17wlUta69JANuel18k55qDa-UgDcj5ayc"/>
    <s v="T0090616E001"/>
    <d v="2021-09-03T00:00:00"/>
    <d v="2021-09-05T00:00:00"/>
    <n v="-659"/>
    <x v="131"/>
    <n v="661"/>
    <x v="2"/>
    <s v="Rejected"/>
    <n v="1"/>
    <s v="no"/>
    <n v="0"/>
    <s v="not yet"/>
  </r>
  <r>
    <s v="T007L003P001"/>
    <s v="SD"/>
    <s v="Statistika 6"/>
    <s v="https://drive.google.com/open?id=1aNLpcH1ZXiCDAXTikOPhEOSQ1T1jL4C6"/>
    <s v="T007L003P001"/>
    <d v="2021-09-03T00:00:00"/>
    <d v="2021-09-05T00:00:00"/>
    <n v="-659"/>
    <x v="131"/>
    <n v="661"/>
    <x v="0"/>
    <s v="Not Submitted"/>
    <n v="0"/>
    <s v="no"/>
    <n v="0"/>
    <s v="not yet"/>
  </r>
  <r>
    <s v="S0301681E001"/>
    <s v="SD"/>
    <s v="Statistika 6"/>
    <s v="https://drive.google.com/open?id=1DMJjpJYxmUqtCju1vSAc5Ke3auI1C65H"/>
    <s v="S0301681E001"/>
    <d v="2021-09-04T00:00:00"/>
    <d v="2021-09-05T00:00:00"/>
    <n v="-659"/>
    <x v="131"/>
    <n v="660"/>
    <x v="0"/>
    <s v="Not Submitted"/>
    <n v="0"/>
    <s v="no"/>
    <n v="0"/>
    <s v="not yet"/>
  </r>
  <r>
    <s v="V0130893E005"/>
    <s v="SD"/>
    <s v="Bangun Ruang"/>
    <s v="https://drive.google.com/open?id=1AC4qSW5ULuEUlFzTHpmJbrr1Xqumnd5f"/>
    <s v="V0130893E005"/>
    <d v="2021-09-06T00:00:00"/>
    <d v="2021-09-09T00:00:00"/>
    <n v="-655"/>
    <x v="131"/>
    <n v="658"/>
    <x v="0"/>
    <s v="Not Submitted"/>
    <n v="0"/>
    <s v="no"/>
    <n v="0"/>
    <s v="not yet"/>
  </r>
  <r>
    <s v="T006X101P001"/>
    <s v="SD"/>
    <s v="Bangun Ruang"/>
    <s v="https://drive.google.com/open?id=1K5poCG5WprqIcSYhN7iseVkKIXUHh5On"/>
    <s v="T006X101P001"/>
    <d v="2021-09-06T00:00:00"/>
    <d v="2021-09-09T00:00:00"/>
    <n v="-655"/>
    <x v="131"/>
    <n v="658"/>
    <x v="0"/>
    <s v="Not Submitted"/>
    <n v="0"/>
    <s v="no"/>
    <n v="0"/>
    <s v="not yet"/>
  </r>
  <r>
    <s v="S0811681E005"/>
    <s v="SD"/>
    <s v="Bangun Ruang"/>
    <s v="https://drive.google.com/open?id=1cwfX7NwgX0vNjUg5ToGrdIvF_zXq7y1l"/>
    <s v="S0811681E005"/>
    <d v="2021-09-06T00:00:00"/>
    <d v="2021-09-09T00:00:00"/>
    <n v="-655"/>
    <x v="131"/>
    <n v="658"/>
    <x v="0"/>
    <s v="Not Submitted"/>
    <n v="0"/>
    <s v="no"/>
    <n v="0"/>
    <s v="not yet"/>
  </r>
  <r>
    <s v="S0301641E003"/>
    <s v="SD"/>
    <s v="Statistika 6"/>
    <s v="https://drive.google.com/open?id=1T3ObbF7qAcvCb_-r6t5Jay45bEw6ygBl"/>
    <s v="S0301641E003"/>
    <d v="2021-09-04T00:00:00"/>
    <d v="2021-09-12T00:00:00"/>
    <n v="-652"/>
    <x v="131"/>
    <n v="660"/>
    <x v="0"/>
    <s v="Not Submitted"/>
    <n v="0"/>
    <s v="no"/>
    <n v="0"/>
    <s v="not yet"/>
  </r>
  <r>
    <s v="S0301651E002"/>
    <s v="SD"/>
    <s v="Statistika 6"/>
    <s v="https://drive.google.com/open?id=1xpk6b56myh24Q8-urjPB6AGkD6pw8XhZ"/>
    <s v="S0301651E002"/>
    <d v="2021-09-04T00:00:00"/>
    <d v="2021-09-12T00:00:00"/>
    <n v="-652"/>
    <x v="131"/>
    <n v="660"/>
    <x v="0"/>
    <s v="Not Submitted"/>
    <n v="0"/>
    <s v="no"/>
    <n v="0"/>
    <s v="not yet"/>
  </r>
  <r>
    <s v="T007J903P001"/>
    <s v="SD"/>
    <s v="Operasi Bilangan Pecahan"/>
    <s v="https://drive.google.com/open?id=1hRzvdPv_Vl8MkGzDsyUXRlzVaDG0vnin"/>
    <s v="T007J903P001"/>
    <d v="2021-09-10T00:00:00"/>
    <d v="2021-09-12T00:00:00"/>
    <n v="-652"/>
    <x v="131"/>
    <n v="654"/>
    <x v="0"/>
    <s v="Not Submitted"/>
    <n v="0"/>
    <s v="no"/>
    <n v="0"/>
    <s v="not yet"/>
  </r>
  <r>
    <s v="S0571771E004"/>
    <s v="SD"/>
    <s v="Bangun Ruang Sisi Lengkung"/>
    <s v="https://drive.google.com/open?id=1yrbmDydq-vU_NQWPpsg6Tx32Y2lW5h64"/>
    <s v="S0571771E004"/>
    <d v="2021-09-06T00:00:00"/>
    <d v="2021-09-13T00:00:00"/>
    <n v="-651"/>
    <x v="131"/>
    <n v="658"/>
    <x v="0"/>
    <s v="Not Submitted"/>
    <n v="0"/>
    <s v="no"/>
    <n v="0"/>
    <s v="not yet"/>
  </r>
  <r>
    <s v="S0472021E001"/>
    <s v="SD"/>
    <s v="Operasi Bilangan Pecahan"/>
    <s v="https://drive.google.com/open?id=1v7Rvhto9TRLbtZ1wjiCJ_otSj827PxUa"/>
    <s v="S0472021E001"/>
    <d v="2021-09-10T00:00:00"/>
    <d v="2021-09-16T00:00:00"/>
    <n v="-648"/>
    <x v="131"/>
    <n v="654"/>
    <x v="4"/>
    <s v="Rejected"/>
    <n v="1"/>
    <s v="no"/>
    <n v="0"/>
    <s v="not yet"/>
  </r>
  <r>
    <s v="T0290104P019"/>
    <s v="SD"/>
    <s v="Pengumpulan Dan Penyajian Data"/>
    <s v="https://drive.google.com/open?id=1meuyLU08IZX97Ww11mXd_lwGBg47sulE"/>
    <s v="T0290104P019"/>
    <d v="2021-09-13T00:00:00"/>
    <d v="2021-09-16T00:00:00"/>
    <n v="-648"/>
    <x v="131"/>
    <n v="651"/>
    <x v="0"/>
    <s v="Not Submitted"/>
    <n v="0"/>
    <s v="no"/>
    <n v="0"/>
    <s v="not yet"/>
  </r>
  <r>
    <s v="T0290104P020"/>
    <s v="SD"/>
    <s v="Pengumpulan Dan Penyajian Data"/>
    <s v="https://drive.google.com/open?id=1b-N1bcZhjgB43KMSlAUokGGnIL0v_YZB"/>
    <s v="T0290104P020"/>
    <d v="2021-09-13T00:00:00"/>
    <d v="2021-09-16T00:00:00"/>
    <n v="-648"/>
    <x v="131"/>
    <n v="651"/>
    <x v="0"/>
    <s v="Not Submitted"/>
    <n v="0"/>
    <s v="no"/>
    <n v="0"/>
    <s v="not yet"/>
  </r>
  <r>
    <s v="S0541201E004"/>
    <s v="SD"/>
    <s v="Pengumpulan Dan Penyajian Data"/>
    <s v="https://drive.google.com/open?id=1VLIKCkMpe7fNApN66xtScuSHGWbKvCEQ"/>
    <s v="S0541201E004"/>
    <d v="2021-09-13T00:00:00"/>
    <d v="2021-09-16T00:00:00"/>
    <n v="-648"/>
    <x v="131"/>
    <n v="651"/>
    <x v="0"/>
    <s v="Not Submitted"/>
    <n v="0"/>
    <s v="no"/>
    <n v="0"/>
    <s v="not yet"/>
  </r>
  <r>
    <s v="S0541201E005"/>
    <s v="SD"/>
    <s v="Pengumpulan Dan Penyajian Data"/>
    <s v="https://drive.google.com/open?id=1W2-OEtl_R_hZKUm6uctDdyFDWCFFddw3"/>
    <s v="S0541201E005"/>
    <d v="2021-09-13T00:00:00"/>
    <d v="2021-09-16T00:00:00"/>
    <n v="-648"/>
    <x v="131"/>
    <n v="651"/>
    <x v="0"/>
    <s v="Not Submitted"/>
    <n v="0"/>
    <s v="no"/>
    <n v="0"/>
    <s v="not yet"/>
  </r>
  <r>
    <s v="S0541101E001"/>
    <s v="SD"/>
    <s v="Sistem Koordinat"/>
    <s v="https://drive.google.com/open?id=1I_n0n_bWmCBXlfjDWLWfpnXVpY1pgotQ"/>
    <s v="S0541101E001"/>
    <d v="2021-09-17T00:00:00"/>
    <d v="2021-09-19T00:00:00"/>
    <n v="-645"/>
    <x v="131"/>
    <n v="647"/>
    <x v="0"/>
    <s v="Not Submitted"/>
    <n v="0"/>
    <s v="no"/>
    <n v="0"/>
    <s v="not yet"/>
  </r>
  <r>
    <s v="S0591831E005"/>
    <s v="SD"/>
    <s v="Statistika 6"/>
    <s v="https://drive.google.com/open?id=1WS8Lfxoipp4jdw9TpAirFonu5kCZU-CC"/>
    <s v="S0591831E005"/>
    <d v="2021-09-15T00:00:00"/>
    <d v="2021-09-22T00:00:00"/>
    <n v="-642"/>
    <x v="131"/>
    <n v="649"/>
    <x v="0"/>
    <s v="Not Submitted"/>
    <n v="0"/>
    <s v="no"/>
    <n v="0"/>
    <s v="not yet"/>
  </r>
  <r>
    <s v="S0380522E003"/>
    <s v="SD"/>
    <s v="Bangun Datar"/>
    <s v="https://drive.google.com/open?id=1oNYs6O3jb33JTNQuXEGZDSx-yyGzaPfC"/>
    <s v="S0380522E003"/>
    <d v="2021-07-19T00:00:00"/>
    <d v="2021-09-23T00:00:00"/>
    <n v="-641"/>
    <x v="131"/>
    <n v="707"/>
    <x v="2"/>
    <s v="Rejected"/>
    <n v="1"/>
    <s v="no"/>
    <n v="0"/>
    <s v="not yet"/>
  </r>
  <r>
    <s v="T007K103P001"/>
    <s v="SD"/>
    <s v="Operasi Bilangan Pecahan"/>
    <s v="https://drive.google.com/open?id=15qjvfhotXkDIfFJcFSuH5geMH9_DUJOF"/>
    <s v="T007K103P001"/>
    <d v="2021-09-10T00:00:00"/>
    <d v="2021-09-23T00:00:00"/>
    <n v="-641"/>
    <x v="131"/>
    <n v="654"/>
    <x v="0"/>
    <s v="Not Submitted"/>
    <n v="0"/>
    <s v="no"/>
    <n v="0"/>
    <s v="not yet"/>
  </r>
  <r>
    <s v="S0902041f027"/>
    <s v="SD"/>
    <s v="Perpangkatan Dan Akar"/>
    <s v="https://drive.google.com/open?id=1DeC4sPo2sBRw2hXTyMHsvmps7ScbOiYS"/>
    <s v="S0902041f027"/>
    <d v="2021-09-20T00:00:00"/>
    <d v="2021-09-23T00:00:00"/>
    <n v="-641"/>
    <x v="131"/>
    <n v="644"/>
    <x v="0"/>
    <s v="Not Submitted"/>
    <n v="0"/>
    <s v="no"/>
    <n v="0"/>
    <s v="not yet"/>
  </r>
  <r>
    <s v="V0170351P024"/>
    <s v="SD"/>
    <s v="Kecepatan Dan Debit"/>
    <s v="https://drive.google.com/open?id=1O9RUhGQKS_DF9jKri_dna-b_A6Fvsxcr"/>
    <s v="V0170351P024"/>
    <d v="2021-09-20T00:00:00"/>
    <d v="2021-09-23T00:00:00"/>
    <n v="-641"/>
    <x v="131"/>
    <n v="644"/>
    <x v="4"/>
    <s v="Rejected"/>
    <n v="1"/>
    <s v="no"/>
    <n v="0"/>
    <s v="not yet"/>
  </r>
  <r>
    <s v="S0150344E004"/>
    <s v="SD"/>
    <s v="Pecahan"/>
    <s v="https://drive.google.com/open?id=1vVvr9LBeZ5fwESExAMUybVr4D7ixezwv"/>
    <s v="S0150344E004"/>
    <d v="2021-09-20T00:00:00"/>
    <d v="2021-09-23T00:00:00"/>
    <n v="-641"/>
    <x v="131"/>
    <n v="644"/>
    <x v="2"/>
    <s v="Rejected"/>
    <n v="1"/>
    <s v="no"/>
    <n v="0"/>
    <s v="not yet"/>
  </r>
  <r>
    <s v="S0150804E001"/>
    <s v="SD"/>
    <s v="Bangun Ruang Sisi Lengkung"/>
    <s v="https://drive.google.com/open?id=1Dn2coNPjBziI70iBKHK5r5f7PWNUB9-E"/>
    <s v="S0150804E001"/>
    <d v="2021-09-20T00:00:00"/>
    <d v="2021-09-23T00:00:00"/>
    <n v="-641"/>
    <x v="131"/>
    <n v="644"/>
    <x v="0"/>
    <s v="Not Submitted"/>
    <n v="0"/>
    <s v="no"/>
    <n v="0"/>
    <s v="not yet"/>
  </r>
  <r>
    <s v="S0291021E002"/>
    <s v="SD"/>
    <s v="Bangun Datar"/>
    <s v="https://drive.google.com/open?id=1g-DIJ74vEIzAXFvcUvqSguclQhk8A_KU"/>
    <s v="S0291021E002"/>
    <d v="2021-09-20T00:00:00"/>
    <d v="2021-09-23T00:00:00"/>
    <n v="-641"/>
    <x v="131"/>
    <n v="644"/>
    <x v="2"/>
    <s v="Rejected"/>
    <n v="1"/>
    <s v="no"/>
    <n v="0"/>
    <s v="not yet"/>
  </r>
  <r>
    <s v="V0110253e003"/>
    <s v="SD"/>
    <s v="Operasi Bilangan Pecahan"/>
    <s v="https://drive.google.com/open?id=1h0IyuohmehAW7pDp4tQpmqfbpss2f_XC"/>
    <s v="V0110253e003"/>
    <d v="2021-09-20T00:00:00"/>
    <d v="2021-09-23T00:00:00"/>
    <n v="-641"/>
    <x v="131"/>
    <n v="644"/>
    <x v="1"/>
    <s v="Rejected"/>
    <n v="1"/>
    <s v="no"/>
    <n v="0"/>
    <s v="not yet"/>
  </r>
  <r>
    <s v="S0292722E013"/>
    <s v="SD"/>
    <s v="Operasi Bilangan Pecahan"/>
    <s v="https://drive.google.com/open?id=1Cas-8Z8LhUqMwubRLNh-7yywTMrdJhv7"/>
    <s v="S0292722E013"/>
    <d v="2021-09-20T00:00:00"/>
    <d v="2021-09-23T00:00:00"/>
    <n v="-641"/>
    <x v="131"/>
    <n v="644"/>
    <x v="2"/>
    <s v="Rejected"/>
    <n v="1"/>
    <s v="no"/>
    <n v="0"/>
    <s v="not yet"/>
  </r>
  <r>
    <s v="S0550432E004"/>
    <s v="SD"/>
    <s v="Operasi Bilangan Pecahan"/>
    <s v="https://drive.google.com/open?id=1jb6Ie7DElXEkBN-IaeIywBu4uZ-8GZQf"/>
    <s v="S0550432E004"/>
    <d v="2021-09-20T00:00:00"/>
    <d v="2021-09-23T00:00:00"/>
    <n v="-641"/>
    <x v="131"/>
    <n v="644"/>
    <x v="2"/>
    <s v="Rejected"/>
    <n v="1"/>
    <s v="no"/>
    <n v="0"/>
    <s v="not yet"/>
  </r>
  <r>
    <s v="S0251351c001"/>
    <s v="SD"/>
    <s v="Pecahan"/>
    <s v="https://drive.google.com/open?id=1d38BfTdJSQt2nT6dOF4imBrHvIJk7STY"/>
    <s v="S0251351c001"/>
    <d v="2021-09-20T00:00:00"/>
    <d v="2021-09-23T00:00:00"/>
    <n v="-641"/>
    <x v="131"/>
    <n v="644"/>
    <x v="2"/>
    <s v="Rejected"/>
    <n v="1"/>
    <s v="no"/>
    <n v="0"/>
    <s v="not yet"/>
  </r>
  <r>
    <s v="S0340952E001"/>
    <s v="SD"/>
    <s v="Bangun Datar"/>
    <s v="https://drive.google.com/open?id=1v_AjruG8gXguguPF-ej3es9aZBPRb38k"/>
    <s v="S0340952E001"/>
    <d v="2021-09-20T00:00:00"/>
    <d v="2021-09-23T00:00:00"/>
    <n v="-641"/>
    <x v="131"/>
    <n v="644"/>
    <x v="2"/>
    <s v="Rejected"/>
    <n v="1"/>
    <s v="no"/>
    <n v="0"/>
    <s v="not yet"/>
  </r>
  <r>
    <s v="S0150851E002"/>
    <s v="SD"/>
    <s v="Bangun Ruang Sisi Lengkung"/>
    <s v="https://drive.google.com/open?id=1ExhI5METy_ORUCT49Dswcp3_mnWTLBc6"/>
    <s v="S0150851E002"/>
    <d v="2021-09-20T00:00:00"/>
    <d v="2021-09-23T00:00:00"/>
    <n v="-641"/>
    <x v="131"/>
    <n v="644"/>
    <x v="0"/>
    <s v="Not Submitted"/>
    <n v="0"/>
    <s v="no"/>
    <n v="0"/>
    <s v="not yet"/>
  </r>
  <r>
    <s v="S0150701E001"/>
    <s v="SD"/>
    <s v="Bangun Ruang Sisi Lengkung"/>
    <s v="https://drive.google.com/open?id=1dLrjyryRvom25A5847rS6OHM85VRDRcC"/>
    <s v="S0150701E001"/>
    <d v="2021-09-20T00:00:00"/>
    <d v="2021-09-23T00:00:00"/>
    <n v="-641"/>
    <x v="131"/>
    <n v="644"/>
    <x v="2"/>
    <s v="Rejected"/>
    <n v="1"/>
    <s v="no"/>
    <n v="0"/>
    <s v="not yet"/>
  </r>
  <r>
    <s v="V0140212E004"/>
    <s v="SD"/>
    <s v="Operasi Bilangan Pecahan"/>
    <s v="https://drive.google.com/open?id=1tCcvBUNCuVaY9AKYsRGgyuwMNadCxoL1"/>
    <s v="V0140212E004"/>
    <d v="2021-09-20T00:00:00"/>
    <d v="2021-09-23T00:00:00"/>
    <n v="-641"/>
    <x v="131"/>
    <n v="644"/>
    <x v="0"/>
    <s v="Not Submitted"/>
    <n v="0"/>
    <s v="no"/>
    <n v="0"/>
    <s v="not yet"/>
  </r>
  <r>
    <s v="V0172181P016"/>
    <s v="SD"/>
    <s v="Kecepatan Dan Debit"/>
    <s v="https://drive.google.com/open?id=16ae5W5MTnlCoDUtBq4SZRNbPXIX_YiFV"/>
    <s v="V0172181P016"/>
    <d v="2021-09-20T00:00:00"/>
    <d v="2021-09-23T00:00:00"/>
    <n v="-641"/>
    <x v="131"/>
    <n v="644"/>
    <x v="0"/>
    <s v="Not Submitted"/>
    <n v="0"/>
    <s v="no"/>
    <n v="0"/>
    <s v="not yet"/>
  </r>
  <r>
    <s v="V0040592E007"/>
    <s v="SD"/>
    <s v="Statistika 6"/>
    <s v="https://drive.google.com/open?id=1CTa6NMXG7AUGYIohAuz6le-_ll5zxTpW"/>
    <s v="V0040592E007"/>
    <d v="2021-09-20T00:00:00"/>
    <d v="2021-09-23T00:00:00"/>
    <n v="-641"/>
    <x v="131"/>
    <n v="644"/>
    <x v="2"/>
    <s v="Rejected"/>
    <n v="1"/>
    <s v="no"/>
    <n v="0"/>
    <s v="not yet"/>
  </r>
  <r>
    <s v="T007S502P001"/>
    <s v="SD"/>
    <s v="Aproksimasi / Pembulatan"/>
    <s v="https://drive.google.com/open?id=1wEsMntYqpjTNH0xI8xX7P6R-XAaLYKLv"/>
    <s v="T007S502P001"/>
    <d v="2021-09-22T00:00:00"/>
    <d v="2021-09-23T00:00:00"/>
    <n v="-641"/>
    <x v="131"/>
    <n v="642"/>
    <x v="0"/>
    <s v="Not Submitted"/>
    <n v="0"/>
    <s v="no"/>
    <n v="0"/>
    <s v="not yet"/>
  </r>
  <r>
    <s v="T0082402P001"/>
    <s v="SD"/>
    <s v="Bangun Datar"/>
    <s v="https://drive.google.com/open?id=1QT-iFKASK9MRWqKSk2zl9Ega4V7dPIA0"/>
    <s v="T0082402P001"/>
    <d v="2021-09-22T00:00:00"/>
    <d v="2021-09-23T00:00:00"/>
    <n v="-641"/>
    <x v="131"/>
    <n v="642"/>
    <x v="0"/>
    <s v="Not Submitted"/>
    <n v="0"/>
    <s v="no"/>
    <n v="0"/>
    <s v="not yet"/>
  </r>
  <r>
    <s v="T008E702P001"/>
    <s v="SD"/>
    <s v="Bangun Datar"/>
    <s v="https://drive.google.com/open?id=1DsokRCvPAxcTNSr1os1CYknIUzVcHLOp"/>
    <s v="T008E702P001"/>
    <d v="2021-09-22T00:00:00"/>
    <d v="2021-09-23T00:00:00"/>
    <n v="-641"/>
    <x v="131"/>
    <n v="642"/>
    <x v="0"/>
    <s v="Not Submitted"/>
    <n v="0"/>
    <s v="no"/>
    <n v="0"/>
    <s v="not yet"/>
  </r>
  <r>
    <s v="T008E902P001"/>
    <s v="SD"/>
    <s v="Bangun Datar"/>
    <s v="https://drive.google.com/open?id=1U8VZEiV130j5G4Yq3kIhCvVjRIvypDgH"/>
    <s v="T008E902P001"/>
    <d v="2021-09-22T00:00:00"/>
    <d v="2021-09-23T00:00:00"/>
    <n v="-641"/>
    <x v="131"/>
    <n v="642"/>
    <x v="0"/>
    <s v="Not Submitted"/>
    <n v="0"/>
    <s v="no"/>
    <n v="0"/>
    <s v="not yet"/>
  </r>
  <r>
    <s v="T0082601P001"/>
    <s v="SD"/>
    <s v="Bangun Datar"/>
    <s v="https://drive.google.com/open?id=1j1rlQJ5ZysPzzaWLjUcvEkb_V9aZKV2g"/>
    <s v="T0082601P001"/>
    <d v="2021-09-22T00:00:00"/>
    <d v="2021-09-23T00:00:00"/>
    <n v="-641"/>
    <x v="131"/>
    <n v="642"/>
    <x v="0"/>
    <s v="Not Submitted"/>
    <n v="0"/>
    <s v="no"/>
    <n v="0"/>
    <s v="not yet"/>
  </r>
  <r>
    <s v="T0083701P001"/>
    <s v="SD"/>
    <s v="Bangun Datar"/>
    <s v="https://drive.google.com/open?id=1rrvLkwcJG1XQJwau230GtR_Sx6c7DOez"/>
    <s v="T0083701P001"/>
    <d v="2021-09-22T00:00:00"/>
    <d v="2021-09-23T00:00:00"/>
    <n v="-641"/>
    <x v="131"/>
    <n v="642"/>
    <x v="0"/>
    <s v="Not Submitted"/>
    <n v="0"/>
    <s v="no"/>
    <n v="0"/>
    <s v="not yet"/>
  </r>
  <r>
    <s v="T0088201P001"/>
    <s v="SD"/>
    <s v="Bangun Datar"/>
    <s v="https://drive.google.com/open?id=1iXMYy844G7cSDeJc4surzbE7PMCREtWS"/>
    <s v="T0088201P001"/>
    <d v="2021-09-22T00:00:00"/>
    <d v="2021-09-23T00:00:00"/>
    <n v="-641"/>
    <x v="131"/>
    <n v="642"/>
    <x v="0"/>
    <s v="Not Submitted"/>
    <n v="0"/>
    <s v="no"/>
    <n v="0"/>
    <s v="not yet"/>
  </r>
  <r>
    <s v="T008C001P001"/>
    <s v="SD"/>
    <s v="Bangun Datar"/>
    <s v="https://drive.google.com/open?id=1XbJFOfCpSSrF0_c5uNJ8kNcuC8ceA_JX"/>
    <s v="T008C001P001"/>
    <d v="2021-09-22T00:00:00"/>
    <d v="2021-09-23T00:00:00"/>
    <n v="-641"/>
    <x v="131"/>
    <n v="642"/>
    <x v="0"/>
    <s v="Not Submitted"/>
    <n v="0"/>
    <s v="no"/>
    <n v="0"/>
    <s v="not yet"/>
  </r>
  <r>
    <s v="T008U102P001"/>
    <s v="SD"/>
    <s v="Bangun Datar"/>
    <s v="https://drive.google.com/open?id=1FXOnuq4KwLtrzTVhOGDyre3L6z_LMjYv"/>
    <s v="T008U102P001"/>
    <d v="2021-09-22T00:00:00"/>
    <d v="2021-09-23T00:00:00"/>
    <n v="-641"/>
    <x v="131"/>
    <n v="642"/>
    <x v="0"/>
    <s v="Not Submitted"/>
    <n v="0"/>
    <s v="no"/>
    <n v="0"/>
    <s v="not yet"/>
  </r>
  <r>
    <s v="T008Y102P001"/>
    <s v="SD"/>
    <s v="Bangun Datar"/>
    <s v="https://drive.google.com/open?id=1ENILm-uHFyQJo83s1FUwlSjs96HAR50x"/>
    <s v="T008Y102P001"/>
    <d v="2021-09-22T00:00:00"/>
    <d v="2021-09-23T00:00:00"/>
    <n v="-641"/>
    <x v="131"/>
    <n v="642"/>
    <x v="0"/>
    <s v="Not Submitted"/>
    <n v="0"/>
    <s v="no"/>
    <n v="0"/>
    <s v="not yet"/>
  </r>
  <r>
    <s v="T0082203P001"/>
    <s v="SD"/>
    <s v="Bangun Datar"/>
    <s v="https://drive.google.com/open?id=1-IxwLXYstg3DhKAKi3E-Bkpoi6Hg-jbl"/>
    <s v="T0082203P001"/>
    <d v="2021-09-22T00:00:00"/>
    <d v="2021-09-23T00:00:00"/>
    <n v="-641"/>
    <x v="131"/>
    <n v="642"/>
    <x v="0"/>
    <s v="Not Submitted"/>
    <n v="0"/>
    <s v="no"/>
    <n v="0"/>
    <s v="not yet"/>
  </r>
  <r>
    <s v="T008A501P001"/>
    <s v="SD"/>
    <s v="Bangun Datar"/>
    <s v="https://drive.google.com/open?id=1eSV73c4hr2lm22Ck14q3L2azut3Ci504"/>
    <s v="T008A501P001"/>
    <d v="2021-09-24T00:00:00"/>
    <d v="2021-10-03T00:00:00"/>
    <n v="-631"/>
    <x v="131"/>
    <n v="640"/>
    <x v="0"/>
    <s v="Not Submitted"/>
    <n v="0"/>
    <s v="no"/>
    <n v="0"/>
    <s v="not yet"/>
  </r>
  <r>
    <s v="T0230158P005"/>
    <s v="SD"/>
    <s v="Bilangan Bulat"/>
    <s v="https://drive.google.com/open?id=1x562bydb7pOJ8b_fX1LUKJjBUau7ALfp"/>
    <s v="T0230158P005"/>
    <d v="2021-09-24T00:00:00"/>
    <d v="2021-10-03T00:00:00"/>
    <n v="-631"/>
    <x v="131"/>
    <n v="640"/>
    <x v="0"/>
    <s v="Not Submitted"/>
    <n v="0"/>
    <s v="no"/>
    <n v="0"/>
    <s v="not yet"/>
  </r>
  <r>
    <s v="S0290093E003"/>
    <s v="SD"/>
    <s v="Sistem Koordinat"/>
    <s v="https://drive.google.com/open?id=12Rp6Zyd6OI_hvdN1qsBblXNhPSzPozvz"/>
    <s v="S0290093E003"/>
    <d v="2021-09-27T00:00:00"/>
    <d v="2021-10-03T00:00:00"/>
    <n v="-631"/>
    <x v="131"/>
    <n v="637"/>
    <x v="0"/>
    <s v="Not Submitted"/>
    <n v="0"/>
    <s v="no"/>
    <n v="0"/>
    <s v="not yet"/>
  </r>
  <r>
    <s v="T0230730P029"/>
    <s v="SD"/>
    <s v="Statistika 6"/>
    <s v="https://drive.google.com/open?id=1eK_6CsTPaRyx0w88kM4GPLMRpirO9NZ5"/>
    <s v="T0230730P029"/>
    <d v="2021-09-27T00:00:00"/>
    <d v="2021-10-03T00:00:00"/>
    <n v="-631"/>
    <x v="131"/>
    <n v="637"/>
    <x v="1"/>
    <s v="Rejected"/>
    <n v="1"/>
    <s v="no"/>
    <n v="0"/>
    <s v="not yet"/>
  </r>
  <r>
    <s v="S0900731E018"/>
    <s v="SD"/>
    <s v="Operasi Bilangan Pecahan"/>
    <s v="https://drive.google.com/open?id=1y2Dzz59xmL-l9trYUJlCw8sL1I6XSM95"/>
    <s v="S0900731E018"/>
    <d v="2021-10-01T00:00:00"/>
    <d v="2021-10-03T00:00:00"/>
    <n v="-631"/>
    <x v="131"/>
    <n v="633"/>
    <x v="0"/>
    <s v="Not Submitted"/>
    <n v="0"/>
    <s v="no"/>
    <n v="0"/>
    <s v="not yet"/>
  </r>
  <r>
    <s v="T0110122P010"/>
    <s v="SD"/>
    <s v="Operasi Bilangan Pecahan"/>
    <s v="https://drive.google.com/open?id=1xzK9BZ3KcPMTyKmtzqcePTszKJQKbJtd"/>
    <s v="T0110122P010"/>
    <d v="2021-10-01T00:00:00"/>
    <d v="2021-10-03T00:00:00"/>
    <n v="-631"/>
    <x v="131"/>
    <n v="633"/>
    <x v="0"/>
    <s v="Not Submitted"/>
    <n v="0"/>
    <s v="no"/>
    <n v="0"/>
    <s v="not yet"/>
  </r>
  <r>
    <s v="S0900731E014"/>
    <s v="SD"/>
    <s v="Operasi Bilangan Pecahan"/>
    <s v="https://drive.google.com/open?id=1xS3Ebv4CQ_kDXwjjoFkMosUQxsXFaAcE"/>
    <s v="S0900731E014"/>
    <d v="2021-10-01T00:00:00"/>
    <d v="2021-10-03T00:00:00"/>
    <n v="-631"/>
    <x v="131"/>
    <n v="633"/>
    <x v="0"/>
    <s v="Not Submitted"/>
    <n v="0"/>
    <s v="no"/>
    <n v="0"/>
    <s v="not yet"/>
  </r>
  <r>
    <s v="T0084602P001"/>
    <s v="SD"/>
    <s v="Pecahan"/>
    <s v="https://drive.google.com/open?id=1xNshl83Ahs81scBOXn5MjrZlAdq8Ux__"/>
    <s v="T0084602P001"/>
    <d v="2021-10-01T00:00:00"/>
    <d v="2021-10-03T00:00:00"/>
    <n v="-631"/>
    <x v="131"/>
    <n v="633"/>
    <x v="0"/>
    <s v="Not Submitted"/>
    <n v="0"/>
    <s v="no"/>
    <n v="0"/>
    <s v="not yet"/>
  </r>
  <r>
    <s v="S0110594E001"/>
    <s v="SD"/>
    <s v="KPK dan FPB"/>
    <s v="https://drive.google.com/open?id=1xmW8IgQ45Xk-Z3t6wa5xD_0cWNoJ_iyP"/>
    <s v="S0110594E001"/>
    <d v="2021-10-01T00:00:00"/>
    <d v="2021-10-03T00:00:00"/>
    <n v="-631"/>
    <x v="131"/>
    <n v="633"/>
    <x v="0"/>
    <s v="Not Submitted"/>
    <n v="0"/>
    <s v="no"/>
    <n v="0"/>
    <s v="not yet"/>
  </r>
  <r>
    <s v="T0280207P016"/>
    <s v="SD"/>
    <s v="Pecahan"/>
    <s v="https://drive.google.com/open?id=1xLIk6NCjWssaylSXISyXKiO3iUTyckH-"/>
    <s v="T0280207P016"/>
    <d v="2021-10-01T00:00:00"/>
    <d v="2021-10-03T00:00:00"/>
    <n v="-631"/>
    <x v="131"/>
    <n v="633"/>
    <x v="0"/>
    <s v="Not Submitted"/>
    <n v="0"/>
    <s v="no"/>
    <n v="0"/>
    <s v="not yet"/>
  </r>
  <r>
    <s v="S0920881E001"/>
    <s v="SD"/>
    <s v="Operasi Bilangan Pecahan"/>
    <s v="https://drive.google.com/open?id=1XJppvDJVxCtOif4fPUBcpZPgOR7spxm8"/>
    <s v="S0920881E001"/>
    <d v="2021-10-01T00:00:00"/>
    <d v="2021-10-03T00:00:00"/>
    <n v="-631"/>
    <x v="131"/>
    <n v="633"/>
    <x v="0"/>
    <s v="Not Submitted"/>
    <n v="0"/>
    <s v="no"/>
    <n v="0"/>
    <s v="not yet"/>
  </r>
  <r>
    <s v="S0780281P017"/>
    <s v="SD"/>
    <s v="Operasi Bilangan Pecahan"/>
    <s v="https://drive.google.com/open?id=1XJaAUKroiyBxsblTRbFv7Vr8D57qgSdt"/>
    <s v="S0780281P017"/>
    <d v="2021-10-01T00:00:00"/>
    <d v="2021-10-03T00:00:00"/>
    <n v="-631"/>
    <x v="131"/>
    <n v="633"/>
    <x v="0"/>
    <s v="Not Submitted"/>
    <n v="0"/>
    <s v="no"/>
    <n v="0"/>
    <s v="not yet"/>
  </r>
  <r>
    <s v="S0541341E014"/>
    <s v="SD"/>
    <s v="Pengumpulan Dan Penyajian Data"/>
    <s v="https://drive.google.com/open?id=1b64Mli5qkydorv-MLxORjubugkz8ivAp"/>
    <s v="S0541341E014"/>
    <d v="2021-09-13T00:00:00"/>
    <d v="2021-10-10T00:00:00"/>
    <n v="-624"/>
    <x v="131"/>
    <n v="651"/>
    <x v="0"/>
    <s v="Not Submitted"/>
    <n v="0"/>
    <s v="no"/>
    <n v="0"/>
    <s v="not yet"/>
  </r>
  <r>
    <s v="T0065103P001"/>
    <s v="SD"/>
    <s v="Bangun Ruang"/>
    <s v="https://drive.google.com/open?id=1CtRWKyhJDPdyXpooJUUYhCa-J60a5Xzx"/>
    <s v="T0065103P001"/>
    <d v="2021-10-04T00:00:00"/>
    <d v="2021-10-10T00:00:00"/>
    <n v="-624"/>
    <x v="131"/>
    <n v="630"/>
    <x v="4"/>
    <s v="Rejected"/>
    <n v="1"/>
    <s v="no"/>
    <n v="0"/>
    <s v="not yet"/>
  </r>
  <r>
    <s v="T0058903P001"/>
    <s v="SD"/>
    <s v="Operasi Bilangan Pecahan"/>
    <s v="https://drive.google.com/open?id=1YM5BclMZlAAhssfNmNxFRsw4vOrJJ8uR"/>
    <s v="T0058903P001"/>
    <d v="2021-10-04T00:00:00"/>
    <d v="2021-10-10T00:00:00"/>
    <n v="-624"/>
    <x v="131"/>
    <n v="630"/>
    <x v="2"/>
    <s v="Rejected"/>
    <n v="1"/>
    <s v="no"/>
    <n v="0"/>
    <s v="not yet"/>
  </r>
  <r>
    <s v="T0301011E031"/>
    <s v="SD"/>
    <s v="Skala"/>
    <s v="https://drive.google.com/open?id=13yb0Hn5RlAVFBk_VktErPGhhKAWhJsN0"/>
    <s v="T0301011E031"/>
    <d v="2021-10-04T00:00:00"/>
    <d v="2021-10-10T00:00:00"/>
    <n v="-624"/>
    <x v="131"/>
    <n v="630"/>
    <x v="2"/>
    <s v="Rejected"/>
    <n v="1"/>
    <s v="no"/>
    <n v="0"/>
    <s v="not yet"/>
  </r>
  <r>
    <s v="S0081033E001"/>
    <s v="SD"/>
    <s v="Bangun Ruang Sisi Lengkung"/>
    <s v="https://drive.google.com/open?id=1-A6x4Q_XVJ5ryREDR6x7s0UHlTaH3NuH"/>
    <s v="S0081033E001"/>
    <d v="2021-07-05T00:00:00"/>
    <d v="2021-10-17T00:00:00"/>
    <n v="-617"/>
    <x v="131"/>
    <n v="721"/>
    <x v="2"/>
    <s v="Rejected"/>
    <n v="1"/>
    <s v="no"/>
    <n v="0"/>
    <s v="not yet"/>
  </r>
  <r>
    <s v="S0670741E002"/>
    <s v="SD"/>
    <s v="Bangun Ruang"/>
    <s v="https://drive.google.com/open?id=1fHceUi_khXOX35UrT2iwRtgFsqshkoPC"/>
    <s v="S0670741E002"/>
    <d v="2021-10-11T00:00:00"/>
    <d v="2021-10-17T00:00:00"/>
    <n v="-617"/>
    <x v="131"/>
    <n v="623"/>
    <x v="0"/>
    <s v="Not Submitted"/>
    <n v="0"/>
    <s v="no"/>
    <n v="0"/>
    <s v="not yet"/>
  </r>
  <r>
    <s v="S0902041a028"/>
    <s v="SD"/>
    <s v="Perpangkatan Dan Akar"/>
    <s v="https://drive.google.com/open?id=1-3jp9emh8buCmky-ompt2UOSrYHtTKi4"/>
    <s v="S0902041a028"/>
    <d v="2021-10-11T00:00:00"/>
    <d v="2021-10-17T00:00:00"/>
    <n v="-617"/>
    <x v="131"/>
    <n v="623"/>
    <x v="0"/>
    <s v="Not Submitted"/>
    <n v="0"/>
    <s v="no"/>
    <n v="0"/>
    <s v="not yet"/>
  </r>
  <r>
    <s v="V0172191P017"/>
    <s v="SD"/>
    <s v="Kecepatan Dan Debit"/>
    <s v="https://drive.google.com/open?id=1YyLHFOXeahe969TH86UKk2T8zWQMo9VF"/>
    <s v="V0172191P017"/>
    <d v="2021-10-11T00:00:00"/>
    <d v="2021-10-17T00:00:00"/>
    <n v="-617"/>
    <x v="131"/>
    <n v="623"/>
    <x v="0"/>
    <s v="Not Submitted"/>
    <n v="0"/>
    <s v="no"/>
    <n v="0"/>
    <s v="not yet"/>
  </r>
  <r>
    <s v="T0410220P018"/>
    <s v="SD"/>
    <s v="Kecepatan Dan Debit"/>
    <s v="https://drive.google.com/open?id=1VK2NHnrRuS7rjnnUFy_KPT77T3DoZAoP"/>
    <s v="T0410220P018"/>
    <d v="2021-10-11T00:00:00"/>
    <d v="2021-10-17T00:00:00"/>
    <n v="-617"/>
    <x v="131"/>
    <n v="623"/>
    <x v="0"/>
    <s v="Not Submitted"/>
    <n v="0"/>
    <s v="no"/>
    <n v="0"/>
    <s v="not yet"/>
  </r>
  <r>
    <s v="T038F401E004"/>
    <s v="SD"/>
    <s v="Skala"/>
    <s v="https://drive.google.com/open?id=1UaA6szA_KCxvlOorbpr8I_tfFjnYb1eF"/>
    <s v="T038F401E004"/>
    <d v="2021-10-11T00:00:00"/>
    <d v="2021-10-17T00:00:00"/>
    <n v="-617"/>
    <x v="131"/>
    <n v="623"/>
    <x v="0"/>
    <s v="Not Submitted"/>
    <n v="0"/>
    <s v="no"/>
    <n v="0"/>
    <s v="not yet"/>
  </r>
  <r>
    <s v="T006I903P001"/>
    <s v="SD"/>
    <s v="Bilangan Bulat"/>
    <s v="https://drive.google.com/open?id=1sHZVIz-aojm7nSjOnMEKXxPRK-GD2yQV"/>
    <s v="T006I903P001"/>
    <d v="2021-10-11T00:00:00"/>
    <d v="2021-10-17T00:00:00"/>
    <n v="-617"/>
    <x v="131"/>
    <n v="623"/>
    <x v="0"/>
    <s v="Not Submitted"/>
    <n v="0"/>
    <s v="no"/>
    <n v="0"/>
    <s v="not yet"/>
  </r>
  <r>
    <s v="T0062705P001"/>
    <s v="SD"/>
    <s v="Skala"/>
    <s v="https://drive.google.com/open?id=1rDrVbujkE3BDeVCufy318Xi3LPPltMpl"/>
    <s v="T0062705P001"/>
    <d v="2021-10-11T00:00:00"/>
    <d v="2021-10-17T00:00:00"/>
    <n v="-617"/>
    <x v="131"/>
    <n v="623"/>
    <x v="0"/>
    <s v="Not Submitted"/>
    <n v="0"/>
    <s v="no"/>
    <n v="0"/>
    <s v="not ye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EF66A3-96CF-4C07-836F-35F199270550}" name="PivotTable9" cacheId="328" applyNumberFormats="0" applyBorderFormats="0" applyFontFormats="0" applyPatternFormats="0" applyAlignmentFormats="0" applyWidthHeightFormats="1" dataCaption="Values" missingCaption="0" tag="95f72397-e42c-4177-aa12-d9b7e2f0bd65" updatedVersion="7" minRefreshableVersion="3" useAutoFormatting="1" subtotalHiddenItems="1" itemPrintTitles="1" createdVersion="7" indent="0" outline="1" outlineData="1" multipleFieldFilters="0" chartFormat="4">
  <location ref="J3:K11" firstHeaderRow="1" firstDataRow="1" firstDataCol="1"/>
  <pivotFields count="2">
    <pivotField axis="axisRow" allDrilled="1" subtotalTop="0" showAll="0" dataSourceSort="1" defaultSubtotal="0" defaultAttributeDrillState="1">
      <items count="7">
        <item s="1" x="0"/>
        <item s="1" x="1"/>
        <item s="1" x="2"/>
        <item s="1" x="3"/>
        <item s="1" x="4"/>
        <item s="1" x="5"/>
        <item s="1" x="6"/>
      </items>
    </pivotField>
    <pivotField dataField="1" subtotalTop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Submission" fld="1" baseField="0" baseItem="0"/>
  </dataFields>
  <chartFormats count="2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2"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" showRowHeaders="1" showColHeaders="1" showRowStripes="0" showColStripes="0" showLastColumn="1"/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  <x15:activeTabTopLevelEntity name="[Calenda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416D90-FF2C-4EF3-B131-5BBBECB68358}" name="PivotTable1" cacheId="322" applyNumberFormats="0" applyBorderFormats="0" applyFontFormats="0" applyPatternFormats="0" applyAlignmentFormats="0" applyWidthHeightFormats="1" dataCaption="Values" tag="09ebbdb0-7c8b-4c8e-82ec-b1d44ebfd316" updatedVersion="7" minRefreshableVersion="3" useAutoFormatting="1" subtotalHiddenItems="1" itemPrintTitles="1" createdVersion="7" indent="0" outline="1" outlineData="1" multipleFieldFilters="0">
  <location ref="M3:N22" firstHeaderRow="1" firstDataRow="1" firstDataCol="1" rowPageCount="1" colPageCount="1"/>
  <pivotFields count="3">
    <pivotField axis="axisRow" allDrilled="1" subtotalTop="0" showAll="0" sortType="descending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19">
    <i>
      <x v="9"/>
    </i>
    <i>
      <x v="3"/>
    </i>
    <i>
      <x v="8"/>
    </i>
    <i>
      <x v="16"/>
    </i>
    <i>
      <x v="10"/>
    </i>
    <i>
      <x v="1"/>
    </i>
    <i>
      <x v="15"/>
    </i>
    <i>
      <x v="11"/>
    </i>
    <i>
      <x/>
    </i>
    <i>
      <x v="14"/>
    </i>
    <i>
      <x v="13"/>
    </i>
    <i>
      <x v="2"/>
    </i>
    <i>
      <x v="7"/>
    </i>
    <i>
      <x v="6"/>
    </i>
    <i>
      <x v="12"/>
    </i>
    <i>
      <x v="5"/>
    </i>
    <i>
      <x v="17"/>
    </i>
    <i>
      <x v="4"/>
    </i>
    <i t="grand">
      <x/>
    </i>
  </rowItems>
  <colItems count="1">
    <i/>
  </colItems>
  <pageFields count="1">
    <pageField fld="1" hier="19" name="[Table1].[Overall Status].&amp;[Rejected]" cap="Rejected"/>
  </pageFields>
  <dataFields count="1">
    <dataField name="Count of Question ID" fld="2" subtotal="count" baseField="0" baseItem="0"/>
  </dataFields>
  <pivotHierarchies count="32"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able1].[Overall Status].&amp;[Rejected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" showRowHeaders="1" showColHeaders="1" showRowStripes="0" showColStripes="0" showLastColumn="1"/>
  <rowHierarchiesUsage count="1">
    <rowHierarchyUsage hierarchyUsage="1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ersonal dashboard1.xlsm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B86F0D-3890-48E9-BA51-F7A5DC2ABDA7}" name="PivotTable7" cacheId="325" applyNumberFormats="0" applyBorderFormats="0" applyFontFormats="0" applyPatternFormats="0" applyAlignmentFormats="0" applyWidthHeightFormats="1" dataCaption="Values" missingCaption="0" tag="dfdc1d7d-a17e-45a6-a9f3-4e388e134a4f" updatedVersion="7" minRefreshableVersion="3" useAutoFormatting="1" subtotalHiddenItems="1" itemPrintTitles="1" createdVersion="7" indent="0" showEmptyRow="1" outline="1" outlineData="1" multipleFieldFilters="0" chartFormat="18">
  <location ref="G3:H55" firstHeaderRow="1" firstDataRow="1" firstDataCol="1" rowPageCount="1" colPageCount="1"/>
  <pivotFields count="4">
    <pivotField axis="axisRow" allDrilled="1" subtotalTop="0" showAll="0" dataSourceSort="1" defaultSubtotal="0" defaultAttributeDrillState="1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</items>
    </pivotField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1"/>
    <field x="0"/>
  </rowFields>
  <rowItems count="52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t="grand">
      <x/>
    </i>
  </rowItems>
  <colItems count="1">
    <i/>
  </colItems>
  <pageFields count="1">
    <pageField fld="3" hier="19" name="[Table1].[Overall Status].[All]" cap="All"/>
  </pageFields>
  <dataFields count="1">
    <dataField name="Count of Question ID" fld="2" subtotal="count" baseField="0" baseItem="0"/>
  </dataFields>
  <chartFormats count="1">
    <chartFormat chart="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2"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" showRowHeaders="1" showColHeaders="1" showRowStripes="0" showColStripes="0" showLastColumn="1"/>
  <filters count="2">
    <filter fld="1" type="dateBetween" evalOrder="-1" id="3">
      <autoFilter ref="A1">
        <filterColumn colId="0">
          <customFilters and="1">
            <customFilter operator="greaterThanOrEqual" val="44161"/>
            <customFilter operator="lessThanOrEqual" val="44493"/>
          </customFilters>
        </filterColumn>
      </autoFilter>
    </filter>
    <filter fld="0" type="dateNewerThan" evalOrder="-1" id="2">
      <autoFilter ref="A1">
        <filterColumn colId="0">
          <customFilters>
            <customFilter operator="greaterThan" val="44161"/>
          </customFilters>
        </filterColumn>
      </autoFilter>
    </filter>
  </filters>
  <rowHierarchiesUsage count="2">
    <rowHierarchyUsage hierarchyUsage="2"/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  <x15:activeTabTopLevelEntity name="[Calenda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4" cacheId="333" applyNumberFormats="0" applyBorderFormats="0" applyFontFormats="0" applyPatternFormats="0" applyAlignmentFormats="0" applyWidthHeightFormats="1" dataCaption="Values" updatedVersion="7" minRefreshableVersion="3" useAutoFormatting="1" itemPrintTitles="1" createdVersion="5" indent="0" outline="1" outlineData="1" multipleFieldFilters="0" chartFormat="6">
  <location ref="A3:B7" firstHeaderRow="1" firstDataRow="1" firstDataCol="1"/>
  <pivotFields count="16">
    <pivotField showAll="0"/>
    <pivotField showAll="0"/>
    <pivotField showAll="0"/>
    <pivotField showAll="0"/>
    <pivotField showAll="0"/>
    <pivotField numFmtId="14" showAll="0"/>
    <pivotField numFmtId="14" showAll="0"/>
    <pivotField numFmtId="1" showAll="0"/>
    <pivotField showAll="0"/>
    <pivotField numFmtId="1" showAll="0"/>
    <pivotField showAll="0"/>
    <pivotField showAll="0"/>
    <pivotField axis="axisRow" dataField="1" compact="0" subtotalTop="0" showAll="0">
      <items count="4">
        <item x="1"/>
        <item x="0"/>
        <item x="2"/>
        <item t="default"/>
      </items>
    </pivotField>
    <pivotField showAll="0"/>
    <pivotField showAll="0"/>
    <pivotField showAll="0"/>
  </pivotFields>
  <rowFields count="1">
    <field x="1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Number of Rejection" fld="12" subtotal="count" baseField="12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AA3C4C-0639-4BC6-96D4-C649C054AE4D}" name="PivotTable5" cacheId="33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D3:E9" firstHeaderRow="1" firstDataRow="1" firstDataCol="1"/>
  <pivotFields count="16">
    <pivotField dataField="1" showAll="0"/>
    <pivotField showAll="0"/>
    <pivotField showAll="0"/>
    <pivotField showAll="0"/>
    <pivotField showAll="0"/>
    <pivotField numFmtId="14" showAll="0"/>
    <pivotField numFmtId="14" showAll="0"/>
    <pivotField numFmtId="1" showAll="0"/>
    <pivotField showAll="0"/>
    <pivotField numFmtId="1" showAll="0"/>
    <pivotField axis="axisRow" showAll="0" sortType="ascending">
      <items count="8">
        <item x="1"/>
        <item x="4"/>
        <item x="2"/>
        <item x="3"/>
        <item x="5"/>
        <item h="1" m="1" x="6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</pivotFields>
  <rowFields count="1">
    <field x="10"/>
  </rowFields>
  <rowItems count="6">
    <i>
      <x v="4"/>
    </i>
    <i>
      <x v="1"/>
    </i>
    <i>
      <x v="3"/>
    </i>
    <i>
      <x/>
    </i>
    <i>
      <x v="2"/>
    </i>
    <i t="grand">
      <x/>
    </i>
  </rowItems>
  <colItems count="1">
    <i/>
  </colItems>
  <dataFields count="1">
    <dataField name="Count of Question ID" fld="0" subtotal="count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F49F94-851D-469E-A158-DBF364C561DE}" name="Table2" displayName="Table2" ref="K4:L12" totalsRowShown="0" headerRowDxfId="133" dataDxfId="131" headerRowBorderDxfId="132" tableBorderDxfId="130" totalsRowBorderDxfId="129">
  <autoFilter ref="K4:L12" xr:uid="{1DF49F94-851D-469E-A158-DBF364C561DE}"/>
  <tableColumns count="2">
    <tableColumn id="1" xr3:uid="{5A351C94-4E74-48CA-A93F-B96610396D52}" name="Chapter Name" dataDxfId="128">
      <calculatedColumnFormula>IFERROR('Pivot Table'!M4,"")</calculatedColumnFormula>
    </tableColumn>
    <tableColumn id="2" xr3:uid="{E0227643-8A24-4AE7-95FC-041B3B064126}" name="Total" dataDxfId="127">
      <calculatedColumnFormula>IFERROR('Pivot Table'!N4,"")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D7EB53-7904-4CC0-9535-0A0124655019}" name="Table1" displayName="Table1" ref="A1:P1205" totalsRowShown="0" headerRowDxfId="126" dataDxfId="125">
  <autoFilter ref="A1:P1205" xr:uid="{00000000-0009-0000-0000-000002000000}"/>
  <tableColumns count="16">
    <tableColumn id="1" xr3:uid="{C891BCE3-7D3E-4691-B1F1-D89C80B17A3F}" name="Question ID" dataDxfId="124"/>
    <tableColumn id="2" xr3:uid="{1C67CF22-ABC0-4E96-B4EF-A22BDEB56B1E}" name="Grade" dataDxfId="123"/>
    <tableColumn id="3" xr3:uid="{102350C2-8875-4DDD-BEC8-9D179D7770AF}" name="Chapter Name" dataDxfId="122"/>
    <tableColumn id="4" xr3:uid="{57F709B5-D230-4BD2-B431-13C9D0E2B476}" name="Link to Source" dataDxfId="121"/>
    <tableColumn id="5" xr3:uid="{C3F46ECD-DCA3-45CA-9000-369369DBE44F}" name="Clickable Link" dataDxfId="120" dataCellStyle="Hyperlink">
      <calculatedColumnFormula>HYPERLINK(D2,A2)</calculatedColumnFormula>
    </tableColumn>
    <tableColumn id="6" xr3:uid="{56A6DC3F-5380-4F3D-9298-6838DFD3F847}" name="Assigned" dataDxfId="119"/>
    <tableColumn id="7" xr3:uid="{8A628EEF-3BC4-45E1-A9EC-8E620DCDAC87}" name="Deadline" dataDxfId="118"/>
    <tableColumn id="9" xr3:uid="{36701A76-EF05-4388-84B6-482B8E55CCE6}" name="Deadline (days to go)" dataDxfId="117">
      <calculatedColumnFormula>G2-TODAY()</calculatedColumnFormula>
    </tableColumn>
    <tableColumn id="10" xr3:uid="{C4ACDDBE-2BAC-40C8-A4A0-C7D90E598DAA}" name="Last Submission Date" dataDxfId="116"/>
    <tableColumn id="11" xr3:uid="{1F620BB5-ECBD-4EC7-869D-E33281971CFD}" name="Days Since Assignment" dataDxfId="115">
      <calculatedColumnFormula>IF(L2="Accepted",0,TODAY()-F2)</calculatedColumnFormula>
    </tableColumn>
    <tableColumn id="12" xr3:uid="{D865500A-1E1C-4288-B772-8C6361C08487}" name="Revision Status" dataDxfId="114"/>
    <tableColumn id="13" xr3:uid="{707CFACF-053F-4C84-B2FD-54CCFB924615}" name="Overall Status" dataDxfId="113">
      <calculatedColumnFormula>IF(AND(NOT(ISBLANK(I2)), ISBLANK(K2)),"Accepted", IF(AND(ISBLANK(I2),ISBLANK(K2)),"Not Submitted", "Rejected"))</calculatedColumnFormula>
    </tableColumn>
    <tableColumn id="14" xr3:uid="{7933A75B-8A9A-489D-8168-B50044F3A81F}" name="Number of Rejection" dataDxfId="112"/>
    <tableColumn id="15" xr3:uid="{BF992F51-317B-4C3E-9EDF-50F73A0F80BD}" name="Long Video" dataDxfId="111"/>
    <tableColumn id="16" xr3:uid="{DCEC5A1D-9861-465D-A05D-611C6EE41C51}" name="Rate" dataDxfId="109">
      <calculatedColumnFormula>IF(AND(L2="Accepted",B2="SMA",N2="no"),20000,
IF(AND(L2="Accepted",OR(B2="SMP",B2="SD"),N2="no"),15000,
IF(AND(L2="Accepted",B2="SMA",N2="yes"),25000,
IF(AND(L2="Accepted",OR(B2="SMP",B2="SD"),N2="yes"),18000,
0))))</calculatedColumnFormula>
    </tableColumn>
    <tableColumn id="17" xr3:uid="{7ADD43E5-F089-40F7-B7C4-ED80F3C2A184}" name="Payment Status" dataDxfId="110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B4E183B-8962-4306-B4C9-ECF351746C96}" name="Table7" displayName="Table7" ref="A1:P85" totalsRowShown="0" headerRowDxfId="32" dataDxfId="33" tableBorderDxfId="64">
  <autoFilter ref="A1:P85" xr:uid="{BB4E183B-8962-4306-B4C9-ECF351746C96}"/>
  <tableColumns count="16">
    <tableColumn id="1" xr3:uid="{36048088-FDAA-4583-A075-7F97C2B2BF28}" name="Question ID" dataDxfId="49"/>
    <tableColumn id="2" xr3:uid="{9AC05AB5-85DB-4D71-8D19-43D99A77107E}" name="Grade" dataDxfId="48"/>
    <tableColumn id="3" xr3:uid="{F7A483A5-E23F-4F1A-BE0E-54D987B427F8}" name="Chapter Name" dataDxfId="47"/>
    <tableColumn id="4" xr3:uid="{3A6EB333-EEB8-414E-B864-4F2A676B4A06}" name="Link to Source" dataDxfId="46"/>
    <tableColumn id="5" xr3:uid="{A66C0766-AFCC-4B06-A3E4-9C3206FA7047}" name="Clickable Link" dataDxfId="45" dataCellStyle="Hyperlink"/>
    <tableColumn id="6" xr3:uid="{47977977-E46D-4ED9-AF11-8213DFAF5E9F}" name="Assigned" dataDxfId="44"/>
    <tableColumn id="7" xr3:uid="{5F5F1BD2-BE85-48F3-9ABF-63D197CEA2FF}" name="Deadline" dataDxfId="43"/>
    <tableColumn id="8" xr3:uid="{50DF556D-1763-43CF-AE29-C6313E04CB74}" name="Deadline (days to go)" dataDxfId="42"/>
    <tableColumn id="9" xr3:uid="{333820B2-ED3A-458B-8731-7CE485B20FCF}" name="Last Submission Date" dataDxfId="41"/>
    <tableColumn id="10" xr3:uid="{A4B386CA-E1C9-49AC-83B6-55B04CAC7ABF}" name="Days Since Assignment" dataDxfId="40"/>
    <tableColumn id="11" xr3:uid="{F5473BB9-70A3-44F7-99AC-545EB63A4ACE}" name="Revision Status" dataDxfId="39"/>
    <tableColumn id="12" xr3:uid="{3D19DA0E-F581-4D1B-A179-C81200C45C88}" name="Overall Status" dataDxfId="38"/>
    <tableColumn id="13" xr3:uid="{9F751439-B710-434F-BA92-9AC80B810603}" name="Number of Rejection" dataDxfId="37"/>
    <tableColumn id="14" xr3:uid="{23176808-53F0-470D-A3AE-CBAE6565BC0B}" name="Long Video" dataDxfId="36"/>
    <tableColumn id="15" xr3:uid="{E4E9DD8E-6D5D-44F1-A218-70BA301261E6}" name="Rate" dataDxfId="35"/>
    <tableColumn id="16" xr3:uid="{116006D1-B700-4823-ACA2-C122142C651E}" name="Payment Status" dataDxfId="3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D274F59-188F-480E-A0E0-45833E456A9B}" name="Table6" displayName="Table6" ref="A1:P149" totalsRowShown="0" headerRowDxfId="0" dataDxfId="1" tableBorderDxfId="65">
  <autoFilter ref="A1:P149" xr:uid="{0D274F59-188F-480E-A0E0-45833E456A9B}"/>
  <tableColumns count="16">
    <tableColumn id="1" xr3:uid="{C40AC614-8E55-4A2D-9321-9788993D1910}" name="Question ID" dataDxfId="17"/>
    <tableColumn id="2" xr3:uid="{2743EF95-7DB9-41F7-B43F-EE37683F27BC}" name="Grade" dataDxfId="16"/>
    <tableColumn id="3" xr3:uid="{16C71562-F41C-4C6C-B255-A0476BE084CF}" name="Chapter Name" dataDxfId="15"/>
    <tableColumn id="4" xr3:uid="{B762D2EE-C1B2-423A-B38E-B9F11857DCDA}" name="Link to Source" dataDxfId="14"/>
    <tableColumn id="5" xr3:uid="{3D880607-7A2F-4B41-B432-89E115C01C79}" name="Clickable Link" dataDxfId="13" dataCellStyle="Hyperlink"/>
    <tableColumn id="6" xr3:uid="{97EF5D32-C462-4055-9358-58C9929DA12A}" name="Assigned" dataDxfId="12"/>
    <tableColumn id="7" xr3:uid="{49801834-B681-4D1D-98E9-3DAF7BED21A2}" name="Deadline" dataDxfId="11"/>
    <tableColumn id="8" xr3:uid="{8C0BDA66-51BB-49BE-8A0A-FBE2CAAB408F}" name="Deadline (days to go)" dataDxfId="10"/>
    <tableColumn id="9" xr3:uid="{062C9237-28EA-45AC-8D06-B981C894C2E3}" name="Last Submission Date" dataDxfId="9"/>
    <tableColumn id="10" xr3:uid="{B0366AE3-586D-465D-B8D5-DB0768C28556}" name="Days Since Assignment" dataDxfId="8"/>
    <tableColumn id="11" xr3:uid="{56E5B4DE-3190-4D05-9984-6A48AD9C55A8}" name="Revision Status" dataDxfId="7"/>
    <tableColumn id="12" xr3:uid="{FE2F1D02-C3DE-4921-9566-7BD8EB6F8EDC}" name="Overall Status" dataDxfId="6"/>
    <tableColumn id="13" xr3:uid="{BEB6B25D-6732-45D3-9507-797F75C8F12C}" name="Number of Rejection" dataDxfId="5"/>
    <tableColumn id="14" xr3:uid="{ECFA3A77-B3FC-40A7-BB31-192B4B2FA243}" name="Long Video" dataDxfId="4"/>
    <tableColumn id="15" xr3:uid="{BB7E0DB6-1B10-45DF-8095-B94F89F93FCE}" name="Rate" dataDxfId="3"/>
    <tableColumn id="16" xr3:uid="{D105BCAD-C740-467B-B928-31BF91412767}" name="Payment Status" dataDxfId="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drive.google.com/open?id=1As9GAE6aX2olvmNWw0y_nw1iCawKujC1" TargetMode="External"/><Relationship Id="rId1" Type="http://schemas.openxmlformats.org/officeDocument/2006/relationships/hyperlink" Target="https://drive.google.com/open?id=1i5juA_yOLye7uwawWPP5Gi_uOkm4l9io" TargetMode="Externa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https://drive.google.com/open?id=1i5juA_yOLye7uwawWPP5Gi_uOkm4l9io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2"/>
  <sheetViews>
    <sheetView tabSelected="1" zoomScaleNormal="100" workbookViewId="0">
      <selection activeCell="K19" sqref="K19"/>
    </sheetView>
  </sheetViews>
  <sheetFormatPr defaultRowHeight="15" x14ac:dyDescent="0.25"/>
  <cols>
    <col min="1" max="1" width="19.5703125" style="31" bestFit="1" customWidth="1"/>
    <col min="2" max="2" width="13.7109375" style="31" bestFit="1" customWidth="1"/>
    <col min="3" max="9" width="9.140625" style="31"/>
    <col min="10" max="10" width="0.85546875" style="31" customWidth="1"/>
    <col min="11" max="11" width="30.85546875" style="31" customWidth="1"/>
    <col min="12" max="12" width="11.28515625" style="31" bestFit="1" customWidth="1"/>
    <col min="13" max="13" width="9.140625" style="31" customWidth="1"/>
    <col min="14" max="14" width="5.85546875" style="31" customWidth="1"/>
    <col min="15" max="15" width="38.42578125" style="31" customWidth="1"/>
    <col min="16" max="16" width="11.140625" style="31" bestFit="1" customWidth="1"/>
    <col min="17" max="16384" width="9.140625" style="31"/>
  </cols>
  <sheetData>
    <row r="1" spans="1:12" x14ac:dyDescent="0.25">
      <c r="A1" s="29" t="s">
        <v>2487</v>
      </c>
      <c r="B1" s="30">
        <f>COUNTIF(Table1[Overall Status],"Rejected")</f>
        <v>84</v>
      </c>
    </row>
    <row r="2" spans="1:12" ht="18.75" x14ac:dyDescent="0.3">
      <c r="A2" s="29" t="s">
        <v>2488</v>
      </c>
      <c r="B2" s="29">
        <f>COUNTIFS(Table1[Overall Status],"Rejected",Table1[Long Video],"yes")</f>
        <v>19</v>
      </c>
      <c r="K2" s="38" t="s">
        <v>2508</v>
      </c>
      <c r="L2" s="38"/>
    </row>
    <row r="3" spans="1:12" x14ac:dyDescent="0.25">
      <c r="A3" s="29" t="s">
        <v>2491</v>
      </c>
      <c r="B3" s="30">
        <f>COUNTIF(Table1[Overall Status],"Not Submitted")</f>
        <v>148</v>
      </c>
      <c r="K3" s="33"/>
      <c r="L3" s="33"/>
    </row>
    <row r="4" spans="1:12" ht="15.75" x14ac:dyDescent="0.25">
      <c r="A4" s="29" t="s">
        <v>2492</v>
      </c>
      <c r="B4" s="29">
        <f>COUNTIFS(Table1[Overall Status],"Not Submitted",Table1[Long Video],"yes")</f>
        <v>3</v>
      </c>
      <c r="G4" s="32"/>
      <c r="K4" s="34" t="s">
        <v>2</v>
      </c>
      <c r="L4" s="35" t="s">
        <v>2504</v>
      </c>
    </row>
    <row r="5" spans="1:12" ht="15.75" x14ac:dyDescent="0.25">
      <c r="A5" s="29" t="s">
        <v>2490</v>
      </c>
      <c r="B5" s="29">
        <f>SUM(B1,B3)</f>
        <v>232</v>
      </c>
      <c r="K5" s="36" t="str">
        <f>IFERROR('Pivot Table'!M4,"")</f>
        <v>Operasi Bilangan Pecahan</v>
      </c>
      <c r="L5" s="37">
        <f>IFERROR('Pivot Table'!N4,"")</f>
        <v>19</v>
      </c>
    </row>
    <row r="6" spans="1:12" ht="15.75" x14ac:dyDescent="0.25">
      <c r="A6" s="29" t="s">
        <v>2493</v>
      </c>
      <c r="B6" s="29">
        <f>SUM(B2,B4)</f>
        <v>22</v>
      </c>
      <c r="K6" s="36" t="str">
        <f>IFERROR('Pivot Table'!M5,"")</f>
        <v>Bangun Ruang Sisi Lengkung</v>
      </c>
      <c r="L6" s="37">
        <f>IFERROR('Pivot Table'!N5,"")</f>
        <v>8</v>
      </c>
    </row>
    <row r="7" spans="1:12" ht="15.75" x14ac:dyDescent="0.25">
      <c r="A7" s="29" t="s">
        <v>2506</v>
      </c>
      <c r="B7" s="46">
        <f>SUMIF(Table1[Payment Status],"paid",Table1[Rate])</f>
        <v>16607000</v>
      </c>
      <c r="K7" s="36" t="str">
        <f>IFERROR('Pivot Table'!M6,"")</f>
        <v>KPK dan FPB</v>
      </c>
      <c r="L7" s="37">
        <f>IFERROR('Pivot Table'!N6,"")</f>
        <v>8</v>
      </c>
    </row>
    <row r="8" spans="1:12" ht="15.75" x14ac:dyDescent="0.25">
      <c r="A8" s="29" t="s">
        <v>2507</v>
      </c>
      <c r="B8" s="43">
        <f>SUMIF(Table1[Payment Status],"not yet",Table1[Rate])</f>
        <v>123000</v>
      </c>
      <c r="K8" s="36" t="str">
        <f>IFERROR('Pivot Table'!M7,"")</f>
        <v>Statistika Wajib</v>
      </c>
      <c r="L8" s="37">
        <f>IFERROR('Pivot Table'!N7,"")</f>
        <v>6</v>
      </c>
    </row>
    <row r="9" spans="1:12" ht="15.75" x14ac:dyDescent="0.25">
      <c r="K9" s="36" t="str">
        <f>IFERROR('Pivot Table'!M8,"")</f>
        <v>Pecahan</v>
      </c>
      <c r="L9" s="37">
        <f>IFERROR('Pivot Table'!N8,"")</f>
        <v>6</v>
      </c>
    </row>
    <row r="10" spans="1:12" ht="15.75" x14ac:dyDescent="0.25">
      <c r="K10" s="36" t="str">
        <f>IFERROR('Pivot Table'!M9,"")</f>
        <v>Bangun Datar</v>
      </c>
      <c r="L10" s="37">
        <f>IFERROR('Pivot Table'!N9,"")</f>
        <v>5</v>
      </c>
    </row>
    <row r="11" spans="1:12" ht="15.75" x14ac:dyDescent="0.25">
      <c r="K11" s="36" t="str">
        <f>IFERROR('Pivot Table'!M10,"")</f>
        <v>Statistika 6</v>
      </c>
      <c r="L11" s="37">
        <f>IFERROR('Pivot Table'!N10,"")</f>
        <v>5</v>
      </c>
    </row>
    <row r="12" spans="1:12" ht="15.75" x14ac:dyDescent="0.25">
      <c r="K12" s="36" t="str">
        <f>IFERROR('Pivot Table'!M11,"")</f>
        <v>Pengumpulan Dan Penyajian Data</v>
      </c>
      <c r="L12" s="37">
        <f>IFERROR('Pivot Table'!N11,"")</f>
        <v>5</v>
      </c>
    </row>
  </sheetData>
  <mergeCells count="1">
    <mergeCell ref="K2:L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N55"/>
  <sheetViews>
    <sheetView workbookViewId="0">
      <selection sqref="A1:XFD1"/>
    </sheetView>
  </sheetViews>
  <sheetFormatPr defaultRowHeight="15" x14ac:dyDescent="0.25"/>
  <cols>
    <col min="1" max="1" width="13.140625" bestFit="1" customWidth="1"/>
    <col min="2" max="2" width="28" bestFit="1" customWidth="1"/>
    <col min="4" max="4" width="13.140625" bestFit="1" customWidth="1"/>
    <col min="5" max="5" width="19.7109375" bestFit="1" customWidth="1"/>
    <col min="6" max="6" width="7.140625" customWidth="1"/>
    <col min="7" max="7" width="13.42578125" bestFit="1" customWidth="1"/>
    <col min="8" max="8" width="19.7109375" bestFit="1" customWidth="1"/>
    <col min="9" max="9" width="5" bestFit="1" customWidth="1"/>
    <col min="10" max="10" width="13.140625" bestFit="1" customWidth="1"/>
    <col min="11" max="11" width="18" bestFit="1" customWidth="1"/>
    <col min="12" max="12" width="5.28515625" customWidth="1"/>
    <col min="13" max="13" width="59.7109375" bestFit="1" customWidth="1"/>
    <col min="14" max="14" width="19.7109375" bestFit="1" customWidth="1"/>
  </cols>
  <sheetData>
    <row r="1" spans="1:14" x14ac:dyDescent="0.25">
      <c r="A1" s="39"/>
      <c r="B1" s="39"/>
      <c r="D1" s="40" t="s">
        <v>2494</v>
      </c>
      <c r="E1" s="40"/>
      <c r="G1" s="20" t="s">
        <v>10</v>
      </c>
      <c r="H1" t="s" vm="1">
        <v>2495</v>
      </c>
      <c r="M1" s="20" t="s">
        <v>10</v>
      </c>
      <c r="N1" t="s" vm="2">
        <v>2455</v>
      </c>
    </row>
    <row r="3" spans="1:14" x14ac:dyDescent="0.25">
      <c r="A3" s="20" t="s">
        <v>2474</v>
      </c>
      <c r="B3" t="s">
        <v>2476</v>
      </c>
      <c r="D3" s="20" t="s">
        <v>2474</v>
      </c>
      <c r="E3" t="s">
        <v>2486</v>
      </c>
      <c r="G3" s="20" t="s">
        <v>2474</v>
      </c>
      <c r="H3" t="s">
        <v>2486</v>
      </c>
      <c r="J3" s="20" t="s">
        <v>2474</v>
      </c>
      <c r="K3" t="s">
        <v>2503</v>
      </c>
      <c r="M3" s="20" t="s">
        <v>2474</v>
      </c>
      <c r="N3" t="s">
        <v>2486</v>
      </c>
    </row>
    <row r="4" spans="1:14" x14ac:dyDescent="0.25">
      <c r="A4" s="21">
        <v>0</v>
      </c>
      <c r="B4" s="41">
        <v>984</v>
      </c>
      <c r="D4" s="21" t="s">
        <v>2489</v>
      </c>
      <c r="E4" s="41">
        <v>6</v>
      </c>
      <c r="G4" s="21">
        <v>2020</v>
      </c>
      <c r="H4" s="41"/>
      <c r="J4" s="21" t="s">
        <v>2496</v>
      </c>
      <c r="K4" s="41">
        <v>271</v>
      </c>
      <c r="M4" s="21" t="s">
        <v>787</v>
      </c>
      <c r="N4" s="41">
        <v>19</v>
      </c>
    </row>
    <row r="5" spans="1:14" x14ac:dyDescent="0.25">
      <c r="A5" s="21">
        <v>1</v>
      </c>
      <c r="B5" s="41">
        <v>207</v>
      </c>
      <c r="D5" s="21" t="s">
        <v>1412</v>
      </c>
      <c r="E5" s="41">
        <v>8</v>
      </c>
      <c r="G5" s="28">
        <v>48</v>
      </c>
      <c r="H5" s="41">
        <v>9</v>
      </c>
      <c r="J5" s="21" t="s">
        <v>2497</v>
      </c>
      <c r="K5" s="41">
        <v>29</v>
      </c>
      <c r="M5" s="21" t="s">
        <v>985</v>
      </c>
      <c r="N5" s="41">
        <v>8</v>
      </c>
    </row>
    <row r="6" spans="1:14" x14ac:dyDescent="0.25">
      <c r="A6" s="21">
        <v>2</v>
      </c>
      <c r="B6" s="41">
        <v>13</v>
      </c>
      <c r="D6" s="21" t="s">
        <v>712</v>
      </c>
      <c r="E6" s="41">
        <v>9</v>
      </c>
      <c r="G6" s="28">
        <v>49</v>
      </c>
      <c r="H6" s="41">
        <v>15</v>
      </c>
      <c r="J6" s="21" t="s">
        <v>2498</v>
      </c>
      <c r="K6" s="41">
        <v>34</v>
      </c>
      <c r="M6" s="21" t="s">
        <v>2505</v>
      </c>
      <c r="N6" s="41">
        <v>8</v>
      </c>
    </row>
    <row r="7" spans="1:14" x14ac:dyDescent="0.25">
      <c r="A7" s="21" t="s">
        <v>2475</v>
      </c>
      <c r="B7" s="41">
        <v>1204</v>
      </c>
      <c r="D7" s="21" t="s">
        <v>663</v>
      </c>
      <c r="E7" s="41">
        <v>12</v>
      </c>
      <c r="G7" s="28">
        <v>50</v>
      </c>
      <c r="H7" s="41">
        <v>15</v>
      </c>
      <c r="J7" s="21" t="s">
        <v>2499</v>
      </c>
      <c r="K7" s="41">
        <v>123</v>
      </c>
      <c r="M7" s="21" t="s">
        <v>291</v>
      </c>
      <c r="N7" s="41">
        <v>6</v>
      </c>
    </row>
    <row r="8" spans="1:14" x14ac:dyDescent="0.25">
      <c r="D8" s="21" t="s">
        <v>771</v>
      </c>
      <c r="E8" s="41">
        <v>49</v>
      </c>
      <c r="G8" s="28">
        <v>51</v>
      </c>
      <c r="H8" s="41">
        <v>6</v>
      </c>
      <c r="J8" s="21" t="s">
        <v>2500</v>
      </c>
      <c r="K8" s="41">
        <v>208</v>
      </c>
      <c r="M8" s="21" t="s">
        <v>932</v>
      </c>
      <c r="N8" s="41">
        <v>6</v>
      </c>
    </row>
    <row r="9" spans="1:14" x14ac:dyDescent="0.25">
      <c r="D9" s="21" t="s">
        <v>2475</v>
      </c>
      <c r="E9" s="41">
        <v>84</v>
      </c>
      <c r="G9" s="28">
        <v>52</v>
      </c>
      <c r="H9" s="41">
        <v>37</v>
      </c>
      <c r="J9" s="21" t="s">
        <v>2501</v>
      </c>
      <c r="K9" s="41">
        <v>116</v>
      </c>
      <c r="M9" s="21" t="s">
        <v>992</v>
      </c>
      <c r="N9" s="41">
        <v>5</v>
      </c>
    </row>
    <row r="10" spans="1:14" x14ac:dyDescent="0.25">
      <c r="G10" s="28">
        <v>53</v>
      </c>
      <c r="H10" s="41">
        <v>0</v>
      </c>
      <c r="J10" s="21" t="s">
        <v>2502</v>
      </c>
      <c r="K10" s="41">
        <v>250</v>
      </c>
      <c r="M10" s="21" t="s">
        <v>752</v>
      </c>
      <c r="N10" s="41">
        <v>5</v>
      </c>
    </row>
    <row r="11" spans="1:14" x14ac:dyDescent="0.25">
      <c r="G11" s="21">
        <v>2021</v>
      </c>
      <c r="H11" s="41"/>
      <c r="J11" s="21" t="s">
        <v>2475</v>
      </c>
      <c r="K11" s="41">
        <v>1031</v>
      </c>
      <c r="M11" s="21" t="s">
        <v>2472</v>
      </c>
      <c r="N11" s="41">
        <v>5</v>
      </c>
    </row>
    <row r="12" spans="1:14" x14ac:dyDescent="0.25">
      <c r="G12" s="28">
        <v>1</v>
      </c>
      <c r="H12" s="41">
        <v>0</v>
      </c>
      <c r="M12" s="21" t="s">
        <v>1694</v>
      </c>
      <c r="N12" s="41">
        <v>4</v>
      </c>
    </row>
    <row r="13" spans="1:14" x14ac:dyDescent="0.25">
      <c r="G13" s="28">
        <v>2</v>
      </c>
      <c r="H13" s="41">
        <v>0</v>
      </c>
      <c r="M13" s="21" t="s">
        <v>735</v>
      </c>
      <c r="N13" s="41">
        <v>3</v>
      </c>
    </row>
    <row r="14" spans="1:14" x14ac:dyDescent="0.25">
      <c r="G14" s="28">
        <v>3</v>
      </c>
      <c r="H14" s="41">
        <v>0</v>
      </c>
      <c r="M14" s="21" t="s">
        <v>2061</v>
      </c>
      <c r="N14" s="41">
        <v>3</v>
      </c>
    </row>
    <row r="15" spans="1:14" x14ac:dyDescent="0.25">
      <c r="G15" s="28">
        <v>4</v>
      </c>
      <c r="H15" s="41">
        <v>30</v>
      </c>
      <c r="M15" s="21" t="s">
        <v>1043</v>
      </c>
      <c r="N15" s="41">
        <v>3</v>
      </c>
    </row>
    <row r="16" spans="1:14" x14ac:dyDescent="0.25">
      <c r="G16" s="28">
        <v>5</v>
      </c>
      <c r="H16" s="41">
        <v>23</v>
      </c>
      <c r="M16" s="21" t="s">
        <v>2471</v>
      </c>
      <c r="N16" s="41">
        <v>2</v>
      </c>
    </row>
    <row r="17" spans="7:14" x14ac:dyDescent="0.25">
      <c r="G17" s="28">
        <v>6</v>
      </c>
      <c r="H17" s="41">
        <v>8</v>
      </c>
      <c r="M17" s="21" t="s">
        <v>2470</v>
      </c>
      <c r="N17" s="41">
        <v>2</v>
      </c>
    </row>
    <row r="18" spans="7:14" x14ac:dyDescent="0.25">
      <c r="G18" s="28">
        <v>7</v>
      </c>
      <c r="H18" s="41">
        <v>19</v>
      </c>
      <c r="M18" s="21" t="s">
        <v>2473</v>
      </c>
      <c r="N18" s="41">
        <v>2</v>
      </c>
    </row>
    <row r="19" spans="7:14" x14ac:dyDescent="0.25">
      <c r="G19" s="28">
        <v>8</v>
      </c>
      <c r="H19" s="41">
        <v>22</v>
      </c>
      <c r="M19" s="21" t="s">
        <v>2458</v>
      </c>
      <c r="N19" s="41">
        <v>1</v>
      </c>
    </row>
    <row r="20" spans="7:14" x14ac:dyDescent="0.25">
      <c r="G20" s="28">
        <v>9</v>
      </c>
      <c r="H20" s="41">
        <v>13</v>
      </c>
      <c r="M20" s="21" t="s">
        <v>238</v>
      </c>
      <c r="N20" s="41">
        <v>1</v>
      </c>
    </row>
    <row r="21" spans="7:14" x14ac:dyDescent="0.25">
      <c r="G21" s="28">
        <v>10</v>
      </c>
      <c r="H21" s="41">
        <v>20</v>
      </c>
      <c r="M21" s="21" t="s">
        <v>1450</v>
      </c>
      <c r="N21" s="41">
        <v>1</v>
      </c>
    </row>
    <row r="22" spans="7:14" x14ac:dyDescent="0.25">
      <c r="G22" s="28">
        <v>11</v>
      </c>
      <c r="H22" s="41">
        <v>8</v>
      </c>
      <c r="M22" s="21" t="s">
        <v>2475</v>
      </c>
      <c r="N22" s="41">
        <v>84</v>
      </c>
    </row>
    <row r="23" spans="7:14" x14ac:dyDescent="0.25">
      <c r="G23" s="28">
        <v>12</v>
      </c>
      <c r="H23" s="41">
        <v>13</v>
      </c>
    </row>
    <row r="24" spans="7:14" x14ac:dyDescent="0.25">
      <c r="G24" s="28">
        <v>13</v>
      </c>
      <c r="H24" s="41">
        <v>12</v>
      </c>
    </row>
    <row r="25" spans="7:14" x14ac:dyDescent="0.25">
      <c r="G25" s="28">
        <v>14</v>
      </c>
      <c r="H25" s="41">
        <v>0</v>
      </c>
    </row>
    <row r="26" spans="7:14" x14ac:dyDescent="0.25">
      <c r="G26" s="28">
        <v>15</v>
      </c>
      <c r="H26" s="41">
        <v>17</v>
      </c>
    </row>
    <row r="27" spans="7:14" x14ac:dyDescent="0.25">
      <c r="G27" s="28">
        <v>16</v>
      </c>
      <c r="H27" s="41">
        <v>13</v>
      </c>
    </row>
    <row r="28" spans="7:14" x14ac:dyDescent="0.25">
      <c r="G28" s="28">
        <v>17</v>
      </c>
      <c r="H28" s="41">
        <v>22</v>
      </c>
    </row>
    <row r="29" spans="7:14" x14ac:dyDescent="0.25">
      <c r="G29" s="28">
        <v>18</v>
      </c>
      <c r="H29" s="41">
        <v>11</v>
      </c>
    </row>
    <row r="30" spans="7:14" x14ac:dyDescent="0.25">
      <c r="G30" s="28">
        <v>19</v>
      </c>
      <c r="H30" s="41">
        <v>11</v>
      </c>
    </row>
    <row r="31" spans="7:14" x14ac:dyDescent="0.25">
      <c r="G31" s="28">
        <v>20</v>
      </c>
      <c r="H31" s="41">
        <v>2</v>
      </c>
    </row>
    <row r="32" spans="7:14" x14ac:dyDescent="0.25">
      <c r="G32" s="28">
        <v>21</v>
      </c>
      <c r="H32" s="41">
        <v>1</v>
      </c>
    </row>
    <row r="33" spans="7:8" x14ac:dyDescent="0.25">
      <c r="G33" s="28">
        <v>22</v>
      </c>
      <c r="H33" s="41">
        <v>0</v>
      </c>
    </row>
    <row r="34" spans="7:8" x14ac:dyDescent="0.25">
      <c r="G34" s="28">
        <v>23</v>
      </c>
      <c r="H34" s="41">
        <v>0</v>
      </c>
    </row>
    <row r="35" spans="7:8" x14ac:dyDescent="0.25">
      <c r="G35" s="28">
        <v>24</v>
      </c>
      <c r="H35" s="41">
        <v>9</v>
      </c>
    </row>
    <row r="36" spans="7:8" x14ac:dyDescent="0.25">
      <c r="G36" s="28">
        <v>25</v>
      </c>
      <c r="H36" s="41">
        <v>15</v>
      </c>
    </row>
    <row r="37" spans="7:8" x14ac:dyDescent="0.25">
      <c r="G37" s="28">
        <v>26</v>
      </c>
      <c r="H37" s="41">
        <v>47</v>
      </c>
    </row>
    <row r="38" spans="7:8" x14ac:dyDescent="0.25">
      <c r="G38" s="28">
        <v>27</v>
      </c>
      <c r="H38" s="41">
        <v>39</v>
      </c>
    </row>
    <row r="39" spans="7:8" x14ac:dyDescent="0.25">
      <c r="G39" s="28">
        <v>28</v>
      </c>
      <c r="H39" s="41">
        <v>52</v>
      </c>
    </row>
    <row r="40" spans="7:8" x14ac:dyDescent="0.25">
      <c r="G40" s="28">
        <v>29</v>
      </c>
      <c r="H40" s="41">
        <v>49</v>
      </c>
    </row>
    <row r="41" spans="7:8" x14ac:dyDescent="0.25">
      <c r="G41" s="28">
        <v>30</v>
      </c>
      <c r="H41" s="41">
        <v>26</v>
      </c>
    </row>
    <row r="42" spans="7:8" x14ac:dyDescent="0.25">
      <c r="G42" s="28">
        <v>31</v>
      </c>
      <c r="H42" s="41">
        <v>30</v>
      </c>
    </row>
    <row r="43" spans="7:8" x14ac:dyDescent="0.25">
      <c r="G43" s="28">
        <v>32</v>
      </c>
      <c r="H43" s="41">
        <v>45</v>
      </c>
    </row>
    <row r="44" spans="7:8" x14ac:dyDescent="0.25">
      <c r="G44" s="28">
        <v>33</v>
      </c>
      <c r="H44" s="41">
        <v>26</v>
      </c>
    </row>
    <row r="45" spans="7:8" x14ac:dyDescent="0.25">
      <c r="G45" s="28">
        <v>34</v>
      </c>
      <c r="H45" s="41">
        <v>51</v>
      </c>
    </row>
    <row r="46" spans="7:8" x14ac:dyDescent="0.25">
      <c r="G46" s="28">
        <v>35</v>
      </c>
      <c r="H46" s="41">
        <v>29</v>
      </c>
    </row>
    <row r="47" spans="7:8" x14ac:dyDescent="0.25">
      <c r="G47" s="28">
        <v>36</v>
      </c>
      <c r="H47" s="41">
        <v>38</v>
      </c>
    </row>
    <row r="48" spans="7:8" x14ac:dyDescent="0.25">
      <c r="G48" s="28">
        <v>37</v>
      </c>
      <c r="H48" s="41">
        <v>36</v>
      </c>
    </row>
    <row r="49" spans="7:8" x14ac:dyDescent="0.25">
      <c r="G49" s="28">
        <v>38</v>
      </c>
      <c r="H49" s="41">
        <v>64</v>
      </c>
    </row>
    <row r="50" spans="7:8" x14ac:dyDescent="0.25">
      <c r="G50" s="28">
        <v>39</v>
      </c>
      <c r="H50" s="41">
        <v>61</v>
      </c>
    </row>
    <row r="51" spans="7:8" x14ac:dyDescent="0.25">
      <c r="G51" s="28">
        <v>40</v>
      </c>
      <c r="H51" s="41">
        <v>27</v>
      </c>
    </row>
    <row r="52" spans="7:8" x14ac:dyDescent="0.25">
      <c r="G52" s="28">
        <v>41</v>
      </c>
      <c r="H52" s="41">
        <v>38</v>
      </c>
    </row>
    <row r="53" spans="7:8" x14ac:dyDescent="0.25">
      <c r="G53" s="28">
        <v>42</v>
      </c>
      <c r="H53" s="41">
        <v>12</v>
      </c>
    </row>
    <row r="54" spans="7:8" x14ac:dyDescent="0.25">
      <c r="G54" s="28">
        <v>43</v>
      </c>
      <c r="H54" s="41">
        <v>6</v>
      </c>
    </row>
    <row r="55" spans="7:8" x14ac:dyDescent="0.25">
      <c r="G55" s="21" t="s">
        <v>2475</v>
      </c>
      <c r="H55" s="41">
        <v>1027</v>
      </c>
    </row>
  </sheetData>
  <mergeCells count="2">
    <mergeCell ref="A1:B1"/>
    <mergeCell ref="D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P1205"/>
  <sheetViews>
    <sheetView zoomScaleNormal="100" workbookViewId="0">
      <pane xSplit="1" ySplit="1" topLeftCell="E2" activePane="bottomRight" state="frozen"/>
      <selection pane="topRight" activeCell="B1" sqref="B1"/>
      <selection pane="bottomLeft" activeCell="A2" sqref="A2"/>
      <selection pane="bottomRight" activeCell="A15" sqref="A15"/>
    </sheetView>
  </sheetViews>
  <sheetFormatPr defaultColWidth="8.42578125" defaultRowHeight="15" x14ac:dyDescent="0.25"/>
  <cols>
    <col min="1" max="1" width="17.5703125" bestFit="1" customWidth="1"/>
    <col min="2" max="2" width="10.5703125" bestFit="1" customWidth="1"/>
    <col min="3" max="3" width="25.42578125" customWidth="1"/>
    <col min="4" max="4" width="17.140625" customWidth="1"/>
    <col min="5" max="5" width="19.28515625" style="1" bestFit="1" customWidth="1"/>
    <col min="6" max="6" width="14.5703125" bestFit="1" customWidth="1"/>
    <col min="7" max="7" width="14.42578125" bestFit="1" customWidth="1"/>
    <col min="8" max="8" width="13.85546875" customWidth="1"/>
    <col min="9" max="9" width="15" customWidth="1"/>
    <col min="10" max="10" width="14" customWidth="1"/>
    <col min="11" max="11" width="14.140625" bestFit="1" customWidth="1"/>
    <col min="12" max="12" width="19.85546875" bestFit="1" customWidth="1"/>
    <col min="13" max="13" width="11.7109375" customWidth="1"/>
    <col min="14" max="14" width="8.42578125" customWidth="1"/>
    <col min="15" max="15" width="12.42578125" style="45" bestFit="1" customWidth="1"/>
    <col min="16" max="16" width="14.5703125" bestFit="1" customWidth="1"/>
  </cols>
  <sheetData>
    <row r="1" spans="1:16" ht="4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  <c r="G1" s="3" t="s">
        <v>6</v>
      </c>
      <c r="H1" s="4" t="s">
        <v>7</v>
      </c>
      <c r="I1" s="3" t="s">
        <v>8</v>
      </c>
      <c r="J1" s="4" t="s">
        <v>2456</v>
      </c>
      <c r="K1" s="2" t="s">
        <v>9</v>
      </c>
      <c r="L1" s="2" t="s">
        <v>10</v>
      </c>
      <c r="M1" s="2" t="s">
        <v>11</v>
      </c>
      <c r="N1" s="2" t="s">
        <v>12</v>
      </c>
      <c r="O1" s="44" t="s">
        <v>13</v>
      </c>
      <c r="P1" s="2" t="s">
        <v>2477</v>
      </c>
    </row>
    <row r="2" spans="1:16" s="22" customFormat="1" ht="14.25" customHeight="1" x14ac:dyDescent="0.25">
      <c r="A2" s="26" t="s">
        <v>2483</v>
      </c>
      <c r="B2" s="22" t="s">
        <v>15</v>
      </c>
      <c r="C2" s="22" t="s">
        <v>16</v>
      </c>
      <c r="D2" s="23" t="s">
        <v>60</v>
      </c>
      <c r="E2" s="24" t="str">
        <f t="shared" ref="E2:E65" si="0">HYPERLINK(D2,A2)</f>
        <v>C0040011P006</v>
      </c>
      <c r="F2" s="6">
        <v>44124</v>
      </c>
      <c r="G2" s="13">
        <f>F2+7</f>
        <v>44131</v>
      </c>
      <c r="H2" s="7">
        <f t="shared" ref="H2:H65" ca="1" si="1">G2-TODAY()</f>
        <v>-972</v>
      </c>
      <c r="I2" s="8">
        <v>44161</v>
      </c>
      <c r="J2" s="9">
        <f t="shared" ref="J2:J65" ca="1" si="2">IF(L2="Accepted",0,TODAY()-F2)</f>
        <v>0</v>
      </c>
      <c r="K2" s="10"/>
      <c r="L2" s="10" t="str">
        <f t="shared" ref="L2:L65" si="3">IF(AND(NOT(ISBLANK(I2)), ISBLANK(K2)),"Accepted", IF(AND(ISBLANK(I2),ISBLANK(K2)),"Not Submitted", "Rejected"))</f>
        <v>Accepted</v>
      </c>
      <c r="M2" s="11">
        <v>1</v>
      </c>
      <c r="N2" s="10" t="s">
        <v>18</v>
      </c>
      <c r="O2" s="42">
        <f t="shared" ref="O2:O65" si="4">IF(AND(L2="Accepted",B2="SMA",N2="no"),20000,
IF(AND(L2="Accepted",OR(B2="SMP",B2="SD"),N2="no"),15000,
IF(AND(L2="Accepted",B2="SMA",N2="yes"),25000,
IF(AND(L2="Accepted",OR(B2="SMP",B2="SD"),N2="yes"),18000,
0))))</f>
        <v>20000</v>
      </c>
      <c r="P2" s="10" t="s">
        <v>19</v>
      </c>
    </row>
    <row r="3" spans="1:16" s="22" customFormat="1" ht="14.25" customHeight="1" x14ac:dyDescent="0.25">
      <c r="A3" s="26" t="s">
        <v>2482</v>
      </c>
      <c r="B3" s="22" t="s">
        <v>15</v>
      </c>
      <c r="C3" s="22" t="s">
        <v>16</v>
      </c>
      <c r="D3" s="23" t="s">
        <v>62</v>
      </c>
      <c r="E3" s="24" t="str">
        <f t="shared" si="0"/>
        <v>C0040021P008</v>
      </c>
      <c r="F3" s="6">
        <v>44124</v>
      </c>
      <c r="G3" s="13">
        <f>F3+7</f>
        <v>44131</v>
      </c>
      <c r="H3" s="7">
        <f t="shared" ca="1" si="1"/>
        <v>-972</v>
      </c>
      <c r="I3" s="8">
        <v>44161</v>
      </c>
      <c r="J3" s="9">
        <f t="shared" ca="1" si="2"/>
        <v>0</v>
      </c>
      <c r="K3" s="10"/>
      <c r="L3" s="10" t="str">
        <f t="shared" si="3"/>
        <v>Accepted</v>
      </c>
      <c r="M3" s="11">
        <v>0</v>
      </c>
      <c r="N3" s="10" t="s">
        <v>18</v>
      </c>
      <c r="O3" s="42">
        <f t="shared" si="4"/>
        <v>20000</v>
      </c>
      <c r="P3" s="10" t="s">
        <v>19</v>
      </c>
    </row>
    <row r="4" spans="1:16" s="22" customFormat="1" ht="14.25" customHeight="1" x14ac:dyDescent="0.25">
      <c r="A4" s="5" t="s">
        <v>39</v>
      </c>
      <c r="B4" s="22" t="s">
        <v>28</v>
      </c>
      <c r="C4" s="22" t="s">
        <v>2460</v>
      </c>
      <c r="D4" s="23" t="s">
        <v>40</v>
      </c>
      <c r="E4" s="24" t="str">
        <f t="shared" si="0"/>
        <v>C0090431P001</v>
      </c>
      <c r="F4" s="6">
        <v>44102</v>
      </c>
      <c r="G4" s="13">
        <v>44140</v>
      </c>
      <c r="H4" s="7">
        <f t="shared" ca="1" si="1"/>
        <v>-963</v>
      </c>
      <c r="I4" s="13">
        <v>44161</v>
      </c>
      <c r="J4" s="9">
        <f t="shared" ca="1" si="2"/>
        <v>0</v>
      </c>
      <c r="K4" s="23"/>
      <c r="L4" s="10" t="str">
        <f t="shared" si="3"/>
        <v>Accepted</v>
      </c>
      <c r="M4" s="11">
        <v>0</v>
      </c>
      <c r="N4" s="10" t="s">
        <v>30</v>
      </c>
      <c r="O4" s="42">
        <f t="shared" si="4"/>
        <v>18000</v>
      </c>
      <c r="P4" s="10" t="s">
        <v>19</v>
      </c>
    </row>
    <row r="5" spans="1:16" s="22" customFormat="1" ht="14.25" customHeight="1" x14ac:dyDescent="0.25">
      <c r="A5" s="5" t="s">
        <v>65</v>
      </c>
      <c r="B5" s="22" t="s">
        <v>28</v>
      </c>
      <c r="C5" s="22" t="s">
        <v>66</v>
      </c>
      <c r="D5" s="23" t="s">
        <v>67</v>
      </c>
      <c r="E5" s="24" t="str">
        <f t="shared" si="0"/>
        <v>M0300582E005</v>
      </c>
      <c r="F5" s="6">
        <v>44135</v>
      </c>
      <c r="G5" s="13">
        <f t="shared" ref="G5:G68" si="5">F5+7</f>
        <v>44142</v>
      </c>
      <c r="H5" s="7">
        <f t="shared" ca="1" si="1"/>
        <v>-961</v>
      </c>
      <c r="I5" s="8">
        <v>44161</v>
      </c>
      <c r="J5" s="9">
        <f t="shared" ca="1" si="2"/>
        <v>0</v>
      </c>
      <c r="K5" s="10"/>
      <c r="L5" s="10" t="str">
        <f t="shared" si="3"/>
        <v>Accepted</v>
      </c>
      <c r="M5" s="11">
        <v>0</v>
      </c>
      <c r="N5" s="10" t="s">
        <v>18</v>
      </c>
      <c r="O5" s="42">
        <f t="shared" si="4"/>
        <v>15000</v>
      </c>
      <c r="P5" s="10" t="s">
        <v>19</v>
      </c>
    </row>
    <row r="6" spans="1:16" s="22" customFormat="1" ht="14.25" customHeight="1" x14ac:dyDescent="0.25">
      <c r="A6" s="5" t="s">
        <v>72</v>
      </c>
      <c r="B6" s="22" t="s">
        <v>28</v>
      </c>
      <c r="C6" s="22" t="s">
        <v>985</v>
      </c>
      <c r="D6" s="23" t="s">
        <v>73</v>
      </c>
      <c r="E6" s="24" t="str">
        <f t="shared" si="0"/>
        <v>C0171371P027</v>
      </c>
      <c r="F6" s="6">
        <v>44148</v>
      </c>
      <c r="G6" s="13">
        <f t="shared" si="5"/>
        <v>44155</v>
      </c>
      <c r="H6" s="7">
        <f t="shared" ca="1" si="1"/>
        <v>-948</v>
      </c>
      <c r="I6" s="8">
        <v>44162</v>
      </c>
      <c r="J6" s="9">
        <f t="shared" ca="1" si="2"/>
        <v>0</v>
      </c>
      <c r="K6" s="10"/>
      <c r="L6" s="10" t="str">
        <f t="shared" si="3"/>
        <v>Accepted</v>
      </c>
      <c r="M6" s="11">
        <v>0</v>
      </c>
      <c r="N6" s="10" t="s">
        <v>30</v>
      </c>
      <c r="O6" s="42">
        <f t="shared" si="4"/>
        <v>18000</v>
      </c>
      <c r="P6" s="10" t="s">
        <v>19</v>
      </c>
    </row>
    <row r="7" spans="1:16" s="22" customFormat="1" ht="14.25" customHeight="1" x14ac:dyDescent="0.25">
      <c r="A7" s="5" t="s">
        <v>76</v>
      </c>
      <c r="B7" s="22" t="s">
        <v>28</v>
      </c>
      <c r="C7" s="22" t="s">
        <v>985</v>
      </c>
      <c r="D7" s="23" t="s">
        <v>77</v>
      </c>
      <c r="E7" s="24" t="str">
        <f t="shared" si="0"/>
        <v>C0171371P029</v>
      </c>
      <c r="F7" s="6">
        <v>44148</v>
      </c>
      <c r="G7" s="13">
        <f t="shared" si="5"/>
        <v>44155</v>
      </c>
      <c r="H7" s="7">
        <f t="shared" ca="1" si="1"/>
        <v>-948</v>
      </c>
      <c r="I7" s="8">
        <v>44162</v>
      </c>
      <c r="J7" s="9">
        <f t="shared" ca="1" si="2"/>
        <v>0</v>
      </c>
      <c r="K7" s="10"/>
      <c r="L7" s="10" t="str">
        <f t="shared" si="3"/>
        <v>Accepted</v>
      </c>
      <c r="M7" s="11">
        <v>1</v>
      </c>
      <c r="N7" s="10" t="s">
        <v>18</v>
      </c>
      <c r="O7" s="42">
        <f t="shared" si="4"/>
        <v>15000</v>
      </c>
      <c r="P7" s="10" t="s">
        <v>19</v>
      </c>
    </row>
    <row r="8" spans="1:16" s="22" customFormat="1" ht="14.25" customHeight="1" x14ac:dyDescent="0.25">
      <c r="A8" s="5" t="s">
        <v>78</v>
      </c>
      <c r="B8" s="22" t="s">
        <v>28</v>
      </c>
      <c r="C8" s="22" t="s">
        <v>2461</v>
      </c>
      <c r="D8" s="23" t="s">
        <v>79</v>
      </c>
      <c r="E8" s="24" t="str">
        <f t="shared" si="0"/>
        <v>C0171371P030</v>
      </c>
      <c r="F8" s="6">
        <v>44148</v>
      </c>
      <c r="G8" s="13">
        <f t="shared" si="5"/>
        <v>44155</v>
      </c>
      <c r="H8" s="7">
        <f t="shared" ca="1" si="1"/>
        <v>-948</v>
      </c>
      <c r="I8" s="8">
        <v>44162</v>
      </c>
      <c r="J8" s="9">
        <f t="shared" ca="1" si="2"/>
        <v>0</v>
      </c>
      <c r="K8" s="10"/>
      <c r="L8" s="10" t="str">
        <f t="shared" si="3"/>
        <v>Accepted</v>
      </c>
      <c r="M8" s="11">
        <v>0</v>
      </c>
      <c r="N8" s="10" t="s">
        <v>18</v>
      </c>
      <c r="O8" s="42">
        <f t="shared" si="4"/>
        <v>15000</v>
      </c>
      <c r="P8" s="10" t="s">
        <v>19</v>
      </c>
    </row>
    <row r="9" spans="1:16" s="22" customFormat="1" ht="14.25" customHeight="1" x14ac:dyDescent="0.25">
      <c r="A9" s="5" t="s">
        <v>23</v>
      </c>
      <c r="B9" s="22" t="s">
        <v>15</v>
      </c>
      <c r="C9" s="22" t="s">
        <v>21</v>
      </c>
      <c r="D9" s="23" t="s">
        <v>24</v>
      </c>
      <c r="E9" s="24" t="str">
        <f t="shared" si="0"/>
        <v>M0221713E021</v>
      </c>
      <c r="F9" s="6">
        <v>44097</v>
      </c>
      <c r="G9" s="13">
        <f t="shared" si="5"/>
        <v>44104</v>
      </c>
      <c r="H9" s="7">
        <f t="shared" ca="1" si="1"/>
        <v>-999</v>
      </c>
      <c r="I9" s="8">
        <v>44163</v>
      </c>
      <c r="J9" s="9">
        <f t="shared" ca="1" si="2"/>
        <v>0</v>
      </c>
      <c r="K9" s="10"/>
      <c r="L9" s="10" t="str">
        <f t="shared" si="3"/>
        <v>Accepted</v>
      </c>
      <c r="M9" s="11">
        <v>1</v>
      </c>
      <c r="N9" s="10" t="s">
        <v>18</v>
      </c>
      <c r="O9" s="42">
        <f t="shared" si="4"/>
        <v>20000</v>
      </c>
      <c r="P9" s="10" t="s">
        <v>19</v>
      </c>
    </row>
    <row r="10" spans="1:16" s="22" customFormat="1" ht="14.25" customHeight="1" x14ac:dyDescent="0.25">
      <c r="A10" s="5" t="s">
        <v>27</v>
      </c>
      <c r="B10" s="22" t="s">
        <v>28</v>
      </c>
      <c r="C10" s="22" t="s">
        <v>2459</v>
      </c>
      <c r="D10" s="23" t="s">
        <v>29</v>
      </c>
      <c r="E10" s="24" t="str">
        <f t="shared" si="0"/>
        <v>M0070061a008</v>
      </c>
      <c r="F10" s="6">
        <v>44098</v>
      </c>
      <c r="G10" s="13">
        <f t="shared" si="5"/>
        <v>44105</v>
      </c>
      <c r="H10" s="7">
        <f t="shared" ca="1" si="1"/>
        <v>-998</v>
      </c>
      <c r="I10" s="8">
        <v>44163</v>
      </c>
      <c r="J10" s="9">
        <f t="shared" ca="1" si="2"/>
        <v>0</v>
      </c>
      <c r="K10" s="10"/>
      <c r="L10" s="10" t="str">
        <f t="shared" si="3"/>
        <v>Accepted</v>
      </c>
      <c r="M10" s="11">
        <v>0</v>
      </c>
      <c r="N10" s="10" t="s">
        <v>30</v>
      </c>
      <c r="O10" s="42">
        <f t="shared" si="4"/>
        <v>18000</v>
      </c>
      <c r="P10" s="10" t="s">
        <v>19</v>
      </c>
    </row>
    <row r="11" spans="1:16" s="22" customFormat="1" ht="14.25" customHeight="1" x14ac:dyDescent="0.25">
      <c r="A11" s="5" t="s">
        <v>35</v>
      </c>
      <c r="B11" s="22" t="s">
        <v>28</v>
      </c>
      <c r="C11" s="22" t="s">
        <v>2459</v>
      </c>
      <c r="D11" s="23" t="s">
        <v>36</v>
      </c>
      <c r="E11" s="24" t="str">
        <f t="shared" si="0"/>
        <v>M0070731P032</v>
      </c>
      <c r="F11" s="6">
        <v>44098</v>
      </c>
      <c r="G11" s="13">
        <f t="shared" si="5"/>
        <v>44105</v>
      </c>
      <c r="H11" s="7">
        <f t="shared" ca="1" si="1"/>
        <v>-998</v>
      </c>
      <c r="I11" s="8">
        <v>44163</v>
      </c>
      <c r="J11" s="9">
        <f t="shared" ca="1" si="2"/>
        <v>0</v>
      </c>
      <c r="K11" s="10"/>
      <c r="L11" s="10" t="str">
        <f t="shared" si="3"/>
        <v>Accepted</v>
      </c>
      <c r="M11" s="11">
        <v>0</v>
      </c>
      <c r="N11" s="10" t="s">
        <v>18</v>
      </c>
      <c r="O11" s="42">
        <f t="shared" si="4"/>
        <v>15000</v>
      </c>
      <c r="P11" s="10" t="s">
        <v>19</v>
      </c>
    </row>
    <row r="12" spans="1:16" s="22" customFormat="1" ht="14.25" customHeight="1" x14ac:dyDescent="0.25">
      <c r="A12" s="5" t="s">
        <v>37</v>
      </c>
      <c r="B12" s="22" t="s">
        <v>28</v>
      </c>
      <c r="C12" s="22" t="s">
        <v>2459</v>
      </c>
      <c r="D12" s="23" t="s">
        <v>38</v>
      </c>
      <c r="E12" s="24" t="str">
        <f t="shared" si="0"/>
        <v>M0070742b003</v>
      </c>
      <c r="F12" s="6">
        <v>44098</v>
      </c>
      <c r="G12" s="13">
        <f t="shared" si="5"/>
        <v>44105</v>
      </c>
      <c r="H12" s="7">
        <f t="shared" ca="1" si="1"/>
        <v>-998</v>
      </c>
      <c r="I12" s="8">
        <v>44163</v>
      </c>
      <c r="J12" s="9">
        <f t="shared" ca="1" si="2"/>
        <v>0</v>
      </c>
      <c r="K12" s="10"/>
      <c r="L12" s="10" t="str">
        <f t="shared" si="3"/>
        <v>Accepted</v>
      </c>
      <c r="M12" s="11">
        <v>0</v>
      </c>
      <c r="N12" s="10" t="s">
        <v>18</v>
      </c>
      <c r="O12" s="42">
        <f t="shared" si="4"/>
        <v>15000</v>
      </c>
      <c r="P12" s="10" t="s">
        <v>19</v>
      </c>
    </row>
    <row r="13" spans="1:16" s="22" customFormat="1" ht="14.25" customHeight="1" x14ac:dyDescent="0.25">
      <c r="A13" s="5" t="s">
        <v>41</v>
      </c>
      <c r="B13" s="22" t="s">
        <v>28</v>
      </c>
      <c r="C13" s="22" t="s">
        <v>2461</v>
      </c>
      <c r="D13" s="23" t="s">
        <v>42</v>
      </c>
      <c r="E13" s="24" t="str">
        <f t="shared" si="0"/>
        <v>C0090041P027</v>
      </c>
      <c r="F13" s="6">
        <v>44102</v>
      </c>
      <c r="G13" s="13">
        <f t="shared" si="5"/>
        <v>44109</v>
      </c>
      <c r="H13" s="7">
        <f t="shared" ca="1" si="1"/>
        <v>-994</v>
      </c>
      <c r="I13" s="8">
        <v>44163</v>
      </c>
      <c r="J13" s="9">
        <f t="shared" ca="1" si="2"/>
        <v>0</v>
      </c>
      <c r="K13" s="10"/>
      <c r="L13" s="10" t="str">
        <f t="shared" si="3"/>
        <v>Accepted</v>
      </c>
      <c r="M13" s="11">
        <v>0</v>
      </c>
      <c r="N13" s="10" t="s">
        <v>18</v>
      </c>
      <c r="O13" s="42">
        <f t="shared" si="4"/>
        <v>15000</v>
      </c>
      <c r="P13" s="10" t="s">
        <v>19</v>
      </c>
    </row>
    <row r="14" spans="1:16" s="22" customFormat="1" ht="14.25" customHeight="1" x14ac:dyDescent="0.25">
      <c r="A14" s="5" t="s">
        <v>43</v>
      </c>
      <c r="B14" s="22" t="s">
        <v>28</v>
      </c>
      <c r="C14" s="22" t="s">
        <v>985</v>
      </c>
      <c r="D14" s="23" t="s">
        <v>44</v>
      </c>
      <c r="E14" s="24" t="str">
        <f t="shared" si="0"/>
        <v>C0090041P030</v>
      </c>
      <c r="F14" s="6">
        <v>44102</v>
      </c>
      <c r="G14" s="13">
        <f t="shared" si="5"/>
        <v>44109</v>
      </c>
      <c r="H14" s="7">
        <f t="shared" ca="1" si="1"/>
        <v>-994</v>
      </c>
      <c r="I14" s="8">
        <v>44163</v>
      </c>
      <c r="J14" s="9">
        <f t="shared" ca="1" si="2"/>
        <v>0</v>
      </c>
      <c r="K14" s="10"/>
      <c r="L14" s="10" t="str">
        <f t="shared" si="3"/>
        <v>Accepted</v>
      </c>
      <c r="M14" s="11">
        <v>0</v>
      </c>
      <c r="N14" s="10" t="s">
        <v>18</v>
      </c>
      <c r="O14" s="42">
        <f t="shared" si="4"/>
        <v>15000</v>
      </c>
      <c r="P14" s="10" t="s">
        <v>19</v>
      </c>
    </row>
    <row r="15" spans="1:16" s="22" customFormat="1" ht="14.25" customHeight="1" x14ac:dyDescent="0.25">
      <c r="A15" s="5" t="s">
        <v>25</v>
      </c>
      <c r="B15" s="22" t="s">
        <v>15</v>
      </c>
      <c r="C15" s="22" t="s">
        <v>2458</v>
      </c>
      <c r="D15" s="23" t="s">
        <v>26</v>
      </c>
      <c r="E15" s="24" t="str">
        <f t="shared" si="0"/>
        <v>M0270541P084</v>
      </c>
      <c r="F15" s="6">
        <v>44097</v>
      </c>
      <c r="G15" s="25">
        <f t="shared" si="5"/>
        <v>44104</v>
      </c>
      <c r="H15" s="7">
        <f t="shared" ca="1" si="1"/>
        <v>-999</v>
      </c>
      <c r="I15" s="8">
        <v>44165</v>
      </c>
      <c r="J15" s="9">
        <f t="shared" ca="1" si="2"/>
        <v>0</v>
      </c>
      <c r="K15" s="12"/>
      <c r="L15" s="10" t="str">
        <f t="shared" si="3"/>
        <v>Accepted</v>
      </c>
      <c r="M15" s="11">
        <v>0</v>
      </c>
      <c r="N15" s="10" t="s">
        <v>18</v>
      </c>
      <c r="O15" s="42">
        <f t="shared" si="4"/>
        <v>20000</v>
      </c>
      <c r="P15" s="10" t="s">
        <v>19</v>
      </c>
    </row>
    <row r="16" spans="1:16" s="22" customFormat="1" ht="14.25" customHeight="1" x14ac:dyDescent="0.25">
      <c r="A16" s="5" t="s">
        <v>45</v>
      </c>
      <c r="B16" s="22" t="s">
        <v>15</v>
      </c>
      <c r="C16" s="22" t="s">
        <v>46</v>
      </c>
      <c r="D16" s="23" t="s">
        <v>47</v>
      </c>
      <c r="E16" s="24" t="str">
        <f t="shared" si="0"/>
        <v>M1871111P002</v>
      </c>
      <c r="F16" s="6">
        <v>44103</v>
      </c>
      <c r="G16" s="13">
        <f t="shared" si="5"/>
        <v>44110</v>
      </c>
      <c r="H16" s="7">
        <f t="shared" ca="1" si="1"/>
        <v>-993</v>
      </c>
      <c r="I16" s="8">
        <v>44165</v>
      </c>
      <c r="J16" s="9">
        <f t="shared" ca="1" si="2"/>
        <v>0</v>
      </c>
      <c r="K16" s="12"/>
      <c r="L16" s="10" t="str">
        <f t="shared" si="3"/>
        <v>Accepted</v>
      </c>
      <c r="M16" s="11">
        <v>0</v>
      </c>
      <c r="N16" s="10" t="s">
        <v>18</v>
      </c>
      <c r="O16" s="42">
        <f t="shared" si="4"/>
        <v>20000</v>
      </c>
      <c r="P16" s="10" t="s">
        <v>19</v>
      </c>
    </row>
    <row r="17" spans="1:16" s="22" customFormat="1" ht="14.25" customHeight="1" x14ac:dyDescent="0.25">
      <c r="A17" s="5" t="s">
        <v>50</v>
      </c>
      <c r="B17" s="22" t="s">
        <v>15</v>
      </c>
      <c r="C17" s="22" t="s">
        <v>46</v>
      </c>
      <c r="D17" s="23" t="s">
        <v>51</v>
      </c>
      <c r="E17" s="24" t="str">
        <f t="shared" si="0"/>
        <v>M1871141a002</v>
      </c>
      <c r="F17" s="6">
        <v>44103</v>
      </c>
      <c r="G17" s="13">
        <f t="shared" si="5"/>
        <v>44110</v>
      </c>
      <c r="H17" s="7">
        <f t="shared" ca="1" si="1"/>
        <v>-993</v>
      </c>
      <c r="I17" s="8">
        <v>44165</v>
      </c>
      <c r="J17" s="9">
        <f t="shared" ca="1" si="2"/>
        <v>0</v>
      </c>
      <c r="K17" s="12"/>
      <c r="L17" s="10" t="str">
        <f t="shared" si="3"/>
        <v>Accepted</v>
      </c>
      <c r="M17" s="11">
        <v>0</v>
      </c>
      <c r="N17" s="10" t="s">
        <v>30</v>
      </c>
      <c r="O17" s="42">
        <f t="shared" si="4"/>
        <v>25000</v>
      </c>
      <c r="P17" s="10" t="s">
        <v>19</v>
      </c>
    </row>
    <row r="18" spans="1:16" s="22" customFormat="1" ht="14.25" customHeight="1" x14ac:dyDescent="0.25">
      <c r="A18" s="5" t="s">
        <v>80</v>
      </c>
      <c r="B18" s="22" t="s">
        <v>28</v>
      </c>
      <c r="C18" s="22" t="s">
        <v>985</v>
      </c>
      <c r="D18" s="23" t="s">
        <v>81</v>
      </c>
      <c r="E18" s="24" t="str">
        <f t="shared" si="0"/>
        <v>C0171371P031</v>
      </c>
      <c r="F18" s="6">
        <v>44148</v>
      </c>
      <c r="G18" s="13">
        <f t="shared" si="5"/>
        <v>44155</v>
      </c>
      <c r="H18" s="7">
        <f t="shared" ca="1" si="1"/>
        <v>-948</v>
      </c>
      <c r="I18" s="8">
        <v>44167</v>
      </c>
      <c r="J18" s="9">
        <f t="shared" ca="1" si="2"/>
        <v>0</v>
      </c>
      <c r="K18" s="10"/>
      <c r="L18" s="10" t="str">
        <f t="shared" si="3"/>
        <v>Accepted</v>
      </c>
      <c r="M18" s="11">
        <v>0</v>
      </c>
      <c r="N18" s="10" t="s">
        <v>18</v>
      </c>
      <c r="O18" s="42">
        <f t="shared" si="4"/>
        <v>15000</v>
      </c>
      <c r="P18" s="10" t="s">
        <v>19</v>
      </c>
    </row>
    <row r="19" spans="1:16" s="22" customFormat="1" ht="14.25" customHeight="1" x14ac:dyDescent="0.25">
      <c r="A19" s="5" t="s">
        <v>82</v>
      </c>
      <c r="B19" s="22" t="s">
        <v>28</v>
      </c>
      <c r="C19" s="22" t="s">
        <v>985</v>
      </c>
      <c r="D19" s="23" t="s">
        <v>83</v>
      </c>
      <c r="E19" s="24" t="str">
        <f t="shared" si="0"/>
        <v>C0171371P032</v>
      </c>
      <c r="F19" s="6">
        <v>44148</v>
      </c>
      <c r="G19" s="13">
        <f t="shared" si="5"/>
        <v>44155</v>
      </c>
      <c r="H19" s="7">
        <f t="shared" ca="1" si="1"/>
        <v>-948</v>
      </c>
      <c r="I19" s="8">
        <v>44167</v>
      </c>
      <c r="J19" s="9">
        <f t="shared" ca="1" si="2"/>
        <v>0</v>
      </c>
      <c r="K19" s="10"/>
      <c r="L19" s="10" t="str">
        <f t="shared" si="3"/>
        <v>Accepted</v>
      </c>
      <c r="M19" s="11">
        <v>0</v>
      </c>
      <c r="N19" s="10" t="s">
        <v>30</v>
      </c>
      <c r="O19" s="42">
        <f t="shared" si="4"/>
        <v>18000</v>
      </c>
      <c r="P19" s="10" t="s">
        <v>19</v>
      </c>
    </row>
    <row r="20" spans="1:16" s="22" customFormat="1" ht="14.25" customHeight="1" x14ac:dyDescent="0.25">
      <c r="A20" s="5" t="s">
        <v>84</v>
      </c>
      <c r="B20" s="22" t="s">
        <v>28</v>
      </c>
      <c r="C20" s="22" t="s">
        <v>2461</v>
      </c>
      <c r="D20" s="23" t="s">
        <v>85</v>
      </c>
      <c r="E20" s="24" t="str">
        <f t="shared" si="0"/>
        <v>C0171371P033</v>
      </c>
      <c r="F20" s="6">
        <v>44148</v>
      </c>
      <c r="G20" s="13">
        <f t="shared" si="5"/>
        <v>44155</v>
      </c>
      <c r="H20" s="7">
        <f t="shared" ca="1" si="1"/>
        <v>-948</v>
      </c>
      <c r="I20" s="8">
        <v>44167</v>
      </c>
      <c r="J20" s="9">
        <f t="shared" ca="1" si="2"/>
        <v>0</v>
      </c>
      <c r="K20" s="10"/>
      <c r="L20" s="10" t="str">
        <f t="shared" si="3"/>
        <v>Accepted</v>
      </c>
      <c r="M20" s="11">
        <v>0</v>
      </c>
      <c r="N20" s="10" t="s">
        <v>18</v>
      </c>
      <c r="O20" s="42">
        <f t="shared" si="4"/>
        <v>15000</v>
      </c>
      <c r="P20" s="10" t="s">
        <v>19</v>
      </c>
    </row>
    <row r="21" spans="1:16" s="22" customFormat="1" ht="14.25" customHeight="1" x14ac:dyDescent="0.25">
      <c r="A21" s="5" t="s">
        <v>86</v>
      </c>
      <c r="B21" s="22" t="s">
        <v>28</v>
      </c>
      <c r="C21" s="22" t="s">
        <v>985</v>
      </c>
      <c r="D21" s="23" t="s">
        <v>87</v>
      </c>
      <c r="E21" s="24" t="str">
        <f t="shared" si="0"/>
        <v>C0171371P034</v>
      </c>
      <c r="F21" s="6">
        <v>44148</v>
      </c>
      <c r="G21" s="13">
        <f t="shared" si="5"/>
        <v>44155</v>
      </c>
      <c r="H21" s="7">
        <f t="shared" ca="1" si="1"/>
        <v>-948</v>
      </c>
      <c r="I21" s="8">
        <v>44167</v>
      </c>
      <c r="J21" s="9">
        <f t="shared" ca="1" si="2"/>
        <v>0</v>
      </c>
      <c r="K21" s="10"/>
      <c r="L21" s="10" t="str">
        <f t="shared" si="3"/>
        <v>Accepted</v>
      </c>
      <c r="M21" s="11">
        <v>0</v>
      </c>
      <c r="N21" s="10" t="s">
        <v>18</v>
      </c>
      <c r="O21" s="42">
        <f t="shared" si="4"/>
        <v>15000</v>
      </c>
      <c r="P21" s="10" t="s">
        <v>19</v>
      </c>
    </row>
    <row r="22" spans="1:16" s="22" customFormat="1" ht="14.25" customHeight="1" x14ac:dyDescent="0.25">
      <c r="A22" s="5" t="s">
        <v>88</v>
      </c>
      <c r="B22" s="22" t="s">
        <v>28</v>
      </c>
      <c r="C22" s="22" t="s">
        <v>2461</v>
      </c>
      <c r="D22" s="23" t="s">
        <v>89</v>
      </c>
      <c r="E22" s="24" t="str">
        <f t="shared" si="0"/>
        <v>C0171371P035</v>
      </c>
      <c r="F22" s="6">
        <v>44148</v>
      </c>
      <c r="G22" s="13">
        <f t="shared" si="5"/>
        <v>44155</v>
      </c>
      <c r="H22" s="7">
        <f t="shared" ca="1" si="1"/>
        <v>-948</v>
      </c>
      <c r="I22" s="8">
        <v>44167</v>
      </c>
      <c r="J22" s="9">
        <f t="shared" ca="1" si="2"/>
        <v>0</v>
      </c>
      <c r="K22" s="10"/>
      <c r="L22" s="10" t="str">
        <f t="shared" si="3"/>
        <v>Accepted</v>
      </c>
      <c r="M22" s="11">
        <v>0</v>
      </c>
      <c r="N22" s="10" t="s">
        <v>18</v>
      </c>
      <c r="O22" s="42">
        <f t="shared" si="4"/>
        <v>15000</v>
      </c>
      <c r="P22" s="10" t="s">
        <v>19</v>
      </c>
    </row>
    <row r="23" spans="1:16" s="22" customFormat="1" ht="14.25" customHeight="1" x14ac:dyDescent="0.25">
      <c r="A23" s="5" t="s">
        <v>90</v>
      </c>
      <c r="B23" s="22" t="s">
        <v>28</v>
      </c>
      <c r="C23" s="22" t="s">
        <v>2462</v>
      </c>
      <c r="D23" s="23" t="s">
        <v>91</v>
      </c>
      <c r="E23" s="24" t="str">
        <f t="shared" si="0"/>
        <v>C0171441E001</v>
      </c>
      <c r="F23" s="6">
        <v>44148</v>
      </c>
      <c r="G23" s="13">
        <f t="shared" si="5"/>
        <v>44155</v>
      </c>
      <c r="H23" s="7">
        <f t="shared" ca="1" si="1"/>
        <v>-948</v>
      </c>
      <c r="I23" s="8">
        <v>44167</v>
      </c>
      <c r="J23" s="9">
        <f t="shared" ca="1" si="2"/>
        <v>0</v>
      </c>
      <c r="K23" s="10"/>
      <c r="L23" s="10" t="str">
        <f t="shared" si="3"/>
        <v>Accepted</v>
      </c>
      <c r="M23" s="11">
        <v>0</v>
      </c>
      <c r="N23" s="10" t="s">
        <v>18</v>
      </c>
      <c r="O23" s="42">
        <f t="shared" si="4"/>
        <v>15000</v>
      </c>
      <c r="P23" s="10" t="s">
        <v>19</v>
      </c>
    </row>
    <row r="24" spans="1:16" s="22" customFormat="1" ht="14.25" customHeight="1" x14ac:dyDescent="0.25">
      <c r="A24" s="5" t="s">
        <v>94</v>
      </c>
      <c r="B24" s="22" t="s">
        <v>28</v>
      </c>
      <c r="C24" s="22" t="s">
        <v>2462</v>
      </c>
      <c r="D24" s="23" t="s">
        <v>95</v>
      </c>
      <c r="E24" s="24" t="str">
        <f t="shared" si="0"/>
        <v>C0171441E003</v>
      </c>
      <c r="F24" s="6">
        <v>44148</v>
      </c>
      <c r="G24" s="13">
        <f t="shared" si="5"/>
        <v>44155</v>
      </c>
      <c r="H24" s="7">
        <f t="shared" ca="1" si="1"/>
        <v>-948</v>
      </c>
      <c r="I24" s="8">
        <v>44167</v>
      </c>
      <c r="J24" s="9">
        <f t="shared" ca="1" si="2"/>
        <v>0</v>
      </c>
      <c r="K24" s="10"/>
      <c r="L24" s="10" t="str">
        <f t="shared" si="3"/>
        <v>Accepted</v>
      </c>
      <c r="M24" s="11">
        <v>0</v>
      </c>
      <c r="N24" s="10" t="s">
        <v>18</v>
      </c>
      <c r="O24" s="42">
        <f t="shared" si="4"/>
        <v>15000</v>
      </c>
      <c r="P24" s="10" t="s">
        <v>19</v>
      </c>
    </row>
    <row r="25" spans="1:16" s="22" customFormat="1" ht="14.25" customHeight="1" x14ac:dyDescent="0.25">
      <c r="A25" s="5" t="s">
        <v>96</v>
      </c>
      <c r="B25" s="22" t="s">
        <v>28</v>
      </c>
      <c r="C25" s="22" t="s">
        <v>2462</v>
      </c>
      <c r="D25" s="23" t="s">
        <v>97</v>
      </c>
      <c r="E25" s="24" t="str">
        <f t="shared" si="0"/>
        <v>C0171471P031</v>
      </c>
      <c r="F25" s="6">
        <v>44148</v>
      </c>
      <c r="G25" s="13">
        <f t="shared" si="5"/>
        <v>44155</v>
      </c>
      <c r="H25" s="7">
        <f t="shared" ca="1" si="1"/>
        <v>-948</v>
      </c>
      <c r="I25" s="8">
        <v>44169</v>
      </c>
      <c r="J25" s="9">
        <f t="shared" ca="1" si="2"/>
        <v>0</v>
      </c>
      <c r="K25" s="10"/>
      <c r="L25" s="10" t="str">
        <f t="shared" si="3"/>
        <v>Accepted</v>
      </c>
      <c r="M25" s="11">
        <v>0</v>
      </c>
      <c r="N25" s="10" t="s">
        <v>30</v>
      </c>
      <c r="O25" s="42">
        <f t="shared" si="4"/>
        <v>18000</v>
      </c>
      <c r="P25" s="10" t="s">
        <v>19</v>
      </c>
    </row>
    <row r="26" spans="1:16" s="22" customFormat="1" ht="14.25" customHeight="1" x14ac:dyDescent="0.25">
      <c r="A26" s="5" t="s">
        <v>98</v>
      </c>
      <c r="B26" s="22" t="s">
        <v>28</v>
      </c>
      <c r="C26" s="22" t="s">
        <v>2462</v>
      </c>
      <c r="D26" s="23" t="s">
        <v>99</v>
      </c>
      <c r="E26" s="24" t="str">
        <f t="shared" si="0"/>
        <v>C0171471P032</v>
      </c>
      <c r="F26" s="6">
        <v>44148</v>
      </c>
      <c r="G26" s="13">
        <f t="shared" si="5"/>
        <v>44155</v>
      </c>
      <c r="H26" s="7">
        <f t="shared" ca="1" si="1"/>
        <v>-948</v>
      </c>
      <c r="I26" s="8">
        <v>44169</v>
      </c>
      <c r="J26" s="9">
        <f t="shared" ca="1" si="2"/>
        <v>0</v>
      </c>
      <c r="K26" s="10"/>
      <c r="L26" s="10" t="str">
        <f t="shared" si="3"/>
        <v>Accepted</v>
      </c>
      <c r="M26" s="11">
        <v>0</v>
      </c>
      <c r="N26" s="10" t="s">
        <v>18</v>
      </c>
      <c r="O26" s="42">
        <f t="shared" si="4"/>
        <v>15000</v>
      </c>
      <c r="P26" s="10" t="s">
        <v>19</v>
      </c>
    </row>
    <row r="27" spans="1:16" s="22" customFormat="1" ht="14.25" customHeight="1" x14ac:dyDescent="0.25">
      <c r="A27" s="5" t="s">
        <v>100</v>
      </c>
      <c r="B27" s="22" t="s">
        <v>28</v>
      </c>
      <c r="C27" s="22" t="s">
        <v>2462</v>
      </c>
      <c r="D27" s="23" t="s">
        <v>101</v>
      </c>
      <c r="E27" s="24" t="str">
        <f t="shared" si="0"/>
        <v>C0171471P033</v>
      </c>
      <c r="F27" s="6">
        <v>44148</v>
      </c>
      <c r="G27" s="13">
        <f t="shared" si="5"/>
        <v>44155</v>
      </c>
      <c r="H27" s="7">
        <f t="shared" ca="1" si="1"/>
        <v>-948</v>
      </c>
      <c r="I27" s="8">
        <v>44169</v>
      </c>
      <c r="J27" s="9">
        <f t="shared" ca="1" si="2"/>
        <v>0</v>
      </c>
      <c r="K27" s="10"/>
      <c r="L27" s="10" t="str">
        <f t="shared" si="3"/>
        <v>Accepted</v>
      </c>
      <c r="M27" s="11">
        <v>0</v>
      </c>
      <c r="N27" s="10" t="s">
        <v>18</v>
      </c>
      <c r="O27" s="42">
        <f t="shared" si="4"/>
        <v>15000</v>
      </c>
      <c r="P27" s="10" t="s">
        <v>19</v>
      </c>
    </row>
    <row r="28" spans="1:16" s="22" customFormat="1" ht="14.25" customHeight="1" x14ac:dyDescent="0.25">
      <c r="A28" s="5" t="s">
        <v>104</v>
      </c>
      <c r="B28" s="22" t="s">
        <v>28</v>
      </c>
      <c r="C28" s="22" t="s">
        <v>2463</v>
      </c>
      <c r="D28" s="23" t="s">
        <v>105</v>
      </c>
      <c r="E28" s="24" t="str">
        <f t="shared" si="0"/>
        <v>C0171521E001</v>
      </c>
      <c r="F28" s="6">
        <v>44148</v>
      </c>
      <c r="G28" s="13">
        <f t="shared" si="5"/>
        <v>44155</v>
      </c>
      <c r="H28" s="7">
        <f t="shared" ca="1" si="1"/>
        <v>-948</v>
      </c>
      <c r="I28" s="8">
        <v>44169</v>
      </c>
      <c r="J28" s="9">
        <f t="shared" ca="1" si="2"/>
        <v>0</v>
      </c>
      <c r="K28" s="10"/>
      <c r="L28" s="10" t="str">
        <f t="shared" si="3"/>
        <v>Accepted</v>
      </c>
      <c r="M28" s="11">
        <v>0</v>
      </c>
      <c r="N28" s="10" t="s">
        <v>18</v>
      </c>
      <c r="O28" s="42">
        <f t="shared" si="4"/>
        <v>15000</v>
      </c>
      <c r="P28" s="10" t="s">
        <v>19</v>
      </c>
    </row>
    <row r="29" spans="1:16" s="22" customFormat="1" ht="14.25" customHeight="1" x14ac:dyDescent="0.25">
      <c r="A29" s="5" t="s">
        <v>106</v>
      </c>
      <c r="B29" s="22" t="s">
        <v>28</v>
      </c>
      <c r="C29" s="22" t="s">
        <v>2463</v>
      </c>
      <c r="D29" s="23" t="s">
        <v>107</v>
      </c>
      <c r="E29" s="24" t="str">
        <f t="shared" si="0"/>
        <v>C0171531E002</v>
      </c>
      <c r="F29" s="6">
        <v>44148</v>
      </c>
      <c r="G29" s="13">
        <f t="shared" si="5"/>
        <v>44155</v>
      </c>
      <c r="H29" s="7">
        <f t="shared" ca="1" si="1"/>
        <v>-948</v>
      </c>
      <c r="I29" s="8">
        <v>44169</v>
      </c>
      <c r="J29" s="9">
        <f t="shared" ca="1" si="2"/>
        <v>0</v>
      </c>
      <c r="K29" s="10"/>
      <c r="L29" s="10" t="str">
        <f t="shared" si="3"/>
        <v>Accepted</v>
      </c>
      <c r="M29" s="11">
        <v>0</v>
      </c>
      <c r="N29" s="10" t="s">
        <v>30</v>
      </c>
      <c r="O29" s="42">
        <f t="shared" si="4"/>
        <v>18000</v>
      </c>
      <c r="P29" s="10" t="s">
        <v>19</v>
      </c>
    </row>
    <row r="30" spans="1:16" s="22" customFormat="1" ht="14.25" customHeight="1" x14ac:dyDescent="0.25">
      <c r="A30" s="5" t="s">
        <v>108</v>
      </c>
      <c r="B30" s="22" t="s">
        <v>28</v>
      </c>
      <c r="C30" s="22" t="s">
        <v>985</v>
      </c>
      <c r="D30" s="23" t="s">
        <v>109</v>
      </c>
      <c r="E30" s="24" t="str">
        <f t="shared" si="0"/>
        <v>M2231411E004</v>
      </c>
      <c r="F30" s="6">
        <v>44168</v>
      </c>
      <c r="G30" s="13">
        <f t="shared" si="5"/>
        <v>44175</v>
      </c>
      <c r="H30" s="7">
        <f t="shared" ca="1" si="1"/>
        <v>-928</v>
      </c>
      <c r="I30" s="8">
        <v>44178</v>
      </c>
      <c r="J30" s="9">
        <f t="shared" ca="1" si="2"/>
        <v>0</v>
      </c>
      <c r="K30" s="12"/>
      <c r="L30" s="10" t="str">
        <f t="shared" si="3"/>
        <v>Accepted</v>
      </c>
      <c r="M30" s="11">
        <v>0</v>
      </c>
      <c r="N30" s="10" t="s">
        <v>30</v>
      </c>
      <c r="O30" s="42">
        <f t="shared" si="4"/>
        <v>18000</v>
      </c>
      <c r="P30" s="10" t="s">
        <v>19</v>
      </c>
    </row>
    <row r="31" spans="1:16" s="22" customFormat="1" ht="14.25" customHeight="1" x14ac:dyDescent="0.25">
      <c r="A31" s="5" t="s">
        <v>110</v>
      </c>
      <c r="B31" s="22" t="s">
        <v>28</v>
      </c>
      <c r="C31" s="22" t="s">
        <v>985</v>
      </c>
      <c r="D31" s="23" t="s">
        <v>111</v>
      </c>
      <c r="E31" s="24" t="str">
        <f t="shared" si="0"/>
        <v>M2231411E005</v>
      </c>
      <c r="F31" s="6">
        <v>44168</v>
      </c>
      <c r="G31" s="13">
        <f t="shared" si="5"/>
        <v>44175</v>
      </c>
      <c r="H31" s="7">
        <f t="shared" ca="1" si="1"/>
        <v>-928</v>
      </c>
      <c r="I31" s="8">
        <v>44178</v>
      </c>
      <c r="J31" s="9">
        <f t="shared" ca="1" si="2"/>
        <v>0</v>
      </c>
      <c r="K31" s="12"/>
      <c r="L31" s="10" t="str">
        <f t="shared" si="3"/>
        <v>Accepted</v>
      </c>
      <c r="M31" s="11">
        <v>0</v>
      </c>
      <c r="N31" s="10" t="s">
        <v>30</v>
      </c>
      <c r="O31" s="42">
        <f t="shared" si="4"/>
        <v>18000</v>
      </c>
      <c r="P31" s="10" t="s">
        <v>19</v>
      </c>
    </row>
    <row r="32" spans="1:16" s="22" customFormat="1" ht="14.25" customHeight="1" x14ac:dyDescent="0.25">
      <c r="A32" s="5" t="s">
        <v>112</v>
      </c>
      <c r="B32" s="22" t="s">
        <v>28</v>
      </c>
      <c r="C32" s="22" t="s">
        <v>985</v>
      </c>
      <c r="D32" s="23" t="s">
        <v>113</v>
      </c>
      <c r="E32" s="24" t="str">
        <f t="shared" si="0"/>
        <v>M2231411E006</v>
      </c>
      <c r="F32" s="6">
        <v>44168</v>
      </c>
      <c r="G32" s="13">
        <f t="shared" si="5"/>
        <v>44175</v>
      </c>
      <c r="H32" s="7">
        <f t="shared" ca="1" si="1"/>
        <v>-928</v>
      </c>
      <c r="I32" s="8">
        <v>44178</v>
      </c>
      <c r="J32" s="9">
        <f t="shared" ca="1" si="2"/>
        <v>0</v>
      </c>
      <c r="K32" s="12"/>
      <c r="L32" s="10" t="str">
        <f t="shared" si="3"/>
        <v>Accepted</v>
      </c>
      <c r="M32" s="11">
        <v>0</v>
      </c>
      <c r="N32" s="10" t="s">
        <v>18</v>
      </c>
      <c r="O32" s="42">
        <f t="shared" si="4"/>
        <v>15000</v>
      </c>
      <c r="P32" s="10" t="s">
        <v>19</v>
      </c>
    </row>
    <row r="33" spans="1:16" s="22" customFormat="1" ht="14.25" customHeight="1" x14ac:dyDescent="0.25">
      <c r="A33" s="5" t="s">
        <v>114</v>
      </c>
      <c r="B33" s="22" t="s">
        <v>28</v>
      </c>
      <c r="C33" s="22" t="s">
        <v>985</v>
      </c>
      <c r="D33" s="23" t="s">
        <v>115</v>
      </c>
      <c r="E33" s="24" t="str">
        <f t="shared" si="0"/>
        <v>M2231411E007</v>
      </c>
      <c r="F33" s="6">
        <v>44168</v>
      </c>
      <c r="G33" s="13">
        <f t="shared" si="5"/>
        <v>44175</v>
      </c>
      <c r="H33" s="7">
        <f t="shared" ca="1" si="1"/>
        <v>-928</v>
      </c>
      <c r="I33" s="8">
        <v>44178</v>
      </c>
      <c r="J33" s="9">
        <f t="shared" ca="1" si="2"/>
        <v>0</v>
      </c>
      <c r="K33" s="12"/>
      <c r="L33" s="10" t="str">
        <f t="shared" si="3"/>
        <v>Accepted</v>
      </c>
      <c r="M33" s="11">
        <v>0</v>
      </c>
      <c r="N33" s="10" t="s">
        <v>18</v>
      </c>
      <c r="O33" s="42">
        <f t="shared" si="4"/>
        <v>15000</v>
      </c>
      <c r="P33" s="10" t="s">
        <v>19</v>
      </c>
    </row>
    <row r="34" spans="1:16" s="22" customFormat="1" ht="14.25" customHeight="1" x14ac:dyDescent="0.25">
      <c r="A34" s="5" t="s">
        <v>116</v>
      </c>
      <c r="B34" s="22" t="s">
        <v>28</v>
      </c>
      <c r="C34" s="22" t="s">
        <v>985</v>
      </c>
      <c r="D34" s="23" t="s">
        <v>117</v>
      </c>
      <c r="E34" s="24" t="str">
        <f t="shared" si="0"/>
        <v>M2231411E008</v>
      </c>
      <c r="F34" s="6">
        <v>44168</v>
      </c>
      <c r="G34" s="13">
        <f t="shared" si="5"/>
        <v>44175</v>
      </c>
      <c r="H34" s="7">
        <f t="shared" ca="1" si="1"/>
        <v>-928</v>
      </c>
      <c r="I34" s="8">
        <v>44178</v>
      </c>
      <c r="J34" s="9">
        <f t="shared" ca="1" si="2"/>
        <v>0</v>
      </c>
      <c r="K34" s="12"/>
      <c r="L34" s="10" t="str">
        <f t="shared" si="3"/>
        <v>Accepted</v>
      </c>
      <c r="M34" s="11">
        <v>0</v>
      </c>
      <c r="N34" s="10" t="s">
        <v>18</v>
      </c>
      <c r="O34" s="42">
        <f t="shared" si="4"/>
        <v>15000</v>
      </c>
      <c r="P34" s="10" t="s">
        <v>19</v>
      </c>
    </row>
    <row r="35" spans="1:16" s="22" customFormat="1" ht="14.25" customHeight="1" x14ac:dyDescent="0.25">
      <c r="A35" s="5" t="s">
        <v>118</v>
      </c>
      <c r="B35" s="22" t="s">
        <v>28</v>
      </c>
      <c r="C35" s="22" t="s">
        <v>985</v>
      </c>
      <c r="D35" s="23" t="s">
        <v>119</v>
      </c>
      <c r="E35" s="24" t="str">
        <f t="shared" si="0"/>
        <v>M2231411E009</v>
      </c>
      <c r="F35" s="6">
        <v>44168</v>
      </c>
      <c r="G35" s="13">
        <f t="shared" si="5"/>
        <v>44175</v>
      </c>
      <c r="H35" s="7">
        <f t="shared" ca="1" si="1"/>
        <v>-928</v>
      </c>
      <c r="I35" s="8">
        <v>44178</v>
      </c>
      <c r="J35" s="9">
        <f t="shared" ca="1" si="2"/>
        <v>0</v>
      </c>
      <c r="K35" s="12"/>
      <c r="L35" s="10" t="str">
        <f t="shared" si="3"/>
        <v>Accepted</v>
      </c>
      <c r="M35" s="11">
        <v>0</v>
      </c>
      <c r="N35" s="10" t="s">
        <v>18</v>
      </c>
      <c r="O35" s="42">
        <f t="shared" si="4"/>
        <v>15000</v>
      </c>
      <c r="P35" s="10" t="s">
        <v>19</v>
      </c>
    </row>
    <row r="36" spans="1:16" s="22" customFormat="1" ht="14.25" customHeight="1" x14ac:dyDescent="0.25">
      <c r="A36" s="5" t="s">
        <v>120</v>
      </c>
      <c r="B36" s="22" t="s">
        <v>28</v>
      </c>
      <c r="C36" s="22" t="s">
        <v>985</v>
      </c>
      <c r="D36" s="23" t="s">
        <v>121</v>
      </c>
      <c r="E36" s="24" t="str">
        <f t="shared" si="0"/>
        <v>M2231411E010</v>
      </c>
      <c r="F36" s="6">
        <v>44168</v>
      </c>
      <c r="G36" s="13">
        <f t="shared" si="5"/>
        <v>44175</v>
      </c>
      <c r="H36" s="7">
        <f t="shared" ca="1" si="1"/>
        <v>-928</v>
      </c>
      <c r="I36" s="8">
        <v>44178</v>
      </c>
      <c r="J36" s="9">
        <f t="shared" ca="1" si="2"/>
        <v>0</v>
      </c>
      <c r="K36" s="12"/>
      <c r="L36" s="10" t="str">
        <f t="shared" si="3"/>
        <v>Accepted</v>
      </c>
      <c r="M36" s="11">
        <v>0</v>
      </c>
      <c r="N36" s="10" t="s">
        <v>30</v>
      </c>
      <c r="O36" s="42">
        <f t="shared" si="4"/>
        <v>18000</v>
      </c>
      <c r="P36" s="10" t="s">
        <v>19</v>
      </c>
    </row>
    <row r="37" spans="1:16" s="22" customFormat="1" ht="14.25" customHeight="1" x14ac:dyDescent="0.25">
      <c r="A37" s="5" t="s">
        <v>122</v>
      </c>
      <c r="B37" s="22" t="s">
        <v>28</v>
      </c>
      <c r="C37" s="22" t="s">
        <v>985</v>
      </c>
      <c r="D37" s="23" t="s">
        <v>123</v>
      </c>
      <c r="E37" s="24" t="str">
        <f t="shared" si="0"/>
        <v>M2231411E011</v>
      </c>
      <c r="F37" s="6">
        <v>44168</v>
      </c>
      <c r="G37" s="13">
        <f t="shared" si="5"/>
        <v>44175</v>
      </c>
      <c r="H37" s="7">
        <f t="shared" ca="1" si="1"/>
        <v>-928</v>
      </c>
      <c r="I37" s="8">
        <v>44178</v>
      </c>
      <c r="J37" s="9">
        <f t="shared" ca="1" si="2"/>
        <v>0</v>
      </c>
      <c r="K37" s="12"/>
      <c r="L37" s="10" t="str">
        <f t="shared" si="3"/>
        <v>Accepted</v>
      </c>
      <c r="M37" s="11">
        <v>0</v>
      </c>
      <c r="N37" s="10" t="s">
        <v>18</v>
      </c>
      <c r="O37" s="42">
        <f t="shared" si="4"/>
        <v>15000</v>
      </c>
      <c r="P37" s="10" t="s">
        <v>19</v>
      </c>
    </row>
    <row r="38" spans="1:16" s="22" customFormat="1" ht="14.25" customHeight="1" x14ac:dyDescent="0.25">
      <c r="A38" s="5" t="s">
        <v>124</v>
      </c>
      <c r="B38" s="22" t="s">
        <v>28</v>
      </c>
      <c r="C38" s="22" t="s">
        <v>985</v>
      </c>
      <c r="D38" s="23" t="s">
        <v>125</v>
      </c>
      <c r="E38" s="24" t="str">
        <f t="shared" si="0"/>
        <v>M2231421E012</v>
      </c>
      <c r="F38" s="6">
        <v>44168</v>
      </c>
      <c r="G38" s="13">
        <f t="shared" si="5"/>
        <v>44175</v>
      </c>
      <c r="H38" s="7">
        <f t="shared" ca="1" si="1"/>
        <v>-928</v>
      </c>
      <c r="I38" s="8">
        <v>44178</v>
      </c>
      <c r="J38" s="9">
        <f t="shared" ca="1" si="2"/>
        <v>0</v>
      </c>
      <c r="K38" s="12"/>
      <c r="L38" s="10" t="str">
        <f t="shared" si="3"/>
        <v>Accepted</v>
      </c>
      <c r="M38" s="11">
        <v>1</v>
      </c>
      <c r="N38" s="10" t="s">
        <v>18</v>
      </c>
      <c r="O38" s="42">
        <f t="shared" si="4"/>
        <v>15000</v>
      </c>
      <c r="P38" s="10" t="s">
        <v>19</v>
      </c>
    </row>
    <row r="39" spans="1:16" s="22" customFormat="1" ht="14.25" customHeight="1" x14ac:dyDescent="0.25">
      <c r="A39" s="5" t="s">
        <v>126</v>
      </c>
      <c r="B39" s="22" t="s">
        <v>28</v>
      </c>
      <c r="C39" s="22" t="s">
        <v>985</v>
      </c>
      <c r="D39" s="23" t="s">
        <v>127</v>
      </c>
      <c r="E39" s="24" t="str">
        <f t="shared" si="0"/>
        <v>M2231421E013</v>
      </c>
      <c r="F39" s="6">
        <v>44168</v>
      </c>
      <c r="G39" s="13">
        <f t="shared" si="5"/>
        <v>44175</v>
      </c>
      <c r="H39" s="7">
        <f t="shared" ca="1" si="1"/>
        <v>-928</v>
      </c>
      <c r="I39" s="8">
        <v>44178</v>
      </c>
      <c r="J39" s="9">
        <f t="shared" ca="1" si="2"/>
        <v>0</v>
      </c>
      <c r="K39" s="12"/>
      <c r="L39" s="10" t="str">
        <f t="shared" si="3"/>
        <v>Accepted</v>
      </c>
      <c r="M39" s="11">
        <v>0</v>
      </c>
      <c r="N39" s="10" t="s">
        <v>18</v>
      </c>
      <c r="O39" s="42">
        <f t="shared" si="4"/>
        <v>15000</v>
      </c>
      <c r="P39" s="10" t="s">
        <v>19</v>
      </c>
    </row>
    <row r="40" spans="1:16" s="22" customFormat="1" ht="14.25" customHeight="1" x14ac:dyDescent="0.25">
      <c r="A40" s="5" t="s">
        <v>128</v>
      </c>
      <c r="B40" s="22" t="s">
        <v>28</v>
      </c>
      <c r="C40" s="22" t="s">
        <v>985</v>
      </c>
      <c r="D40" s="23" t="s">
        <v>129</v>
      </c>
      <c r="E40" s="24" t="str">
        <f t="shared" si="0"/>
        <v>M2231421E014</v>
      </c>
      <c r="F40" s="6">
        <v>44168</v>
      </c>
      <c r="G40" s="13">
        <f t="shared" si="5"/>
        <v>44175</v>
      </c>
      <c r="H40" s="7">
        <f t="shared" ca="1" si="1"/>
        <v>-928</v>
      </c>
      <c r="I40" s="8">
        <v>44178</v>
      </c>
      <c r="J40" s="9">
        <f t="shared" ca="1" si="2"/>
        <v>0</v>
      </c>
      <c r="K40" s="12"/>
      <c r="L40" s="10" t="str">
        <f t="shared" si="3"/>
        <v>Accepted</v>
      </c>
      <c r="M40" s="11">
        <v>0</v>
      </c>
      <c r="N40" s="10" t="s">
        <v>30</v>
      </c>
      <c r="O40" s="42">
        <f t="shared" si="4"/>
        <v>18000</v>
      </c>
      <c r="P40" s="10" t="s">
        <v>19</v>
      </c>
    </row>
    <row r="41" spans="1:16" s="22" customFormat="1" ht="14.25" customHeight="1" x14ac:dyDescent="0.25">
      <c r="A41" s="5" t="s">
        <v>130</v>
      </c>
      <c r="B41" s="22" t="s">
        <v>28</v>
      </c>
      <c r="C41" s="22" t="s">
        <v>985</v>
      </c>
      <c r="D41" s="23" t="s">
        <v>131</v>
      </c>
      <c r="E41" s="24" t="str">
        <f t="shared" si="0"/>
        <v>M2231421E015</v>
      </c>
      <c r="F41" s="6">
        <v>44168</v>
      </c>
      <c r="G41" s="13">
        <f t="shared" si="5"/>
        <v>44175</v>
      </c>
      <c r="H41" s="7">
        <f t="shared" ca="1" si="1"/>
        <v>-928</v>
      </c>
      <c r="I41" s="8">
        <v>44178</v>
      </c>
      <c r="J41" s="9">
        <f t="shared" ca="1" si="2"/>
        <v>0</v>
      </c>
      <c r="K41" s="12"/>
      <c r="L41" s="10" t="str">
        <f t="shared" si="3"/>
        <v>Accepted</v>
      </c>
      <c r="M41" s="11">
        <v>0</v>
      </c>
      <c r="N41" s="10" t="s">
        <v>30</v>
      </c>
      <c r="O41" s="42">
        <f t="shared" si="4"/>
        <v>18000</v>
      </c>
      <c r="P41" s="10" t="s">
        <v>19</v>
      </c>
    </row>
    <row r="42" spans="1:16" s="22" customFormat="1" ht="14.25" customHeight="1" x14ac:dyDescent="0.25">
      <c r="A42" s="5" t="s">
        <v>132</v>
      </c>
      <c r="B42" s="22" t="s">
        <v>28</v>
      </c>
      <c r="C42" s="22" t="s">
        <v>985</v>
      </c>
      <c r="D42" s="23" t="s">
        <v>133</v>
      </c>
      <c r="E42" s="24" t="str">
        <f t="shared" si="0"/>
        <v>M2231422E001</v>
      </c>
      <c r="F42" s="6">
        <v>44168</v>
      </c>
      <c r="G42" s="13">
        <f t="shared" si="5"/>
        <v>44175</v>
      </c>
      <c r="H42" s="7">
        <f t="shared" ca="1" si="1"/>
        <v>-928</v>
      </c>
      <c r="I42" s="8">
        <v>44178</v>
      </c>
      <c r="J42" s="9">
        <f t="shared" ca="1" si="2"/>
        <v>0</v>
      </c>
      <c r="K42" s="12"/>
      <c r="L42" s="10" t="str">
        <f t="shared" si="3"/>
        <v>Accepted</v>
      </c>
      <c r="M42" s="11">
        <v>0</v>
      </c>
      <c r="N42" s="10" t="s">
        <v>30</v>
      </c>
      <c r="O42" s="42">
        <f t="shared" si="4"/>
        <v>18000</v>
      </c>
      <c r="P42" s="10" t="s">
        <v>19</v>
      </c>
    </row>
    <row r="43" spans="1:16" s="22" customFormat="1" ht="14.25" customHeight="1" x14ac:dyDescent="0.25">
      <c r="A43" s="5" t="s">
        <v>134</v>
      </c>
      <c r="B43" s="22" t="s">
        <v>28</v>
      </c>
      <c r="C43" s="22" t="s">
        <v>985</v>
      </c>
      <c r="D43" s="23" t="s">
        <v>135</v>
      </c>
      <c r="E43" s="24" t="str">
        <f t="shared" si="0"/>
        <v>M2231431E001</v>
      </c>
      <c r="F43" s="6">
        <v>44168</v>
      </c>
      <c r="G43" s="13">
        <f t="shared" si="5"/>
        <v>44175</v>
      </c>
      <c r="H43" s="7">
        <f t="shared" ca="1" si="1"/>
        <v>-928</v>
      </c>
      <c r="I43" s="8">
        <v>44178</v>
      </c>
      <c r="J43" s="9">
        <f t="shared" ca="1" si="2"/>
        <v>0</v>
      </c>
      <c r="K43" s="12"/>
      <c r="L43" s="10" t="str">
        <f t="shared" si="3"/>
        <v>Accepted</v>
      </c>
      <c r="M43" s="11">
        <v>0</v>
      </c>
      <c r="N43" s="10" t="s">
        <v>30</v>
      </c>
      <c r="O43" s="42">
        <f t="shared" si="4"/>
        <v>18000</v>
      </c>
      <c r="P43" s="10" t="s">
        <v>19</v>
      </c>
    </row>
    <row r="44" spans="1:16" s="22" customFormat="1" ht="14.25" customHeight="1" x14ac:dyDescent="0.25">
      <c r="A44" s="5" t="s">
        <v>138</v>
      </c>
      <c r="B44" s="22" t="s">
        <v>28</v>
      </c>
      <c r="C44" s="22" t="s">
        <v>985</v>
      </c>
      <c r="D44" s="23" t="s">
        <v>139</v>
      </c>
      <c r="E44" s="24" t="str">
        <f t="shared" si="0"/>
        <v>M2231441E001</v>
      </c>
      <c r="F44" s="6">
        <v>44168</v>
      </c>
      <c r="G44" s="13">
        <f t="shared" si="5"/>
        <v>44175</v>
      </c>
      <c r="H44" s="7">
        <f t="shared" ca="1" si="1"/>
        <v>-928</v>
      </c>
      <c r="I44" s="8">
        <v>44178</v>
      </c>
      <c r="J44" s="9">
        <f t="shared" ca="1" si="2"/>
        <v>0</v>
      </c>
      <c r="K44" s="12"/>
      <c r="L44" s="10" t="str">
        <f t="shared" si="3"/>
        <v>Accepted</v>
      </c>
      <c r="M44" s="11">
        <v>0</v>
      </c>
      <c r="N44" s="10" t="s">
        <v>18</v>
      </c>
      <c r="O44" s="42">
        <f t="shared" si="4"/>
        <v>15000</v>
      </c>
      <c r="P44" s="10" t="s">
        <v>19</v>
      </c>
    </row>
    <row r="45" spans="1:16" s="22" customFormat="1" ht="14.25" customHeight="1" x14ac:dyDescent="0.25">
      <c r="A45" s="5" t="s">
        <v>92</v>
      </c>
      <c r="B45" s="22" t="s">
        <v>28</v>
      </c>
      <c r="C45" s="22" t="s">
        <v>2462</v>
      </c>
      <c r="D45" s="23" t="s">
        <v>93</v>
      </c>
      <c r="E45" s="24" t="str">
        <f t="shared" si="0"/>
        <v>C0171441E002</v>
      </c>
      <c r="F45" s="6">
        <v>44148</v>
      </c>
      <c r="G45" s="13">
        <f t="shared" si="5"/>
        <v>44155</v>
      </c>
      <c r="H45" s="7">
        <f t="shared" ca="1" si="1"/>
        <v>-948</v>
      </c>
      <c r="I45" s="8">
        <v>44179</v>
      </c>
      <c r="J45" s="9">
        <f t="shared" ca="1" si="2"/>
        <v>0</v>
      </c>
      <c r="K45" s="12"/>
      <c r="L45" s="10" t="str">
        <f t="shared" si="3"/>
        <v>Accepted</v>
      </c>
      <c r="M45" s="11">
        <v>0</v>
      </c>
      <c r="N45" s="10" t="s">
        <v>18</v>
      </c>
      <c r="O45" s="42">
        <f t="shared" si="4"/>
        <v>15000</v>
      </c>
      <c r="P45" s="10" t="s">
        <v>19</v>
      </c>
    </row>
    <row r="46" spans="1:16" s="22" customFormat="1" ht="14.25" customHeight="1" x14ac:dyDescent="0.25">
      <c r="A46" s="5" t="s">
        <v>136</v>
      </c>
      <c r="B46" s="22" t="s">
        <v>28</v>
      </c>
      <c r="C46" s="22" t="s">
        <v>985</v>
      </c>
      <c r="D46" s="23" t="s">
        <v>137</v>
      </c>
      <c r="E46" s="24" t="str">
        <f t="shared" si="0"/>
        <v>M2231432E001</v>
      </c>
      <c r="F46" s="6">
        <v>44168</v>
      </c>
      <c r="G46" s="13">
        <f t="shared" si="5"/>
        <v>44175</v>
      </c>
      <c r="H46" s="7">
        <f t="shared" ca="1" si="1"/>
        <v>-928</v>
      </c>
      <c r="I46" s="8">
        <v>44179</v>
      </c>
      <c r="J46" s="9">
        <f t="shared" ca="1" si="2"/>
        <v>0</v>
      </c>
      <c r="K46" s="12"/>
      <c r="L46" s="10" t="str">
        <f t="shared" si="3"/>
        <v>Accepted</v>
      </c>
      <c r="M46" s="11">
        <v>0</v>
      </c>
      <c r="N46" s="10" t="s">
        <v>30</v>
      </c>
      <c r="O46" s="42">
        <f t="shared" si="4"/>
        <v>18000</v>
      </c>
      <c r="P46" s="10" t="s">
        <v>19</v>
      </c>
    </row>
    <row r="47" spans="1:16" s="22" customFormat="1" ht="14.25" customHeight="1" x14ac:dyDescent="0.25">
      <c r="A47" s="5" t="s">
        <v>140</v>
      </c>
      <c r="B47" s="22" t="s">
        <v>28</v>
      </c>
      <c r="C47" s="22" t="s">
        <v>985</v>
      </c>
      <c r="D47" s="23" t="s">
        <v>141</v>
      </c>
      <c r="E47" s="24" t="str">
        <f t="shared" si="0"/>
        <v>M2231441E002</v>
      </c>
      <c r="F47" s="6">
        <v>44168</v>
      </c>
      <c r="G47" s="13">
        <f t="shared" si="5"/>
        <v>44175</v>
      </c>
      <c r="H47" s="7">
        <f t="shared" ca="1" si="1"/>
        <v>-928</v>
      </c>
      <c r="I47" s="8">
        <v>44179</v>
      </c>
      <c r="J47" s="9">
        <f t="shared" ca="1" si="2"/>
        <v>0</v>
      </c>
      <c r="K47" s="12"/>
      <c r="L47" s="10" t="str">
        <f t="shared" si="3"/>
        <v>Accepted</v>
      </c>
      <c r="M47" s="11">
        <v>0</v>
      </c>
      <c r="N47" s="10" t="s">
        <v>18</v>
      </c>
      <c r="O47" s="42">
        <f t="shared" si="4"/>
        <v>15000</v>
      </c>
      <c r="P47" s="10" t="s">
        <v>19</v>
      </c>
    </row>
    <row r="48" spans="1:16" s="22" customFormat="1" ht="14.25" customHeight="1" x14ac:dyDescent="0.25">
      <c r="A48" s="5" t="s">
        <v>142</v>
      </c>
      <c r="B48" s="22" t="s">
        <v>28</v>
      </c>
      <c r="C48" s="22" t="s">
        <v>985</v>
      </c>
      <c r="D48" s="23" t="s">
        <v>143</v>
      </c>
      <c r="E48" s="24" t="str">
        <f t="shared" si="0"/>
        <v>M2231441E003</v>
      </c>
      <c r="F48" s="6">
        <v>44168</v>
      </c>
      <c r="G48" s="13">
        <f t="shared" si="5"/>
        <v>44175</v>
      </c>
      <c r="H48" s="7">
        <f t="shared" ca="1" si="1"/>
        <v>-928</v>
      </c>
      <c r="I48" s="8">
        <v>44179</v>
      </c>
      <c r="J48" s="9">
        <f t="shared" ca="1" si="2"/>
        <v>0</v>
      </c>
      <c r="K48" s="12"/>
      <c r="L48" s="10" t="str">
        <f t="shared" si="3"/>
        <v>Accepted</v>
      </c>
      <c r="M48" s="11">
        <v>0</v>
      </c>
      <c r="N48" s="10" t="s">
        <v>18</v>
      </c>
      <c r="O48" s="42">
        <f t="shared" si="4"/>
        <v>15000</v>
      </c>
      <c r="P48" s="10" t="s">
        <v>19</v>
      </c>
    </row>
    <row r="49" spans="1:16" s="22" customFormat="1" ht="14.25" customHeight="1" x14ac:dyDescent="0.25">
      <c r="A49" s="5" t="s">
        <v>144</v>
      </c>
      <c r="B49" s="22" t="s">
        <v>28</v>
      </c>
      <c r="C49" s="22" t="s">
        <v>985</v>
      </c>
      <c r="D49" s="23" t="s">
        <v>145</v>
      </c>
      <c r="E49" s="24" t="str">
        <f t="shared" si="0"/>
        <v>M2231451E004</v>
      </c>
      <c r="F49" s="6">
        <v>44168</v>
      </c>
      <c r="G49" s="13">
        <f t="shared" si="5"/>
        <v>44175</v>
      </c>
      <c r="H49" s="7">
        <f t="shared" ca="1" si="1"/>
        <v>-928</v>
      </c>
      <c r="I49" s="8">
        <v>44179</v>
      </c>
      <c r="J49" s="9">
        <f t="shared" ca="1" si="2"/>
        <v>0</v>
      </c>
      <c r="K49" s="12"/>
      <c r="L49" s="10" t="str">
        <f t="shared" si="3"/>
        <v>Accepted</v>
      </c>
      <c r="M49" s="11">
        <v>0</v>
      </c>
      <c r="N49" s="10" t="s">
        <v>18</v>
      </c>
      <c r="O49" s="42">
        <f t="shared" si="4"/>
        <v>15000</v>
      </c>
      <c r="P49" s="10" t="s">
        <v>19</v>
      </c>
    </row>
    <row r="50" spans="1:16" s="22" customFormat="1" ht="14.25" customHeight="1" x14ac:dyDescent="0.25">
      <c r="A50" s="5" t="s">
        <v>146</v>
      </c>
      <c r="B50" s="22" t="s">
        <v>28</v>
      </c>
      <c r="C50" s="22" t="s">
        <v>985</v>
      </c>
      <c r="D50" s="23" t="s">
        <v>147</v>
      </c>
      <c r="E50" s="24" t="str">
        <f t="shared" si="0"/>
        <v>M2231451E005</v>
      </c>
      <c r="F50" s="6">
        <v>44168</v>
      </c>
      <c r="G50" s="13">
        <f t="shared" si="5"/>
        <v>44175</v>
      </c>
      <c r="H50" s="7">
        <f t="shared" ca="1" si="1"/>
        <v>-928</v>
      </c>
      <c r="I50" s="8">
        <v>44179</v>
      </c>
      <c r="J50" s="9">
        <f t="shared" ca="1" si="2"/>
        <v>0</v>
      </c>
      <c r="K50" s="12"/>
      <c r="L50" s="10" t="str">
        <f t="shared" si="3"/>
        <v>Accepted</v>
      </c>
      <c r="M50" s="11">
        <v>0</v>
      </c>
      <c r="N50" s="10" t="s">
        <v>30</v>
      </c>
      <c r="O50" s="42">
        <f t="shared" si="4"/>
        <v>18000</v>
      </c>
      <c r="P50" s="10" t="s">
        <v>19</v>
      </c>
    </row>
    <row r="51" spans="1:16" s="22" customFormat="1" ht="14.25" customHeight="1" x14ac:dyDescent="0.25">
      <c r="A51" s="26" t="s">
        <v>55</v>
      </c>
      <c r="B51" s="22" t="s">
        <v>15</v>
      </c>
      <c r="C51" s="22" t="s">
        <v>53</v>
      </c>
      <c r="D51" s="23" t="s">
        <v>56</v>
      </c>
      <c r="E51" s="24" t="str">
        <f t="shared" si="0"/>
        <v>B0035541E001</v>
      </c>
      <c r="F51" s="6">
        <v>44124</v>
      </c>
      <c r="G51" s="13">
        <f t="shared" si="5"/>
        <v>44131</v>
      </c>
      <c r="H51" s="7">
        <f t="shared" ca="1" si="1"/>
        <v>-972</v>
      </c>
      <c r="I51" s="8">
        <v>44188</v>
      </c>
      <c r="J51" s="9">
        <f t="shared" ca="1" si="2"/>
        <v>0</v>
      </c>
      <c r="K51" s="10"/>
      <c r="L51" s="10" t="str">
        <f t="shared" si="3"/>
        <v>Accepted</v>
      </c>
      <c r="M51" s="11">
        <v>1</v>
      </c>
      <c r="N51" s="10" t="s">
        <v>18</v>
      </c>
      <c r="O51" s="42">
        <f t="shared" si="4"/>
        <v>20000</v>
      </c>
      <c r="P51" s="10" t="s">
        <v>19</v>
      </c>
    </row>
    <row r="52" spans="1:16" s="22" customFormat="1" ht="14.25" customHeight="1" x14ac:dyDescent="0.25">
      <c r="A52" s="26" t="s">
        <v>2484</v>
      </c>
      <c r="B52" s="22" t="s">
        <v>15</v>
      </c>
      <c r="C52" s="22" t="s">
        <v>16</v>
      </c>
      <c r="D52" s="23" t="s">
        <v>58</v>
      </c>
      <c r="E52" s="24" t="str">
        <f t="shared" si="0"/>
        <v>C0040021P009</v>
      </c>
      <c r="F52" s="6">
        <v>44124</v>
      </c>
      <c r="G52" s="13">
        <f t="shared" si="5"/>
        <v>44131</v>
      </c>
      <c r="H52" s="7">
        <f t="shared" ca="1" si="1"/>
        <v>-972</v>
      </c>
      <c r="I52" s="8">
        <v>44188</v>
      </c>
      <c r="J52" s="9">
        <f t="shared" ca="1" si="2"/>
        <v>0</v>
      </c>
      <c r="K52" s="10"/>
      <c r="L52" s="10" t="str">
        <f t="shared" si="3"/>
        <v>Accepted</v>
      </c>
      <c r="M52" s="11">
        <v>0</v>
      </c>
      <c r="N52" s="10" t="s">
        <v>18</v>
      </c>
      <c r="O52" s="42">
        <f t="shared" si="4"/>
        <v>20000</v>
      </c>
      <c r="P52" s="10" t="s">
        <v>19</v>
      </c>
    </row>
    <row r="53" spans="1:16" s="22" customFormat="1" ht="14.25" customHeight="1" x14ac:dyDescent="0.25">
      <c r="A53" s="5" t="s">
        <v>102</v>
      </c>
      <c r="B53" s="22" t="s">
        <v>28</v>
      </c>
      <c r="C53" s="22" t="s">
        <v>2462</v>
      </c>
      <c r="D53" s="23" t="s">
        <v>103</v>
      </c>
      <c r="E53" s="24" t="str">
        <f t="shared" si="0"/>
        <v>C0171481P034</v>
      </c>
      <c r="F53" s="6">
        <v>44148</v>
      </c>
      <c r="G53" s="13">
        <f t="shared" si="5"/>
        <v>44155</v>
      </c>
      <c r="H53" s="7">
        <f t="shared" ca="1" si="1"/>
        <v>-948</v>
      </c>
      <c r="I53" s="8">
        <v>44188</v>
      </c>
      <c r="J53" s="9">
        <f t="shared" ca="1" si="2"/>
        <v>0</v>
      </c>
      <c r="K53" s="10"/>
      <c r="L53" s="10" t="str">
        <f t="shared" si="3"/>
        <v>Accepted</v>
      </c>
      <c r="M53" s="11">
        <v>0</v>
      </c>
      <c r="N53" s="10" t="s">
        <v>18</v>
      </c>
      <c r="O53" s="42">
        <f t="shared" si="4"/>
        <v>15000</v>
      </c>
      <c r="P53" s="10" t="s">
        <v>19</v>
      </c>
    </row>
    <row r="54" spans="1:16" s="22" customFormat="1" ht="14.25" customHeight="1" x14ac:dyDescent="0.25">
      <c r="A54" s="15" t="s">
        <v>148</v>
      </c>
      <c r="B54" s="22" t="s">
        <v>15</v>
      </c>
      <c r="C54" s="22" t="s">
        <v>149</v>
      </c>
      <c r="D54" s="23" t="s">
        <v>150</v>
      </c>
      <c r="E54" s="24" t="str">
        <f t="shared" si="0"/>
        <v>M0941921P021</v>
      </c>
      <c r="F54" s="6">
        <v>44169</v>
      </c>
      <c r="G54" s="13">
        <f t="shared" si="5"/>
        <v>44176</v>
      </c>
      <c r="H54" s="7">
        <f t="shared" ca="1" si="1"/>
        <v>-927</v>
      </c>
      <c r="I54" s="8">
        <v>44188</v>
      </c>
      <c r="J54" s="9">
        <f t="shared" ca="1" si="2"/>
        <v>0</v>
      </c>
      <c r="K54" s="10"/>
      <c r="L54" s="10" t="str">
        <f t="shared" si="3"/>
        <v>Accepted</v>
      </c>
      <c r="M54" s="11">
        <v>0</v>
      </c>
      <c r="N54" s="10" t="s">
        <v>30</v>
      </c>
      <c r="O54" s="42">
        <f t="shared" si="4"/>
        <v>25000</v>
      </c>
      <c r="P54" s="10" t="s">
        <v>19</v>
      </c>
    </row>
    <row r="55" spans="1:16" s="22" customFormat="1" ht="14.25" customHeight="1" x14ac:dyDescent="0.25">
      <c r="A55" s="15" t="s">
        <v>151</v>
      </c>
      <c r="B55" s="22" t="s">
        <v>15</v>
      </c>
      <c r="C55" s="22" t="s">
        <v>149</v>
      </c>
      <c r="D55" s="23" t="s">
        <v>152</v>
      </c>
      <c r="E55" s="24" t="str">
        <f t="shared" si="0"/>
        <v>M0941921P022</v>
      </c>
      <c r="F55" s="6">
        <v>44169</v>
      </c>
      <c r="G55" s="13">
        <f t="shared" si="5"/>
        <v>44176</v>
      </c>
      <c r="H55" s="7">
        <f t="shared" ca="1" si="1"/>
        <v>-927</v>
      </c>
      <c r="I55" s="8">
        <v>44188</v>
      </c>
      <c r="J55" s="9">
        <f t="shared" ca="1" si="2"/>
        <v>0</v>
      </c>
      <c r="K55" s="10"/>
      <c r="L55" s="10" t="str">
        <f t="shared" si="3"/>
        <v>Accepted</v>
      </c>
      <c r="M55" s="11">
        <v>0</v>
      </c>
      <c r="N55" s="10" t="s">
        <v>18</v>
      </c>
      <c r="O55" s="42">
        <f t="shared" si="4"/>
        <v>20000</v>
      </c>
      <c r="P55" s="10" t="s">
        <v>19</v>
      </c>
    </row>
    <row r="56" spans="1:16" s="22" customFormat="1" ht="14.25" customHeight="1" x14ac:dyDescent="0.25">
      <c r="A56" s="15" t="s">
        <v>153</v>
      </c>
      <c r="B56" s="22" t="s">
        <v>15</v>
      </c>
      <c r="C56" s="22" t="s">
        <v>149</v>
      </c>
      <c r="D56" s="23" t="s">
        <v>154</v>
      </c>
      <c r="E56" s="24" t="str">
        <f t="shared" si="0"/>
        <v>M0941931P023</v>
      </c>
      <c r="F56" s="6">
        <v>44169</v>
      </c>
      <c r="G56" s="13">
        <f t="shared" si="5"/>
        <v>44176</v>
      </c>
      <c r="H56" s="7">
        <f t="shared" ca="1" si="1"/>
        <v>-927</v>
      </c>
      <c r="I56" s="8">
        <v>44188</v>
      </c>
      <c r="J56" s="9">
        <f t="shared" ca="1" si="2"/>
        <v>0</v>
      </c>
      <c r="K56" s="10"/>
      <c r="L56" s="10" t="str">
        <f t="shared" si="3"/>
        <v>Accepted</v>
      </c>
      <c r="M56" s="11">
        <v>0</v>
      </c>
      <c r="N56" s="10" t="s">
        <v>18</v>
      </c>
      <c r="O56" s="42">
        <f t="shared" si="4"/>
        <v>20000</v>
      </c>
      <c r="P56" s="10" t="s">
        <v>19</v>
      </c>
    </row>
    <row r="57" spans="1:16" s="22" customFormat="1" ht="14.25" customHeight="1" x14ac:dyDescent="0.25">
      <c r="A57" s="15" t="s">
        <v>155</v>
      </c>
      <c r="B57" s="22" t="s">
        <v>15</v>
      </c>
      <c r="C57" s="22" t="s">
        <v>149</v>
      </c>
      <c r="D57" s="23" t="s">
        <v>156</v>
      </c>
      <c r="E57" s="24" t="str">
        <f t="shared" si="0"/>
        <v>M0941931P024</v>
      </c>
      <c r="F57" s="6">
        <v>44169</v>
      </c>
      <c r="G57" s="13">
        <f t="shared" si="5"/>
        <v>44176</v>
      </c>
      <c r="H57" s="7">
        <f t="shared" ca="1" si="1"/>
        <v>-927</v>
      </c>
      <c r="I57" s="8">
        <v>44188</v>
      </c>
      <c r="J57" s="9">
        <f t="shared" ca="1" si="2"/>
        <v>0</v>
      </c>
      <c r="K57" s="10"/>
      <c r="L57" s="10" t="str">
        <f t="shared" si="3"/>
        <v>Accepted</v>
      </c>
      <c r="M57" s="11">
        <v>0</v>
      </c>
      <c r="N57" s="10" t="s">
        <v>18</v>
      </c>
      <c r="O57" s="42">
        <f t="shared" si="4"/>
        <v>20000</v>
      </c>
      <c r="P57" s="10" t="s">
        <v>19</v>
      </c>
    </row>
    <row r="58" spans="1:16" s="22" customFormat="1" ht="14.25" customHeight="1" x14ac:dyDescent="0.25">
      <c r="A58" s="15" t="s">
        <v>157</v>
      </c>
      <c r="B58" s="22" t="s">
        <v>15</v>
      </c>
      <c r="C58" s="22" t="s">
        <v>149</v>
      </c>
      <c r="D58" s="23" t="s">
        <v>158</v>
      </c>
      <c r="E58" s="24" t="str">
        <f t="shared" si="0"/>
        <v>M0941931P025</v>
      </c>
      <c r="F58" s="6">
        <v>44169</v>
      </c>
      <c r="G58" s="13">
        <f t="shared" si="5"/>
        <v>44176</v>
      </c>
      <c r="H58" s="7">
        <f t="shared" ca="1" si="1"/>
        <v>-927</v>
      </c>
      <c r="I58" s="8">
        <v>44188</v>
      </c>
      <c r="J58" s="9">
        <f t="shared" ca="1" si="2"/>
        <v>0</v>
      </c>
      <c r="K58" s="10"/>
      <c r="L58" s="10" t="str">
        <f t="shared" si="3"/>
        <v>Accepted</v>
      </c>
      <c r="M58" s="11">
        <v>1</v>
      </c>
      <c r="N58" s="10" t="s">
        <v>18</v>
      </c>
      <c r="O58" s="42">
        <f t="shared" si="4"/>
        <v>20000</v>
      </c>
      <c r="P58" s="10" t="s">
        <v>19</v>
      </c>
    </row>
    <row r="59" spans="1:16" s="22" customFormat="1" ht="14.25" customHeight="1" x14ac:dyDescent="0.25">
      <c r="A59" s="15" t="s">
        <v>178</v>
      </c>
      <c r="B59" s="22" t="s">
        <v>15</v>
      </c>
      <c r="C59" s="22" t="s">
        <v>2464</v>
      </c>
      <c r="D59" s="23" t="s">
        <v>179</v>
      </c>
      <c r="E59" s="24" t="str">
        <f t="shared" si="0"/>
        <v>M1072051a002</v>
      </c>
      <c r="F59" s="6">
        <v>44169</v>
      </c>
      <c r="G59" s="13">
        <f t="shared" si="5"/>
        <v>44176</v>
      </c>
      <c r="H59" s="7">
        <f t="shared" ca="1" si="1"/>
        <v>-927</v>
      </c>
      <c r="I59" s="8">
        <v>44188</v>
      </c>
      <c r="J59" s="9">
        <f t="shared" ca="1" si="2"/>
        <v>0</v>
      </c>
      <c r="K59" s="10"/>
      <c r="L59" s="10" t="str">
        <f t="shared" si="3"/>
        <v>Accepted</v>
      </c>
      <c r="M59" s="11">
        <v>1</v>
      </c>
      <c r="N59" s="10" t="s">
        <v>30</v>
      </c>
      <c r="O59" s="42">
        <f t="shared" si="4"/>
        <v>25000</v>
      </c>
      <c r="P59" s="10" t="s">
        <v>19</v>
      </c>
    </row>
    <row r="60" spans="1:16" s="22" customFormat="1" ht="14.25" customHeight="1" x14ac:dyDescent="0.25">
      <c r="A60" s="15" t="s">
        <v>180</v>
      </c>
      <c r="B60" s="22" t="s">
        <v>15</v>
      </c>
      <c r="C60" s="22" t="s">
        <v>2464</v>
      </c>
      <c r="D60" s="23" t="s">
        <v>181</v>
      </c>
      <c r="E60" s="24" t="str">
        <f t="shared" si="0"/>
        <v>M1072051b002</v>
      </c>
      <c r="F60" s="6">
        <v>44169</v>
      </c>
      <c r="G60" s="13">
        <f t="shared" si="5"/>
        <v>44176</v>
      </c>
      <c r="H60" s="7">
        <f t="shared" ca="1" si="1"/>
        <v>-927</v>
      </c>
      <c r="I60" s="8">
        <v>44188</v>
      </c>
      <c r="J60" s="9">
        <f t="shared" ca="1" si="2"/>
        <v>0</v>
      </c>
      <c r="K60" s="10"/>
      <c r="L60" s="10" t="str">
        <f t="shared" si="3"/>
        <v>Accepted</v>
      </c>
      <c r="M60" s="11">
        <v>0</v>
      </c>
      <c r="N60" s="10" t="s">
        <v>18</v>
      </c>
      <c r="O60" s="42">
        <f t="shared" si="4"/>
        <v>20000</v>
      </c>
      <c r="P60" s="10" t="s">
        <v>19</v>
      </c>
    </row>
    <row r="61" spans="1:16" s="22" customFormat="1" ht="14.25" customHeight="1" x14ac:dyDescent="0.25">
      <c r="A61" s="15" t="s">
        <v>182</v>
      </c>
      <c r="B61" s="22" t="s">
        <v>15</v>
      </c>
      <c r="C61" s="22" t="s">
        <v>2464</v>
      </c>
      <c r="D61" s="23" t="s">
        <v>183</v>
      </c>
      <c r="E61" s="24" t="str">
        <f t="shared" si="0"/>
        <v>M1072051c002</v>
      </c>
      <c r="F61" s="6">
        <v>44169</v>
      </c>
      <c r="G61" s="13">
        <f t="shared" si="5"/>
        <v>44176</v>
      </c>
      <c r="H61" s="7">
        <f t="shared" ca="1" si="1"/>
        <v>-927</v>
      </c>
      <c r="I61" s="8">
        <v>44188</v>
      </c>
      <c r="J61" s="9">
        <f t="shared" ca="1" si="2"/>
        <v>0</v>
      </c>
      <c r="K61" s="10"/>
      <c r="L61" s="10" t="str">
        <f t="shared" si="3"/>
        <v>Accepted</v>
      </c>
      <c r="M61" s="11">
        <v>0</v>
      </c>
      <c r="N61" s="10" t="s">
        <v>18</v>
      </c>
      <c r="O61" s="42">
        <f t="shared" si="4"/>
        <v>20000</v>
      </c>
      <c r="P61" s="10" t="s">
        <v>19</v>
      </c>
    </row>
    <row r="62" spans="1:16" s="22" customFormat="1" ht="14.25" customHeight="1" x14ac:dyDescent="0.25">
      <c r="A62" s="15" t="s">
        <v>159</v>
      </c>
      <c r="B62" s="22" t="s">
        <v>15</v>
      </c>
      <c r="C62" s="22" t="s">
        <v>160</v>
      </c>
      <c r="D62" s="23" t="s">
        <v>161</v>
      </c>
      <c r="E62" s="24" t="str">
        <f t="shared" si="0"/>
        <v>M1712371P012</v>
      </c>
      <c r="F62" s="6">
        <v>44169</v>
      </c>
      <c r="G62" s="13">
        <f t="shared" si="5"/>
        <v>44176</v>
      </c>
      <c r="H62" s="7">
        <f t="shared" ca="1" si="1"/>
        <v>-927</v>
      </c>
      <c r="I62" s="8">
        <v>44190</v>
      </c>
      <c r="J62" s="9">
        <f t="shared" ca="1" si="2"/>
        <v>0</v>
      </c>
      <c r="K62" s="10"/>
      <c r="L62" s="10" t="str">
        <f t="shared" si="3"/>
        <v>Accepted</v>
      </c>
      <c r="M62" s="11">
        <v>0</v>
      </c>
      <c r="N62" s="10" t="s">
        <v>18</v>
      </c>
      <c r="O62" s="42">
        <f t="shared" si="4"/>
        <v>20000</v>
      </c>
      <c r="P62" s="10" t="s">
        <v>19</v>
      </c>
    </row>
    <row r="63" spans="1:16" s="22" customFormat="1" ht="14.25" customHeight="1" x14ac:dyDescent="0.25">
      <c r="A63" s="15" t="s">
        <v>162</v>
      </c>
      <c r="B63" s="22" t="s">
        <v>15</v>
      </c>
      <c r="C63" s="22" t="s">
        <v>160</v>
      </c>
      <c r="D63" s="23" t="s">
        <v>163</v>
      </c>
      <c r="E63" s="24" t="str">
        <f t="shared" si="0"/>
        <v>M1712371P013</v>
      </c>
      <c r="F63" s="6">
        <v>44169</v>
      </c>
      <c r="G63" s="13">
        <f t="shared" si="5"/>
        <v>44176</v>
      </c>
      <c r="H63" s="7">
        <f t="shared" ca="1" si="1"/>
        <v>-927</v>
      </c>
      <c r="I63" s="8">
        <v>44190</v>
      </c>
      <c r="J63" s="9">
        <f t="shared" ca="1" si="2"/>
        <v>0</v>
      </c>
      <c r="K63" s="10"/>
      <c r="L63" s="10" t="str">
        <f t="shared" si="3"/>
        <v>Accepted</v>
      </c>
      <c r="M63" s="11">
        <v>1</v>
      </c>
      <c r="N63" s="10" t="s">
        <v>18</v>
      </c>
      <c r="O63" s="42">
        <f t="shared" si="4"/>
        <v>20000</v>
      </c>
      <c r="P63" s="10" t="s">
        <v>19</v>
      </c>
    </row>
    <row r="64" spans="1:16" s="22" customFormat="1" ht="14.25" customHeight="1" x14ac:dyDescent="0.25">
      <c r="A64" s="15" t="s">
        <v>164</v>
      </c>
      <c r="B64" s="22" t="s">
        <v>15</v>
      </c>
      <c r="C64" s="22" t="s">
        <v>160</v>
      </c>
      <c r="D64" s="23" t="s">
        <v>165</v>
      </c>
      <c r="E64" s="24" t="str">
        <f t="shared" si="0"/>
        <v>M1712371P014</v>
      </c>
      <c r="F64" s="6">
        <v>44169</v>
      </c>
      <c r="G64" s="13">
        <f t="shared" si="5"/>
        <v>44176</v>
      </c>
      <c r="H64" s="7">
        <f t="shared" ca="1" si="1"/>
        <v>-927</v>
      </c>
      <c r="I64" s="8">
        <v>44190</v>
      </c>
      <c r="J64" s="9">
        <f t="shared" ca="1" si="2"/>
        <v>0</v>
      </c>
      <c r="K64" s="10"/>
      <c r="L64" s="10" t="str">
        <f t="shared" si="3"/>
        <v>Accepted</v>
      </c>
      <c r="M64" s="11">
        <v>0</v>
      </c>
      <c r="N64" s="10" t="s">
        <v>18</v>
      </c>
      <c r="O64" s="42">
        <f t="shared" si="4"/>
        <v>20000</v>
      </c>
      <c r="P64" s="10" t="s">
        <v>19</v>
      </c>
    </row>
    <row r="65" spans="1:16" s="22" customFormat="1" ht="14.25" customHeight="1" x14ac:dyDescent="0.25">
      <c r="A65" s="15" t="s">
        <v>166</v>
      </c>
      <c r="B65" s="22" t="s">
        <v>15</v>
      </c>
      <c r="C65" s="22" t="s">
        <v>160</v>
      </c>
      <c r="D65" s="23" t="s">
        <v>167</v>
      </c>
      <c r="E65" s="24" t="str">
        <f t="shared" si="0"/>
        <v>M1712371P015</v>
      </c>
      <c r="F65" s="6">
        <v>44169</v>
      </c>
      <c r="G65" s="13">
        <f t="shared" si="5"/>
        <v>44176</v>
      </c>
      <c r="H65" s="7">
        <f t="shared" ca="1" si="1"/>
        <v>-927</v>
      </c>
      <c r="I65" s="8">
        <v>44190</v>
      </c>
      <c r="J65" s="9">
        <f t="shared" ca="1" si="2"/>
        <v>0</v>
      </c>
      <c r="K65" s="10"/>
      <c r="L65" s="10" t="str">
        <f t="shared" si="3"/>
        <v>Accepted</v>
      </c>
      <c r="M65" s="11">
        <v>0</v>
      </c>
      <c r="N65" s="10" t="s">
        <v>18</v>
      </c>
      <c r="O65" s="42">
        <f t="shared" si="4"/>
        <v>20000</v>
      </c>
      <c r="P65" s="10" t="s">
        <v>19</v>
      </c>
    </row>
    <row r="66" spans="1:16" s="22" customFormat="1" ht="14.25" customHeight="1" x14ac:dyDescent="0.25">
      <c r="A66" s="15" t="s">
        <v>168</v>
      </c>
      <c r="B66" s="22" t="s">
        <v>15</v>
      </c>
      <c r="C66" s="22" t="s">
        <v>160</v>
      </c>
      <c r="D66" s="23" t="s">
        <v>169</v>
      </c>
      <c r="E66" s="24" t="str">
        <f t="shared" ref="E66:E129" si="6">HYPERLINK(D66,A66)</f>
        <v>M1712371P016</v>
      </c>
      <c r="F66" s="6">
        <v>44169</v>
      </c>
      <c r="G66" s="13">
        <f t="shared" si="5"/>
        <v>44176</v>
      </c>
      <c r="H66" s="7">
        <f t="shared" ref="H66:H129" ca="1" si="7">G66-TODAY()</f>
        <v>-927</v>
      </c>
      <c r="I66" s="8">
        <v>44190</v>
      </c>
      <c r="J66" s="9">
        <f t="shared" ref="J66:J129" ca="1" si="8">IF(L66="Accepted",0,TODAY()-F66)</f>
        <v>0</v>
      </c>
      <c r="K66" s="10"/>
      <c r="L66" s="10" t="str">
        <f t="shared" ref="L66:L129" si="9">IF(AND(NOT(ISBLANK(I66)), ISBLANK(K66)),"Accepted", IF(AND(ISBLANK(I66),ISBLANK(K66)),"Not Submitted", "Rejected"))</f>
        <v>Accepted</v>
      </c>
      <c r="M66" s="11">
        <v>0</v>
      </c>
      <c r="N66" s="10" t="s">
        <v>30</v>
      </c>
      <c r="O66" s="42">
        <f t="shared" ref="O66:O129" si="10">IF(AND(L66="Accepted",B66="SMA",N66="no"),20000,
IF(AND(L66="Accepted",OR(B66="SMP",B66="SD"),N66="no"),15000,
IF(AND(L66="Accepted",B66="SMA",N66="yes"),25000,
IF(AND(L66="Accepted",OR(B66="SMP",B66="SD"),N66="yes"),18000,
0))))</f>
        <v>25000</v>
      </c>
      <c r="P66" s="10" t="s">
        <v>19</v>
      </c>
    </row>
    <row r="67" spans="1:16" s="22" customFormat="1" ht="14.25" customHeight="1" x14ac:dyDescent="0.25">
      <c r="A67" s="15" t="s">
        <v>170</v>
      </c>
      <c r="B67" s="22" t="s">
        <v>15</v>
      </c>
      <c r="C67" s="22" t="s">
        <v>160</v>
      </c>
      <c r="D67" s="23" t="s">
        <v>171</v>
      </c>
      <c r="E67" s="24" t="str">
        <f t="shared" si="6"/>
        <v>M1712371P017</v>
      </c>
      <c r="F67" s="6">
        <v>44169</v>
      </c>
      <c r="G67" s="13">
        <f t="shared" si="5"/>
        <v>44176</v>
      </c>
      <c r="H67" s="7">
        <f t="shared" ca="1" si="7"/>
        <v>-927</v>
      </c>
      <c r="I67" s="8">
        <v>44190</v>
      </c>
      <c r="J67" s="9">
        <f t="shared" ca="1" si="8"/>
        <v>0</v>
      </c>
      <c r="K67" s="10"/>
      <c r="L67" s="10" t="str">
        <f t="shared" si="9"/>
        <v>Accepted</v>
      </c>
      <c r="M67" s="11">
        <v>0</v>
      </c>
      <c r="N67" s="10" t="s">
        <v>18</v>
      </c>
      <c r="O67" s="42">
        <f t="shared" si="10"/>
        <v>20000</v>
      </c>
      <c r="P67" s="10" t="s">
        <v>19</v>
      </c>
    </row>
    <row r="68" spans="1:16" s="22" customFormat="1" ht="14.25" customHeight="1" x14ac:dyDescent="0.25">
      <c r="A68" s="15" t="s">
        <v>172</v>
      </c>
      <c r="B68" s="22" t="s">
        <v>15</v>
      </c>
      <c r="C68" s="22" t="s">
        <v>160</v>
      </c>
      <c r="D68" s="23" t="s">
        <v>173</v>
      </c>
      <c r="E68" s="24" t="str">
        <f t="shared" si="6"/>
        <v>M1712371P018</v>
      </c>
      <c r="F68" s="6">
        <v>44169</v>
      </c>
      <c r="G68" s="13">
        <f t="shared" si="5"/>
        <v>44176</v>
      </c>
      <c r="H68" s="7">
        <f t="shared" ca="1" si="7"/>
        <v>-927</v>
      </c>
      <c r="I68" s="8">
        <v>44190</v>
      </c>
      <c r="J68" s="9">
        <f t="shared" ca="1" si="8"/>
        <v>0</v>
      </c>
      <c r="K68" s="10"/>
      <c r="L68" s="10" t="str">
        <f t="shared" si="9"/>
        <v>Accepted</v>
      </c>
      <c r="M68" s="11">
        <v>1</v>
      </c>
      <c r="N68" s="10" t="s">
        <v>18</v>
      </c>
      <c r="O68" s="42">
        <f t="shared" si="10"/>
        <v>20000</v>
      </c>
      <c r="P68" s="10" t="s">
        <v>19</v>
      </c>
    </row>
    <row r="69" spans="1:16" s="22" customFormat="1" ht="14.25" customHeight="1" x14ac:dyDescent="0.25">
      <c r="A69" s="15" t="s">
        <v>174</v>
      </c>
      <c r="B69" s="22" t="s">
        <v>15</v>
      </c>
      <c r="C69" s="22" t="s">
        <v>160</v>
      </c>
      <c r="D69" s="23" t="s">
        <v>175</v>
      </c>
      <c r="E69" s="24" t="str">
        <f t="shared" si="6"/>
        <v>M1712371P019</v>
      </c>
      <c r="F69" s="6">
        <v>44169</v>
      </c>
      <c r="G69" s="13">
        <f t="shared" ref="G69:G132" si="11">F69+7</f>
        <v>44176</v>
      </c>
      <c r="H69" s="7">
        <f t="shared" ca="1" si="7"/>
        <v>-927</v>
      </c>
      <c r="I69" s="8">
        <v>44190</v>
      </c>
      <c r="J69" s="9">
        <f t="shared" ca="1" si="8"/>
        <v>0</v>
      </c>
      <c r="K69" s="10"/>
      <c r="L69" s="10" t="str">
        <f t="shared" si="9"/>
        <v>Accepted</v>
      </c>
      <c r="M69" s="11">
        <v>0</v>
      </c>
      <c r="N69" s="10" t="s">
        <v>18</v>
      </c>
      <c r="O69" s="42">
        <f t="shared" si="10"/>
        <v>20000</v>
      </c>
      <c r="P69" s="10" t="s">
        <v>19</v>
      </c>
    </row>
    <row r="70" spans="1:16" s="22" customFormat="1" ht="14.25" customHeight="1" x14ac:dyDescent="0.25">
      <c r="A70" s="15" t="s">
        <v>176</v>
      </c>
      <c r="B70" s="22" t="s">
        <v>15</v>
      </c>
      <c r="C70" s="22" t="s">
        <v>160</v>
      </c>
      <c r="D70" s="23" t="s">
        <v>177</v>
      </c>
      <c r="E70" s="24" t="str">
        <f t="shared" si="6"/>
        <v>M1712371P020</v>
      </c>
      <c r="F70" s="6">
        <v>44169</v>
      </c>
      <c r="G70" s="13">
        <f t="shared" si="11"/>
        <v>44176</v>
      </c>
      <c r="H70" s="7">
        <f t="shared" ca="1" si="7"/>
        <v>-927</v>
      </c>
      <c r="I70" s="8">
        <v>44190</v>
      </c>
      <c r="J70" s="9">
        <f t="shared" ca="1" si="8"/>
        <v>0</v>
      </c>
      <c r="K70" s="10"/>
      <c r="L70" s="10" t="str">
        <f t="shared" si="9"/>
        <v>Accepted</v>
      </c>
      <c r="M70" s="11">
        <v>0</v>
      </c>
      <c r="N70" s="10" t="s">
        <v>18</v>
      </c>
      <c r="O70" s="42">
        <f t="shared" si="10"/>
        <v>20000</v>
      </c>
      <c r="P70" s="10" t="s">
        <v>19</v>
      </c>
    </row>
    <row r="71" spans="1:16" s="22" customFormat="1" ht="14.25" customHeight="1" x14ac:dyDescent="0.25">
      <c r="A71" s="15" t="s">
        <v>184</v>
      </c>
      <c r="B71" s="22" t="s">
        <v>15</v>
      </c>
      <c r="C71" s="22" t="s">
        <v>2464</v>
      </c>
      <c r="D71" s="23" t="s">
        <v>185</v>
      </c>
      <c r="E71" s="24" t="str">
        <f t="shared" si="6"/>
        <v>M1072051d002</v>
      </c>
      <c r="F71" s="6">
        <v>44169</v>
      </c>
      <c r="G71" s="13">
        <f t="shared" si="11"/>
        <v>44176</v>
      </c>
      <c r="H71" s="7">
        <f t="shared" ca="1" si="7"/>
        <v>-927</v>
      </c>
      <c r="I71" s="8">
        <v>44190</v>
      </c>
      <c r="J71" s="9">
        <f t="shared" ca="1" si="8"/>
        <v>0</v>
      </c>
      <c r="K71" s="10"/>
      <c r="L71" s="10" t="str">
        <f t="shared" si="9"/>
        <v>Accepted</v>
      </c>
      <c r="M71" s="11">
        <v>0</v>
      </c>
      <c r="N71" s="10" t="s">
        <v>18</v>
      </c>
      <c r="O71" s="42">
        <f t="shared" si="10"/>
        <v>20000</v>
      </c>
      <c r="P71" s="10" t="s">
        <v>19</v>
      </c>
    </row>
    <row r="72" spans="1:16" s="22" customFormat="1" ht="14.25" customHeight="1" x14ac:dyDescent="0.25">
      <c r="A72" s="15" t="s">
        <v>186</v>
      </c>
      <c r="B72" s="22" t="s">
        <v>15</v>
      </c>
      <c r="C72" s="22" t="s">
        <v>2464</v>
      </c>
      <c r="D72" s="23" t="s">
        <v>187</v>
      </c>
      <c r="E72" s="24" t="str">
        <f t="shared" si="6"/>
        <v>M1072051e002</v>
      </c>
      <c r="F72" s="6">
        <v>44169</v>
      </c>
      <c r="G72" s="13">
        <f t="shared" si="11"/>
        <v>44176</v>
      </c>
      <c r="H72" s="7">
        <f t="shared" ca="1" si="7"/>
        <v>-927</v>
      </c>
      <c r="I72" s="8">
        <v>44190</v>
      </c>
      <c r="J72" s="9">
        <f t="shared" ca="1" si="8"/>
        <v>0</v>
      </c>
      <c r="K72" s="10"/>
      <c r="L72" s="10" t="str">
        <f t="shared" si="9"/>
        <v>Accepted</v>
      </c>
      <c r="M72" s="11">
        <v>1</v>
      </c>
      <c r="N72" s="10" t="s">
        <v>30</v>
      </c>
      <c r="O72" s="42">
        <f t="shared" si="10"/>
        <v>25000</v>
      </c>
      <c r="P72" s="10" t="s">
        <v>19</v>
      </c>
    </row>
    <row r="73" spans="1:16" s="22" customFormat="1" ht="14.25" customHeight="1" x14ac:dyDescent="0.25">
      <c r="A73" s="15" t="s">
        <v>188</v>
      </c>
      <c r="B73" s="22" t="s">
        <v>15</v>
      </c>
      <c r="C73" s="22" t="s">
        <v>2464</v>
      </c>
      <c r="D73" s="23" t="s">
        <v>189</v>
      </c>
      <c r="E73" s="24" t="str">
        <f t="shared" si="6"/>
        <v>M1072051f002</v>
      </c>
      <c r="F73" s="6">
        <v>44169</v>
      </c>
      <c r="G73" s="13">
        <f t="shared" si="11"/>
        <v>44176</v>
      </c>
      <c r="H73" s="7">
        <f t="shared" ca="1" si="7"/>
        <v>-927</v>
      </c>
      <c r="I73" s="8">
        <v>44190</v>
      </c>
      <c r="J73" s="9">
        <f t="shared" ca="1" si="8"/>
        <v>0</v>
      </c>
      <c r="K73" s="10"/>
      <c r="L73" s="10" t="str">
        <f t="shared" si="9"/>
        <v>Accepted</v>
      </c>
      <c r="M73" s="11">
        <v>1</v>
      </c>
      <c r="N73" s="10" t="s">
        <v>18</v>
      </c>
      <c r="O73" s="42">
        <f t="shared" si="10"/>
        <v>20000</v>
      </c>
      <c r="P73" s="10" t="s">
        <v>19</v>
      </c>
    </row>
    <row r="74" spans="1:16" s="22" customFormat="1" ht="14.25" customHeight="1" x14ac:dyDescent="0.25">
      <c r="A74" s="16" t="s">
        <v>195</v>
      </c>
      <c r="B74" s="22" t="s">
        <v>15</v>
      </c>
      <c r="C74" s="22" t="s">
        <v>2465</v>
      </c>
      <c r="D74" s="23" t="s">
        <v>196</v>
      </c>
      <c r="E74" s="24" t="str">
        <f t="shared" si="6"/>
        <v>M2641391P002</v>
      </c>
      <c r="F74" s="6">
        <v>44187</v>
      </c>
      <c r="G74" s="13">
        <f t="shared" si="11"/>
        <v>44194</v>
      </c>
      <c r="H74" s="7">
        <f t="shared" ca="1" si="7"/>
        <v>-909</v>
      </c>
      <c r="I74" s="8">
        <v>44191</v>
      </c>
      <c r="J74" s="9">
        <f t="shared" ca="1" si="8"/>
        <v>0</v>
      </c>
      <c r="K74" s="10"/>
      <c r="L74" s="10" t="str">
        <f t="shared" si="9"/>
        <v>Accepted</v>
      </c>
      <c r="M74" s="11">
        <v>0</v>
      </c>
      <c r="N74" s="10" t="s">
        <v>18</v>
      </c>
      <c r="O74" s="42">
        <f t="shared" si="10"/>
        <v>20000</v>
      </c>
      <c r="P74" s="10" t="s">
        <v>19</v>
      </c>
    </row>
    <row r="75" spans="1:16" s="22" customFormat="1" ht="14.25" customHeight="1" x14ac:dyDescent="0.25">
      <c r="A75" s="16" t="s">
        <v>197</v>
      </c>
      <c r="B75" s="22" t="s">
        <v>15</v>
      </c>
      <c r="C75" s="22" t="s">
        <v>2465</v>
      </c>
      <c r="D75" s="23" t="s">
        <v>198</v>
      </c>
      <c r="E75" s="24" t="str">
        <f t="shared" si="6"/>
        <v>M2641391P003</v>
      </c>
      <c r="F75" s="6">
        <v>44187</v>
      </c>
      <c r="G75" s="13">
        <f t="shared" si="11"/>
        <v>44194</v>
      </c>
      <c r="H75" s="7">
        <f t="shared" ca="1" si="7"/>
        <v>-909</v>
      </c>
      <c r="I75" s="8">
        <v>44191</v>
      </c>
      <c r="J75" s="9">
        <f t="shared" ca="1" si="8"/>
        <v>0</v>
      </c>
      <c r="K75" s="10"/>
      <c r="L75" s="10" t="str">
        <f t="shared" si="9"/>
        <v>Accepted</v>
      </c>
      <c r="M75" s="11">
        <v>1</v>
      </c>
      <c r="N75" s="10" t="s">
        <v>18</v>
      </c>
      <c r="O75" s="42">
        <f t="shared" si="10"/>
        <v>20000</v>
      </c>
      <c r="P75" s="10" t="s">
        <v>19</v>
      </c>
    </row>
    <row r="76" spans="1:16" s="22" customFormat="1" ht="14.25" customHeight="1" x14ac:dyDescent="0.25">
      <c r="A76" s="16" t="s">
        <v>199</v>
      </c>
      <c r="B76" s="22" t="s">
        <v>15</v>
      </c>
      <c r="C76" s="22" t="s">
        <v>2465</v>
      </c>
      <c r="D76" s="23" t="s">
        <v>200</v>
      </c>
      <c r="E76" s="24" t="str">
        <f t="shared" si="6"/>
        <v>M2641391P004</v>
      </c>
      <c r="F76" s="6">
        <v>44187</v>
      </c>
      <c r="G76" s="13">
        <f t="shared" si="11"/>
        <v>44194</v>
      </c>
      <c r="H76" s="7">
        <f t="shared" ca="1" si="7"/>
        <v>-909</v>
      </c>
      <c r="I76" s="8">
        <v>44191</v>
      </c>
      <c r="J76" s="9">
        <f t="shared" ca="1" si="8"/>
        <v>0</v>
      </c>
      <c r="K76" s="10"/>
      <c r="L76" s="10" t="str">
        <f t="shared" si="9"/>
        <v>Accepted</v>
      </c>
      <c r="M76" s="11">
        <v>0</v>
      </c>
      <c r="N76" s="10" t="s">
        <v>30</v>
      </c>
      <c r="O76" s="42">
        <f t="shared" si="10"/>
        <v>25000</v>
      </c>
      <c r="P76" s="10" t="s">
        <v>19</v>
      </c>
    </row>
    <row r="77" spans="1:16" s="22" customFormat="1" ht="14.25" customHeight="1" x14ac:dyDescent="0.25">
      <c r="A77" s="16" t="s">
        <v>201</v>
      </c>
      <c r="B77" s="22" t="s">
        <v>15</v>
      </c>
      <c r="C77" s="22" t="s">
        <v>2465</v>
      </c>
      <c r="D77" s="23" t="s">
        <v>202</v>
      </c>
      <c r="E77" s="24" t="str">
        <f t="shared" si="6"/>
        <v>M2641391P005</v>
      </c>
      <c r="F77" s="6">
        <v>44187</v>
      </c>
      <c r="G77" s="13">
        <f t="shared" si="11"/>
        <v>44194</v>
      </c>
      <c r="H77" s="7">
        <f t="shared" ca="1" si="7"/>
        <v>-909</v>
      </c>
      <c r="I77" s="8">
        <v>44191</v>
      </c>
      <c r="J77" s="9">
        <f t="shared" ca="1" si="8"/>
        <v>0</v>
      </c>
      <c r="K77" s="10"/>
      <c r="L77" s="10" t="str">
        <f t="shared" si="9"/>
        <v>Accepted</v>
      </c>
      <c r="M77" s="11">
        <v>0</v>
      </c>
      <c r="N77" s="10" t="s">
        <v>18</v>
      </c>
      <c r="O77" s="42">
        <f t="shared" si="10"/>
        <v>20000</v>
      </c>
      <c r="P77" s="10" t="s">
        <v>19</v>
      </c>
    </row>
    <row r="78" spans="1:16" s="22" customFormat="1" ht="14.25" customHeight="1" x14ac:dyDescent="0.25">
      <c r="A78" s="16" t="s">
        <v>203</v>
      </c>
      <c r="B78" s="22" t="s">
        <v>15</v>
      </c>
      <c r="C78" s="22" t="s">
        <v>2465</v>
      </c>
      <c r="D78" s="23" t="s">
        <v>204</v>
      </c>
      <c r="E78" s="24" t="str">
        <f t="shared" si="6"/>
        <v>M2641391P006</v>
      </c>
      <c r="F78" s="6">
        <v>44187</v>
      </c>
      <c r="G78" s="13">
        <f t="shared" si="11"/>
        <v>44194</v>
      </c>
      <c r="H78" s="7">
        <f t="shared" ca="1" si="7"/>
        <v>-909</v>
      </c>
      <c r="I78" s="8">
        <v>44191</v>
      </c>
      <c r="J78" s="9">
        <f t="shared" ca="1" si="8"/>
        <v>0</v>
      </c>
      <c r="K78" s="10"/>
      <c r="L78" s="10" t="str">
        <f t="shared" si="9"/>
        <v>Accepted</v>
      </c>
      <c r="M78" s="11">
        <v>0</v>
      </c>
      <c r="N78" s="10" t="s">
        <v>18</v>
      </c>
      <c r="O78" s="42">
        <f t="shared" si="10"/>
        <v>20000</v>
      </c>
      <c r="P78" s="10" t="s">
        <v>19</v>
      </c>
    </row>
    <row r="79" spans="1:16" s="22" customFormat="1" ht="14.25" customHeight="1" x14ac:dyDescent="0.25">
      <c r="A79" s="16" t="s">
        <v>205</v>
      </c>
      <c r="B79" s="22" t="s">
        <v>15</v>
      </c>
      <c r="C79" s="22" t="s">
        <v>2465</v>
      </c>
      <c r="D79" s="23" t="s">
        <v>206</v>
      </c>
      <c r="E79" s="24" t="str">
        <f t="shared" si="6"/>
        <v>M2641391P007</v>
      </c>
      <c r="F79" s="6">
        <v>44187</v>
      </c>
      <c r="G79" s="13">
        <f t="shared" si="11"/>
        <v>44194</v>
      </c>
      <c r="H79" s="7">
        <f t="shared" ca="1" si="7"/>
        <v>-909</v>
      </c>
      <c r="I79" s="8">
        <v>44191</v>
      </c>
      <c r="J79" s="9">
        <f t="shared" ca="1" si="8"/>
        <v>0</v>
      </c>
      <c r="K79" s="10"/>
      <c r="L79" s="10" t="str">
        <f t="shared" si="9"/>
        <v>Accepted</v>
      </c>
      <c r="M79" s="11">
        <v>0</v>
      </c>
      <c r="N79" s="10" t="s">
        <v>30</v>
      </c>
      <c r="O79" s="42">
        <f t="shared" si="10"/>
        <v>25000</v>
      </c>
      <c r="P79" s="10" t="s">
        <v>19</v>
      </c>
    </row>
    <row r="80" spans="1:16" s="22" customFormat="1" ht="14.25" customHeight="1" x14ac:dyDescent="0.25">
      <c r="A80" s="16" t="s">
        <v>207</v>
      </c>
      <c r="B80" s="22" t="s">
        <v>15</v>
      </c>
      <c r="C80" s="22" t="s">
        <v>2465</v>
      </c>
      <c r="D80" s="23" t="s">
        <v>208</v>
      </c>
      <c r="E80" s="24" t="str">
        <f t="shared" si="6"/>
        <v>M2641391P008</v>
      </c>
      <c r="F80" s="6">
        <v>44187</v>
      </c>
      <c r="G80" s="13">
        <f t="shared" si="11"/>
        <v>44194</v>
      </c>
      <c r="H80" s="7">
        <f t="shared" ca="1" si="7"/>
        <v>-909</v>
      </c>
      <c r="I80" s="8">
        <v>44191</v>
      </c>
      <c r="J80" s="9">
        <f t="shared" ca="1" si="8"/>
        <v>0</v>
      </c>
      <c r="K80" s="10"/>
      <c r="L80" s="10" t="str">
        <f t="shared" si="9"/>
        <v>Accepted</v>
      </c>
      <c r="M80" s="11">
        <v>0</v>
      </c>
      <c r="N80" s="10" t="s">
        <v>30</v>
      </c>
      <c r="O80" s="42">
        <f t="shared" si="10"/>
        <v>25000</v>
      </c>
      <c r="P80" s="10" t="s">
        <v>19</v>
      </c>
    </row>
    <row r="81" spans="1:16" s="22" customFormat="1" ht="14.25" customHeight="1" x14ac:dyDescent="0.25">
      <c r="A81" s="16" t="s">
        <v>209</v>
      </c>
      <c r="B81" s="22" t="s">
        <v>15</v>
      </c>
      <c r="C81" s="22" t="s">
        <v>2465</v>
      </c>
      <c r="D81" s="23" t="s">
        <v>210</v>
      </c>
      <c r="E81" s="24" t="str">
        <f t="shared" si="6"/>
        <v>M2641401P009</v>
      </c>
      <c r="F81" s="6">
        <v>44187</v>
      </c>
      <c r="G81" s="13">
        <f t="shared" si="11"/>
        <v>44194</v>
      </c>
      <c r="H81" s="7">
        <f t="shared" ca="1" si="7"/>
        <v>-909</v>
      </c>
      <c r="I81" s="8">
        <v>44191</v>
      </c>
      <c r="J81" s="9">
        <f t="shared" ca="1" si="8"/>
        <v>0</v>
      </c>
      <c r="K81" s="10"/>
      <c r="L81" s="10" t="str">
        <f t="shared" si="9"/>
        <v>Accepted</v>
      </c>
      <c r="M81" s="11">
        <v>0</v>
      </c>
      <c r="N81" s="10" t="s">
        <v>18</v>
      </c>
      <c r="O81" s="42">
        <f t="shared" si="10"/>
        <v>20000</v>
      </c>
      <c r="P81" s="10" t="s">
        <v>19</v>
      </c>
    </row>
    <row r="82" spans="1:16" s="22" customFormat="1" ht="14.25" customHeight="1" x14ac:dyDescent="0.25">
      <c r="A82" s="16" t="s">
        <v>211</v>
      </c>
      <c r="B82" s="22" t="s">
        <v>15</v>
      </c>
      <c r="C82" s="22" t="s">
        <v>2465</v>
      </c>
      <c r="D82" s="23" t="s">
        <v>212</v>
      </c>
      <c r="E82" s="24" t="str">
        <f t="shared" si="6"/>
        <v>M2641401P010</v>
      </c>
      <c r="F82" s="6">
        <v>44187</v>
      </c>
      <c r="G82" s="13">
        <f t="shared" si="11"/>
        <v>44194</v>
      </c>
      <c r="H82" s="7">
        <f t="shared" ca="1" si="7"/>
        <v>-909</v>
      </c>
      <c r="I82" s="8">
        <v>44191</v>
      </c>
      <c r="J82" s="9">
        <f t="shared" ca="1" si="8"/>
        <v>0</v>
      </c>
      <c r="K82" s="10"/>
      <c r="L82" s="10" t="str">
        <f t="shared" si="9"/>
        <v>Accepted</v>
      </c>
      <c r="M82" s="11">
        <v>0</v>
      </c>
      <c r="N82" s="10" t="s">
        <v>30</v>
      </c>
      <c r="O82" s="42">
        <f t="shared" si="10"/>
        <v>25000</v>
      </c>
      <c r="P82" s="10" t="s">
        <v>19</v>
      </c>
    </row>
    <row r="83" spans="1:16" s="22" customFormat="1" ht="14.25" customHeight="1" x14ac:dyDescent="0.25">
      <c r="A83" s="16" t="s">
        <v>213</v>
      </c>
      <c r="B83" s="22" t="s">
        <v>15</v>
      </c>
      <c r="C83" s="22" t="s">
        <v>2465</v>
      </c>
      <c r="D83" s="23" t="s">
        <v>214</v>
      </c>
      <c r="E83" s="24" t="str">
        <f t="shared" si="6"/>
        <v>M2641401P011</v>
      </c>
      <c r="F83" s="6">
        <v>44187</v>
      </c>
      <c r="G83" s="13">
        <f t="shared" si="11"/>
        <v>44194</v>
      </c>
      <c r="H83" s="7">
        <f t="shared" ca="1" si="7"/>
        <v>-909</v>
      </c>
      <c r="I83" s="8">
        <v>44191</v>
      </c>
      <c r="J83" s="9">
        <f t="shared" ca="1" si="8"/>
        <v>0</v>
      </c>
      <c r="K83" s="10"/>
      <c r="L83" s="10" t="str">
        <f t="shared" si="9"/>
        <v>Accepted</v>
      </c>
      <c r="M83" s="11">
        <v>1</v>
      </c>
      <c r="N83" s="10" t="s">
        <v>30</v>
      </c>
      <c r="O83" s="42">
        <f t="shared" si="10"/>
        <v>25000</v>
      </c>
      <c r="P83" s="10" t="s">
        <v>19</v>
      </c>
    </row>
    <row r="84" spans="1:16" s="22" customFormat="1" ht="14.25" customHeight="1" x14ac:dyDescent="0.25">
      <c r="A84" s="16" t="s">
        <v>215</v>
      </c>
      <c r="B84" s="22" t="s">
        <v>15</v>
      </c>
      <c r="C84" s="22" t="s">
        <v>2465</v>
      </c>
      <c r="D84" s="23" t="s">
        <v>216</v>
      </c>
      <c r="E84" s="24" t="str">
        <f t="shared" si="6"/>
        <v>M2641401P012</v>
      </c>
      <c r="F84" s="6">
        <v>44187</v>
      </c>
      <c r="G84" s="13">
        <f t="shared" si="11"/>
        <v>44194</v>
      </c>
      <c r="H84" s="7">
        <f t="shared" ca="1" si="7"/>
        <v>-909</v>
      </c>
      <c r="I84" s="8">
        <v>44191</v>
      </c>
      <c r="J84" s="9">
        <f t="shared" ca="1" si="8"/>
        <v>0</v>
      </c>
      <c r="K84" s="10"/>
      <c r="L84" s="10" t="str">
        <f t="shared" si="9"/>
        <v>Accepted</v>
      </c>
      <c r="M84" s="11">
        <v>0</v>
      </c>
      <c r="N84" s="10" t="s">
        <v>18</v>
      </c>
      <c r="O84" s="42">
        <f t="shared" si="10"/>
        <v>20000</v>
      </c>
      <c r="P84" s="10" t="s">
        <v>19</v>
      </c>
    </row>
    <row r="85" spans="1:16" s="22" customFormat="1" ht="14.25" customHeight="1" x14ac:dyDescent="0.25">
      <c r="A85" s="16" t="s">
        <v>217</v>
      </c>
      <c r="B85" s="22" t="s">
        <v>15</v>
      </c>
      <c r="C85" s="22" t="s">
        <v>2465</v>
      </c>
      <c r="D85" s="23" t="s">
        <v>218</v>
      </c>
      <c r="E85" s="24" t="str">
        <f t="shared" si="6"/>
        <v>M2641401P013</v>
      </c>
      <c r="F85" s="6">
        <v>44187</v>
      </c>
      <c r="G85" s="13">
        <f t="shared" si="11"/>
        <v>44194</v>
      </c>
      <c r="H85" s="7">
        <f t="shared" ca="1" si="7"/>
        <v>-909</v>
      </c>
      <c r="I85" s="8">
        <v>44191</v>
      </c>
      <c r="J85" s="9">
        <f t="shared" ca="1" si="8"/>
        <v>0</v>
      </c>
      <c r="K85" s="10"/>
      <c r="L85" s="10" t="str">
        <f t="shared" si="9"/>
        <v>Accepted</v>
      </c>
      <c r="M85" s="11">
        <v>1</v>
      </c>
      <c r="N85" s="10" t="s">
        <v>30</v>
      </c>
      <c r="O85" s="42">
        <f t="shared" si="10"/>
        <v>25000</v>
      </c>
      <c r="P85" s="10" t="s">
        <v>19</v>
      </c>
    </row>
    <row r="86" spans="1:16" s="22" customFormat="1" ht="14.25" customHeight="1" x14ac:dyDescent="0.25">
      <c r="A86" s="16" t="s">
        <v>219</v>
      </c>
      <c r="B86" s="22" t="s">
        <v>15</v>
      </c>
      <c r="C86" s="22" t="s">
        <v>2465</v>
      </c>
      <c r="D86" s="23" t="s">
        <v>220</v>
      </c>
      <c r="E86" s="24" t="str">
        <f t="shared" si="6"/>
        <v>M2641401P014</v>
      </c>
      <c r="F86" s="6">
        <v>44187</v>
      </c>
      <c r="G86" s="13">
        <f t="shared" si="11"/>
        <v>44194</v>
      </c>
      <c r="H86" s="7">
        <f t="shared" ca="1" si="7"/>
        <v>-909</v>
      </c>
      <c r="I86" s="8">
        <v>44191</v>
      </c>
      <c r="J86" s="9">
        <f t="shared" ca="1" si="8"/>
        <v>0</v>
      </c>
      <c r="K86" s="10"/>
      <c r="L86" s="10" t="str">
        <f t="shared" si="9"/>
        <v>Accepted</v>
      </c>
      <c r="M86" s="11">
        <v>0</v>
      </c>
      <c r="N86" s="10" t="s">
        <v>18</v>
      </c>
      <c r="O86" s="42">
        <f t="shared" si="10"/>
        <v>20000</v>
      </c>
      <c r="P86" s="10" t="s">
        <v>19</v>
      </c>
    </row>
    <row r="87" spans="1:16" s="22" customFormat="1" ht="14.25" customHeight="1" x14ac:dyDescent="0.25">
      <c r="A87" s="16" t="s">
        <v>221</v>
      </c>
      <c r="B87" s="22" t="s">
        <v>15</v>
      </c>
      <c r="C87" s="22" t="s">
        <v>2465</v>
      </c>
      <c r="D87" s="23" t="s">
        <v>222</v>
      </c>
      <c r="E87" s="24" t="str">
        <f t="shared" si="6"/>
        <v>M2641401P015</v>
      </c>
      <c r="F87" s="6">
        <v>44187</v>
      </c>
      <c r="G87" s="13">
        <f t="shared" si="11"/>
        <v>44194</v>
      </c>
      <c r="H87" s="7">
        <f t="shared" ca="1" si="7"/>
        <v>-909</v>
      </c>
      <c r="I87" s="8">
        <v>44191</v>
      </c>
      <c r="J87" s="9">
        <f t="shared" ca="1" si="8"/>
        <v>0</v>
      </c>
      <c r="K87" s="10"/>
      <c r="L87" s="10" t="str">
        <f t="shared" si="9"/>
        <v>Accepted</v>
      </c>
      <c r="M87" s="11">
        <v>0</v>
      </c>
      <c r="N87" s="10" t="s">
        <v>18</v>
      </c>
      <c r="O87" s="42">
        <f t="shared" si="10"/>
        <v>20000</v>
      </c>
      <c r="P87" s="10" t="s">
        <v>19</v>
      </c>
    </row>
    <row r="88" spans="1:16" s="22" customFormat="1" ht="14.25" customHeight="1" x14ac:dyDescent="0.25">
      <c r="A88" s="16" t="s">
        <v>231</v>
      </c>
      <c r="B88" s="22" t="s">
        <v>15</v>
      </c>
      <c r="C88" s="22" t="s">
        <v>191</v>
      </c>
      <c r="D88" s="23" t="s">
        <v>232</v>
      </c>
      <c r="E88" s="24" t="str">
        <f t="shared" si="6"/>
        <v>M1083201P047</v>
      </c>
      <c r="F88" s="6">
        <v>44188</v>
      </c>
      <c r="G88" s="13">
        <f t="shared" si="11"/>
        <v>44195</v>
      </c>
      <c r="H88" s="7">
        <f t="shared" ca="1" si="7"/>
        <v>-908</v>
      </c>
      <c r="I88" s="8">
        <v>44214</v>
      </c>
      <c r="J88" s="9">
        <f t="shared" ca="1" si="8"/>
        <v>0</v>
      </c>
      <c r="K88" s="10"/>
      <c r="L88" s="10" t="str">
        <f t="shared" si="9"/>
        <v>Accepted</v>
      </c>
      <c r="M88" s="11">
        <v>1</v>
      </c>
      <c r="N88" s="10" t="s">
        <v>18</v>
      </c>
      <c r="O88" s="42">
        <f t="shared" si="10"/>
        <v>20000</v>
      </c>
      <c r="P88" s="10" t="s">
        <v>19</v>
      </c>
    </row>
    <row r="89" spans="1:16" s="22" customFormat="1" ht="14.25" customHeight="1" x14ac:dyDescent="0.25">
      <c r="A89" s="16" t="s">
        <v>237</v>
      </c>
      <c r="B89" s="22" t="s">
        <v>15</v>
      </c>
      <c r="C89" s="22" t="s">
        <v>238</v>
      </c>
      <c r="D89" s="23" t="s">
        <v>239</v>
      </c>
      <c r="E89" s="24" t="str">
        <f t="shared" si="6"/>
        <v>M2790641P010</v>
      </c>
      <c r="F89" s="6">
        <v>44188</v>
      </c>
      <c r="G89" s="13">
        <f t="shared" si="11"/>
        <v>44195</v>
      </c>
      <c r="H89" s="7">
        <f t="shared" ca="1" si="7"/>
        <v>-908</v>
      </c>
      <c r="I89" s="8">
        <v>44214</v>
      </c>
      <c r="J89" s="9">
        <f t="shared" ca="1" si="8"/>
        <v>0</v>
      </c>
      <c r="K89" s="10"/>
      <c r="L89" s="10" t="str">
        <f t="shared" si="9"/>
        <v>Accepted</v>
      </c>
      <c r="M89" s="11">
        <v>0</v>
      </c>
      <c r="N89" s="10" t="s">
        <v>18</v>
      </c>
      <c r="O89" s="42">
        <f t="shared" si="10"/>
        <v>20000</v>
      </c>
      <c r="P89" s="10" t="s">
        <v>19</v>
      </c>
    </row>
    <row r="90" spans="1:16" s="22" customFormat="1" ht="14.25" customHeight="1" x14ac:dyDescent="0.25">
      <c r="A90" s="16" t="s">
        <v>240</v>
      </c>
      <c r="B90" s="22" t="s">
        <v>15</v>
      </c>
      <c r="C90" s="22" t="s">
        <v>238</v>
      </c>
      <c r="D90" s="23" t="s">
        <v>241</v>
      </c>
      <c r="E90" s="24" t="str">
        <f t="shared" si="6"/>
        <v>M2790651P011</v>
      </c>
      <c r="F90" s="6">
        <v>44188</v>
      </c>
      <c r="G90" s="13">
        <f t="shared" si="11"/>
        <v>44195</v>
      </c>
      <c r="H90" s="7">
        <f t="shared" ca="1" si="7"/>
        <v>-908</v>
      </c>
      <c r="I90" s="8">
        <v>44214</v>
      </c>
      <c r="J90" s="9">
        <f t="shared" ca="1" si="8"/>
        <v>0</v>
      </c>
      <c r="K90" s="10"/>
      <c r="L90" s="10" t="str">
        <f t="shared" si="9"/>
        <v>Accepted</v>
      </c>
      <c r="M90" s="11">
        <v>0</v>
      </c>
      <c r="N90" s="10" t="s">
        <v>18</v>
      </c>
      <c r="O90" s="42">
        <f t="shared" si="10"/>
        <v>20000</v>
      </c>
      <c r="P90" s="10" t="s">
        <v>19</v>
      </c>
    </row>
    <row r="91" spans="1:16" s="22" customFormat="1" ht="14.25" customHeight="1" x14ac:dyDescent="0.25">
      <c r="A91" s="16" t="s">
        <v>242</v>
      </c>
      <c r="B91" s="22" t="s">
        <v>15</v>
      </c>
      <c r="C91" s="22" t="s">
        <v>238</v>
      </c>
      <c r="D91" s="23" t="s">
        <v>243</v>
      </c>
      <c r="E91" s="24" t="str">
        <f t="shared" si="6"/>
        <v>M2790651P012</v>
      </c>
      <c r="F91" s="6">
        <v>44188</v>
      </c>
      <c r="G91" s="13">
        <f t="shared" si="11"/>
        <v>44195</v>
      </c>
      <c r="H91" s="7">
        <f t="shared" ca="1" si="7"/>
        <v>-908</v>
      </c>
      <c r="I91" s="8">
        <v>44214</v>
      </c>
      <c r="J91" s="9">
        <f t="shared" ca="1" si="8"/>
        <v>0</v>
      </c>
      <c r="K91" s="10"/>
      <c r="L91" s="10" t="str">
        <f t="shared" si="9"/>
        <v>Accepted</v>
      </c>
      <c r="M91" s="11">
        <v>0</v>
      </c>
      <c r="N91" s="10" t="s">
        <v>18</v>
      </c>
      <c r="O91" s="42">
        <f t="shared" si="10"/>
        <v>20000</v>
      </c>
      <c r="P91" s="10" t="s">
        <v>19</v>
      </c>
    </row>
    <row r="92" spans="1:16" s="22" customFormat="1" ht="14.25" customHeight="1" x14ac:dyDescent="0.25">
      <c r="A92" s="16" t="s">
        <v>244</v>
      </c>
      <c r="B92" s="22" t="s">
        <v>15</v>
      </c>
      <c r="C92" s="22" t="s">
        <v>238</v>
      </c>
      <c r="D92" s="23" t="s">
        <v>245</v>
      </c>
      <c r="E92" s="24" t="str">
        <f t="shared" si="6"/>
        <v>M2790651P013</v>
      </c>
      <c r="F92" s="6">
        <v>44188</v>
      </c>
      <c r="G92" s="13">
        <f t="shared" si="11"/>
        <v>44195</v>
      </c>
      <c r="H92" s="7">
        <f t="shared" ca="1" si="7"/>
        <v>-908</v>
      </c>
      <c r="I92" s="8">
        <v>44214</v>
      </c>
      <c r="J92" s="9">
        <f t="shared" ca="1" si="8"/>
        <v>0</v>
      </c>
      <c r="K92" s="10"/>
      <c r="L92" s="10" t="str">
        <f t="shared" si="9"/>
        <v>Accepted</v>
      </c>
      <c r="M92" s="11">
        <v>0</v>
      </c>
      <c r="N92" s="10" t="s">
        <v>18</v>
      </c>
      <c r="O92" s="42">
        <f t="shared" si="10"/>
        <v>20000</v>
      </c>
      <c r="P92" s="10" t="s">
        <v>19</v>
      </c>
    </row>
    <row r="93" spans="1:16" s="22" customFormat="1" ht="14.25" customHeight="1" x14ac:dyDescent="0.25">
      <c r="A93" s="16" t="s">
        <v>248</v>
      </c>
      <c r="B93" s="22" t="s">
        <v>15</v>
      </c>
      <c r="C93" s="22" t="s">
        <v>238</v>
      </c>
      <c r="D93" s="23" t="s">
        <v>249</v>
      </c>
      <c r="E93" s="24" t="str">
        <f t="shared" si="6"/>
        <v>M2790651P015</v>
      </c>
      <c r="F93" s="6">
        <v>44188</v>
      </c>
      <c r="G93" s="13">
        <f t="shared" si="11"/>
        <v>44195</v>
      </c>
      <c r="H93" s="7">
        <f t="shared" ca="1" si="7"/>
        <v>-908</v>
      </c>
      <c r="I93" s="8">
        <v>44214</v>
      </c>
      <c r="J93" s="9">
        <f t="shared" ca="1" si="8"/>
        <v>0</v>
      </c>
      <c r="K93" s="10"/>
      <c r="L93" s="10" t="str">
        <f t="shared" si="9"/>
        <v>Accepted</v>
      </c>
      <c r="M93" s="11">
        <v>0</v>
      </c>
      <c r="N93" s="10" t="s">
        <v>18</v>
      </c>
      <c r="O93" s="42">
        <f t="shared" si="10"/>
        <v>20000</v>
      </c>
      <c r="P93" s="10" t="s">
        <v>19</v>
      </c>
    </row>
    <row r="94" spans="1:16" s="22" customFormat="1" ht="14.25" customHeight="1" x14ac:dyDescent="0.25">
      <c r="A94" s="16" t="s">
        <v>250</v>
      </c>
      <c r="B94" s="22" t="s">
        <v>15</v>
      </c>
      <c r="C94" s="22" t="s">
        <v>238</v>
      </c>
      <c r="D94" s="23" t="s">
        <v>251</v>
      </c>
      <c r="E94" s="24" t="str">
        <f t="shared" si="6"/>
        <v>M2790651P016</v>
      </c>
      <c r="F94" s="6">
        <v>44188</v>
      </c>
      <c r="G94" s="13">
        <f t="shared" si="11"/>
        <v>44195</v>
      </c>
      <c r="H94" s="7">
        <f t="shared" ca="1" si="7"/>
        <v>-908</v>
      </c>
      <c r="I94" s="8">
        <v>44214</v>
      </c>
      <c r="J94" s="9">
        <f t="shared" ca="1" si="8"/>
        <v>0</v>
      </c>
      <c r="K94" s="10"/>
      <c r="L94" s="10" t="str">
        <f t="shared" si="9"/>
        <v>Accepted</v>
      </c>
      <c r="M94" s="11">
        <v>0</v>
      </c>
      <c r="N94" s="10" t="s">
        <v>30</v>
      </c>
      <c r="O94" s="42">
        <f t="shared" si="10"/>
        <v>25000</v>
      </c>
      <c r="P94" s="10" t="s">
        <v>19</v>
      </c>
    </row>
    <row r="95" spans="1:16" s="22" customFormat="1" ht="14.25" customHeight="1" x14ac:dyDescent="0.25">
      <c r="A95" s="16" t="s">
        <v>254</v>
      </c>
      <c r="B95" s="22" t="s">
        <v>15</v>
      </c>
      <c r="C95" s="22" t="s">
        <v>238</v>
      </c>
      <c r="D95" s="23" t="s">
        <v>255</v>
      </c>
      <c r="E95" s="24" t="str">
        <f t="shared" si="6"/>
        <v>M2790651P018</v>
      </c>
      <c r="F95" s="6">
        <v>44188</v>
      </c>
      <c r="G95" s="13">
        <f t="shared" si="11"/>
        <v>44195</v>
      </c>
      <c r="H95" s="7">
        <f t="shared" ca="1" si="7"/>
        <v>-908</v>
      </c>
      <c r="I95" s="8">
        <v>44214</v>
      </c>
      <c r="J95" s="9">
        <f t="shared" ca="1" si="8"/>
        <v>0</v>
      </c>
      <c r="K95" s="10"/>
      <c r="L95" s="10" t="str">
        <f t="shared" si="9"/>
        <v>Accepted</v>
      </c>
      <c r="M95" s="11">
        <v>1</v>
      </c>
      <c r="N95" s="10" t="s">
        <v>18</v>
      </c>
      <c r="O95" s="42">
        <f t="shared" si="10"/>
        <v>20000</v>
      </c>
      <c r="P95" s="10" t="s">
        <v>19</v>
      </c>
    </row>
    <row r="96" spans="1:16" s="22" customFormat="1" ht="14.25" customHeight="1" x14ac:dyDescent="0.25">
      <c r="A96" s="16" t="s">
        <v>259</v>
      </c>
      <c r="B96" s="22" t="s">
        <v>15</v>
      </c>
      <c r="C96" s="22" t="s">
        <v>257</v>
      </c>
      <c r="D96" s="23" t="s">
        <v>260</v>
      </c>
      <c r="E96" s="24" t="str">
        <f t="shared" si="6"/>
        <v>M2622471P015</v>
      </c>
      <c r="F96" s="13">
        <v>44204</v>
      </c>
      <c r="G96" s="13">
        <f t="shared" si="11"/>
        <v>44211</v>
      </c>
      <c r="H96" s="7">
        <f t="shared" ca="1" si="7"/>
        <v>-892</v>
      </c>
      <c r="I96" s="8">
        <v>44214</v>
      </c>
      <c r="J96" s="9">
        <f t="shared" ca="1" si="8"/>
        <v>0</v>
      </c>
      <c r="K96" s="10"/>
      <c r="L96" s="10" t="str">
        <f t="shared" si="9"/>
        <v>Accepted</v>
      </c>
      <c r="M96" s="11">
        <v>0</v>
      </c>
      <c r="N96" s="10" t="s">
        <v>18</v>
      </c>
      <c r="O96" s="42">
        <f t="shared" si="10"/>
        <v>20000</v>
      </c>
      <c r="P96" s="10" t="s">
        <v>19</v>
      </c>
    </row>
    <row r="97" spans="1:16" s="22" customFormat="1" ht="14.25" customHeight="1" x14ac:dyDescent="0.25">
      <c r="A97" s="16" t="s">
        <v>264</v>
      </c>
      <c r="B97" s="22" t="s">
        <v>15</v>
      </c>
      <c r="C97" s="22" t="s">
        <v>262</v>
      </c>
      <c r="D97" s="23" t="s">
        <v>265</v>
      </c>
      <c r="E97" s="24" t="str">
        <f t="shared" si="6"/>
        <v>M2631241E005</v>
      </c>
      <c r="F97" s="13">
        <v>44204</v>
      </c>
      <c r="G97" s="13">
        <f t="shared" si="11"/>
        <v>44211</v>
      </c>
      <c r="H97" s="7">
        <f t="shared" ca="1" si="7"/>
        <v>-892</v>
      </c>
      <c r="I97" s="8">
        <v>44214</v>
      </c>
      <c r="J97" s="9">
        <f t="shared" ca="1" si="8"/>
        <v>0</v>
      </c>
      <c r="K97" s="10"/>
      <c r="L97" s="10" t="str">
        <f t="shared" si="9"/>
        <v>Accepted</v>
      </c>
      <c r="M97" s="11">
        <v>0</v>
      </c>
      <c r="N97" s="10" t="s">
        <v>18</v>
      </c>
      <c r="O97" s="42">
        <f t="shared" si="10"/>
        <v>20000</v>
      </c>
      <c r="P97" s="10" t="s">
        <v>19</v>
      </c>
    </row>
    <row r="98" spans="1:16" s="22" customFormat="1" ht="14.25" customHeight="1" x14ac:dyDescent="0.25">
      <c r="A98" s="16" t="s">
        <v>266</v>
      </c>
      <c r="B98" s="22" t="s">
        <v>15</v>
      </c>
      <c r="C98" s="22" t="s">
        <v>262</v>
      </c>
      <c r="D98" s="23" t="s">
        <v>267</v>
      </c>
      <c r="E98" s="24" t="str">
        <f t="shared" si="6"/>
        <v>M2631241E013</v>
      </c>
      <c r="F98" s="13">
        <v>44204</v>
      </c>
      <c r="G98" s="13">
        <f t="shared" si="11"/>
        <v>44211</v>
      </c>
      <c r="H98" s="7">
        <f t="shared" ca="1" si="7"/>
        <v>-892</v>
      </c>
      <c r="I98" s="8">
        <v>44214</v>
      </c>
      <c r="J98" s="9">
        <f t="shared" ca="1" si="8"/>
        <v>0</v>
      </c>
      <c r="K98" s="10"/>
      <c r="L98" s="10" t="str">
        <f t="shared" si="9"/>
        <v>Accepted</v>
      </c>
      <c r="M98" s="11">
        <v>0</v>
      </c>
      <c r="N98" s="10" t="s">
        <v>18</v>
      </c>
      <c r="O98" s="42">
        <f t="shared" si="10"/>
        <v>20000</v>
      </c>
      <c r="P98" s="10" t="s">
        <v>19</v>
      </c>
    </row>
    <row r="99" spans="1:16" s="22" customFormat="1" ht="14.25" customHeight="1" x14ac:dyDescent="0.25">
      <c r="A99" s="5" t="s">
        <v>14</v>
      </c>
      <c r="B99" s="22" t="s">
        <v>15</v>
      </c>
      <c r="C99" s="22" t="s">
        <v>16</v>
      </c>
      <c r="D99" s="23" t="s">
        <v>17</v>
      </c>
      <c r="E99" s="24" t="str">
        <f t="shared" si="6"/>
        <v>M0280391P156</v>
      </c>
      <c r="F99" s="6">
        <v>44096</v>
      </c>
      <c r="G99" s="13">
        <f t="shared" si="11"/>
        <v>44103</v>
      </c>
      <c r="H99" s="7">
        <f t="shared" ca="1" si="7"/>
        <v>-1000</v>
      </c>
      <c r="I99" s="8">
        <v>44218</v>
      </c>
      <c r="J99" s="9">
        <f t="shared" ca="1" si="8"/>
        <v>0</v>
      </c>
      <c r="K99" s="10"/>
      <c r="L99" s="10" t="str">
        <f t="shared" si="9"/>
        <v>Accepted</v>
      </c>
      <c r="M99" s="11">
        <v>0</v>
      </c>
      <c r="N99" s="10" t="s">
        <v>18</v>
      </c>
      <c r="O99" s="42">
        <f t="shared" si="10"/>
        <v>20000</v>
      </c>
      <c r="P99" s="10" t="s">
        <v>19</v>
      </c>
    </row>
    <row r="100" spans="1:16" s="22" customFormat="1" ht="14.25" customHeight="1" x14ac:dyDescent="0.25">
      <c r="A100" s="5" t="s">
        <v>20</v>
      </c>
      <c r="B100" s="22" t="s">
        <v>15</v>
      </c>
      <c r="C100" s="22" t="s">
        <v>21</v>
      </c>
      <c r="D100" s="23" t="s">
        <v>22</v>
      </c>
      <c r="E100" s="24" t="str">
        <f t="shared" si="6"/>
        <v>M0221702P014</v>
      </c>
      <c r="F100" s="6">
        <v>44097</v>
      </c>
      <c r="G100" s="13">
        <f t="shared" si="11"/>
        <v>44104</v>
      </c>
      <c r="H100" s="7">
        <f t="shared" ca="1" si="7"/>
        <v>-999</v>
      </c>
      <c r="I100" s="8">
        <v>44218</v>
      </c>
      <c r="J100" s="9">
        <f t="shared" ca="1" si="8"/>
        <v>0</v>
      </c>
      <c r="K100" s="10"/>
      <c r="L100" s="10" t="str">
        <f t="shared" si="9"/>
        <v>Accepted</v>
      </c>
      <c r="M100" s="11">
        <v>0</v>
      </c>
      <c r="N100" s="10" t="s">
        <v>18</v>
      </c>
      <c r="O100" s="42">
        <f t="shared" si="10"/>
        <v>20000</v>
      </c>
      <c r="P100" s="10" t="s">
        <v>19</v>
      </c>
    </row>
    <row r="101" spans="1:16" s="22" customFormat="1" ht="14.25" customHeight="1" x14ac:dyDescent="0.25">
      <c r="A101" s="5" t="s">
        <v>31</v>
      </c>
      <c r="B101" s="22" t="s">
        <v>28</v>
      </c>
      <c r="C101" s="22" t="s">
        <v>2459</v>
      </c>
      <c r="D101" s="23" t="s">
        <v>32</v>
      </c>
      <c r="E101" s="24" t="str">
        <f t="shared" si="6"/>
        <v>M0070061E005</v>
      </c>
      <c r="F101" s="6">
        <v>44098</v>
      </c>
      <c r="G101" s="13">
        <f t="shared" si="11"/>
        <v>44105</v>
      </c>
      <c r="H101" s="7">
        <f t="shared" ca="1" si="7"/>
        <v>-998</v>
      </c>
      <c r="I101" s="8">
        <v>44218</v>
      </c>
      <c r="J101" s="9">
        <f t="shared" ca="1" si="8"/>
        <v>0</v>
      </c>
      <c r="K101" s="10"/>
      <c r="L101" s="10" t="str">
        <f t="shared" si="9"/>
        <v>Accepted</v>
      </c>
      <c r="M101" s="11">
        <v>0</v>
      </c>
      <c r="N101" s="10" t="s">
        <v>18</v>
      </c>
      <c r="O101" s="42">
        <f t="shared" si="10"/>
        <v>15000</v>
      </c>
      <c r="P101" s="10" t="s">
        <v>19</v>
      </c>
    </row>
    <row r="102" spans="1:16" s="22" customFormat="1" ht="14.25" customHeight="1" x14ac:dyDescent="0.25">
      <c r="A102" s="5" t="s">
        <v>33</v>
      </c>
      <c r="B102" s="22" t="s">
        <v>28</v>
      </c>
      <c r="C102" s="22" t="s">
        <v>2459</v>
      </c>
      <c r="D102" s="23" t="s">
        <v>34</v>
      </c>
      <c r="E102" s="24" t="str">
        <f t="shared" si="6"/>
        <v>M0070061E007</v>
      </c>
      <c r="F102" s="6">
        <v>44098</v>
      </c>
      <c r="G102" s="13">
        <f t="shared" si="11"/>
        <v>44105</v>
      </c>
      <c r="H102" s="7">
        <f t="shared" ca="1" si="7"/>
        <v>-998</v>
      </c>
      <c r="I102" s="8">
        <v>44218</v>
      </c>
      <c r="J102" s="9">
        <f t="shared" ca="1" si="8"/>
        <v>0</v>
      </c>
      <c r="K102" s="10"/>
      <c r="L102" s="10" t="str">
        <f t="shared" si="9"/>
        <v>Accepted</v>
      </c>
      <c r="M102" s="11">
        <v>2</v>
      </c>
      <c r="N102" s="10" t="s">
        <v>30</v>
      </c>
      <c r="O102" s="42">
        <f t="shared" si="10"/>
        <v>18000</v>
      </c>
      <c r="P102" s="10" t="s">
        <v>19</v>
      </c>
    </row>
    <row r="103" spans="1:16" s="22" customFormat="1" ht="14.25" customHeight="1" x14ac:dyDescent="0.25">
      <c r="A103" s="14" t="s">
        <v>2478</v>
      </c>
      <c r="B103" s="22" t="s">
        <v>28</v>
      </c>
      <c r="C103" s="22" t="s">
        <v>2460</v>
      </c>
      <c r="D103" s="23" t="s">
        <v>40</v>
      </c>
      <c r="E103" s="24" t="str">
        <f t="shared" si="6"/>
        <v>C0090431P002</v>
      </c>
      <c r="F103" s="6">
        <v>44102</v>
      </c>
      <c r="G103" s="13">
        <f t="shared" si="11"/>
        <v>44109</v>
      </c>
      <c r="H103" s="7">
        <f t="shared" ca="1" si="7"/>
        <v>-994</v>
      </c>
      <c r="I103" s="8">
        <v>44218</v>
      </c>
      <c r="J103" s="9">
        <f t="shared" ca="1" si="8"/>
        <v>0</v>
      </c>
      <c r="K103" s="10"/>
      <c r="L103" s="10" t="str">
        <f t="shared" si="9"/>
        <v>Accepted</v>
      </c>
      <c r="M103" s="11">
        <v>0</v>
      </c>
      <c r="N103" s="10" t="s">
        <v>30</v>
      </c>
      <c r="O103" s="42">
        <f t="shared" si="10"/>
        <v>18000</v>
      </c>
      <c r="P103" s="10" t="s">
        <v>19</v>
      </c>
    </row>
    <row r="104" spans="1:16" s="22" customFormat="1" ht="14.25" customHeight="1" x14ac:dyDescent="0.25">
      <c r="A104" s="5" t="s">
        <v>48</v>
      </c>
      <c r="B104" s="22" t="s">
        <v>15</v>
      </c>
      <c r="C104" s="22" t="s">
        <v>46</v>
      </c>
      <c r="D104" s="23" t="s">
        <v>49</v>
      </c>
      <c r="E104" s="24" t="str">
        <f t="shared" si="6"/>
        <v>M1871141a001</v>
      </c>
      <c r="F104" s="6">
        <v>44103</v>
      </c>
      <c r="G104" s="13">
        <f t="shared" si="11"/>
        <v>44110</v>
      </c>
      <c r="H104" s="7">
        <f t="shared" ca="1" si="7"/>
        <v>-993</v>
      </c>
      <c r="I104" s="8">
        <v>44218</v>
      </c>
      <c r="J104" s="9">
        <f t="shared" ca="1" si="8"/>
        <v>0</v>
      </c>
      <c r="K104" s="10"/>
      <c r="L104" s="10" t="str">
        <f t="shared" si="9"/>
        <v>Accepted</v>
      </c>
      <c r="M104" s="11">
        <v>0</v>
      </c>
      <c r="N104" s="10" t="s">
        <v>18</v>
      </c>
      <c r="O104" s="42">
        <f t="shared" si="10"/>
        <v>20000</v>
      </c>
      <c r="P104" s="10" t="s">
        <v>19</v>
      </c>
    </row>
    <row r="105" spans="1:16" s="22" customFormat="1" ht="14.25" customHeight="1" x14ac:dyDescent="0.25">
      <c r="A105" s="5" t="s">
        <v>2479</v>
      </c>
      <c r="B105" s="22" t="s">
        <v>28</v>
      </c>
      <c r="C105" s="22" t="s">
        <v>2460</v>
      </c>
      <c r="D105" s="23" t="s">
        <v>40</v>
      </c>
      <c r="E105" s="24" t="str">
        <f t="shared" si="6"/>
        <v>C0090431P003</v>
      </c>
      <c r="F105" s="6">
        <v>44105</v>
      </c>
      <c r="G105" s="13">
        <f t="shared" si="11"/>
        <v>44112</v>
      </c>
      <c r="H105" s="7">
        <f t="shared" ca="1" si="7"/>
        <v>-991</v>
      </c>
      <c r="I105" s="13">
        <v>44218</v>
      </c>
      <c r="J105" s="9">
        <f t="shared" ca="1" si="8"/>
        <v>0</v>
      </c>
      <c r="K105" s="13"/>
      <c r="L105" s="10" t="str">
        <f t="shared" si="9"/>
        <v>Accepted</v>
      </c>
      <c r="M105" s="11">
        <v>0</v>
      </c>
      <c r="N105" s="10" t="s">
        <v>18</v>
      </c>
      <c r="O105" s="42">
        <f t="shared" si="10"/>
        <v>15000</v>
      </c>
      <c r="P105" s="10" t="s">
        <v>19</v>
      </c>
    </row>
    <row r="106" spans="1:16" s="22" customFormat="1" ht="14.25" customHeight="1" x14ac:dyDescent="0.25">
      <c r="A106" s="5" t="s">
        <v>70</v>
      </c>
      <c r="B106" s="22" t="s">
        <v>28</v>
      </c>
      <c r="C106" s="22" t="s">
        <v>985</v>
      </c>
      <c r="D106" s="23" t="s">
        <v>71</v>
      </c>
      <c r="E106" s="24" t="str">
        <f t="shared" si="6"/>
        <v>C0171371P026</v>
      </c>
      <c r="F106" s="6">
        <v>44148</v>
      </c>
      <c r="G106" s="13">
        <f t="shared" si="11"/>
        <v>44155</v>
      </c>
      <c r="H106" s="7">
        <f t="shared" ca="1" si="7"/>
        <v>-948</v>
      </c>
      <c r="I106" s="8">
        <v>44218</v>
      </c>
      <c r="J106" s="9">
        <f t="shared" ca="1" si="8"/>
        <v>0</v>
      </c>
      <c r="K106" s="10"/>
      <c r="L106" s="10" t="str">
        <f t="shared" si="9"/>
        <v>Accepted</v>
      </c>
      <c r="M106" s="11">
        <v>0</v>
      </c>
      <c r="N106" s="10" t="s">
        <v>30</v>
      </c>
      <c r="O106" s="42">
        <f t="shared" si="10"/>
        <v>18000</v>
      </c>
      <c r="P106" s="10" t="s">
        <v>19</v>
      </c>
    </row>
    <row r="107" spans="1:16" s="22" customFormat="1" ht="14.25" customHeight="1" x14ac:dyDescent="0.25">
      <c r="A107" s="5" t="s">
        <v>74</v>
      </c>
      <c r="B107" s="22" t="s">
        <v>28</v>
      </c>
      <c r="C107" s="22" t="s">
        <v>2461</v>
      </c>
      <c r="D107" s="23" t="s">
        <v>75</v>
      </c>
      <c r="E107" s="24" t="str">
        <f t="shared" si="6"/>
        <v>C0171371P028</v>
      </c>
      <c r="F107" s="6">
        <v>44148</v>
      </c>
      <c r="G107" s="13">
        <f t="shared" si="11"/>
        <v>44155</v>
      </c>
      <c r="H107" s="7">
        <f t="shared" ca="1" si="7"/>
        <v>-948</v>
      </c>
      <c r="I107" s="8">
        <v>44218</v>
      </c>
      <c r="J107" s="9">
        <f t="shared" ca="1" si="8"/>
        <v>0</v>
      </c>
      <c r="K107" s="10"/>
      <c r="L107" s="10" t="str">
        <f t="shared" si="9"/>
        <v>Accepted</v>
      </c>
      <c r="M107" s="11">
        <v>0</v>
      </c>
      <c r="N107" s="10" t="s">
        <v>18</v>
      </c>
      <c r="O107" s="42">
        <f t="shared" si="10"/>
        <v>15000</v>
      </c>
      <c r="P107" s="10" t="s">
        <v>19</v>
      </c>
    </row>
    <row r="108" spans="1:16" s="22" customFormat="1" ht="14.25" customHeight="1" x14ac:dyDescent="0.25">
      <c r="A108" s="5" t="s">
        <v>233</v>
      </c>
      <c r="B108" s="22" t="s">
        <v>15</v>
      </c>
      <c r="C108" s="22" t="s">
        <v>191</v>
      </c>
      <c r="D108" s="23" t="s">
        <v>234</v>
      </c>
      <c r="E108" s="24" t="str">
        <f t="shared" si="6"/>
        <v>M1083201P048</v>
      </c>
      <c r="F108" s="6">
        <v>44188</v>
      </c>
      <c r="G108" s="13">
        <f t="shared" si="11"/>
        <v>44195</v>
      </c>
      <c r="H108" s="7">
        <f t="shared" ca="1" si="7"/>
        <v>-908</v>
      </c>
      <c r="I108" s="8">
        <v>44219</v>
      </c>
      <c r="J108" s="9">
        <f t="shared" ca="1" si="8"/>
        <v>0</v>
      </c>
      <c r="K108" s="10"/>
      <c r="L108" s="10" t="str">
        <f t="shared" si="9"/>
        <v>Accepted</v>
      </c>
      <c r="M108" s="11">
        <v>0</v>
      </c>
      <c r="N108" s="10" t="s">
        <v>30</v>
      </c>
      <c r="O108" s="42">
        <f t="shared" si="10"/>
        <v>25000</v>
      </c>
      <c r="P108" s="10" t="s">
        <v>19</v>
      </c>
    </row>
    <row r="109" spans="1:16" s="22" customFormat="1" ht="14.25" customHeight="1" x14ac:dyDescent="0.25">
      <c r="A109" s="5" t="s">
        <v>235</v>
      </c>
      <c r="B109" s="22" t="s">
        <v>15</v>
      </c>
      <c r="C109" s="22" t="s">
        <v>191</v>
      </c>
      <c r="D109" s="23" t="s">
        <v>236</v>
      </c>
      <c r="E109" s="24" t="str">
        <f t="shared" si="6"/>
        <v>M1083201P049</v>
      </c>
      <c r="F109" s="6">
        <v>44188</v>
      </c>
      <c r="G109" s="13">
        <f t="shared" si="11"/>
        <v>44195</v>
      </c>
      <c r="H109" s="7">
        <f t="shared" ca="1" si="7"/>
        <v>-908</v>
      </c>
      <c r="I109" s="8">
        <v>44219</v>
      </c>
      <c r="J109" s="9">
        <f t="shared" ca="1" si="8"/>
        <v>0</v>
      </c>
      <c r="K109" s="10"/>
      <c r="L109" s="10" t="str">
        <f t="shared" si="9"/>
        <v>Accepted</v>
      </c>
      <c r="M109" s="11">
        <v>1</v>
      </c>
      <c r="N109" s="10" t="s">
        <v>18</v>
      </c>
      <c r="O109" s="42">
        <f t="shared" si="10"/>
        <v>20000</v>
      </c>
      <c r="P109" s="10" t="s">
        <v>19</v>
      </c>
    </row>
    <row r="110" spans="1:16" s="22" customFormat="1" ht="14.25" customHeight="1" x14ac:dyDescent="0.25">
      <c r="A110" s="5" t="s">
        <v>270</v>
      </c>
      <c r="B110" s="22" t="s">
        <v>15</v>
      </c>
      <c r="C110" s="22" t="s">
        <v>262</v>
      </c>
      <c r="D110" s="23" t="s">
        <v>271</v>
      </c>
      <c r="E110" s="24" t="str">
        <f t="shared" si="6"/>
        <v>M2631241E015</v>
      </c>
      <c r="F110" s="13">
        <v>44204</v>
      </c>
      <c r="G110" s="13">
        <f t="shared" si="11"/>
        <v>44211</v>
      </c>
      <c r="H110" s="7">
        <f t="shared" ca="1" si="7"/>
        <v>-892</v>
      </c>
      <c r="I110" s="8">
        <v>44219</v>
      </c>
      <c r="J110" s="9">
        <f t="shared" ca="1" si="8"/>
        <v>0</v>
      </c>
      <c r="K110" s="10"/>
      <c r="L110" s="10" t="str">
        <f t="shared" si="9"/>
        <v>Accepted</v>
      </c>
      <c r="M110" s="11">
        <v>1</v>
      </c>
      <c r="N110" s="10" t="s">
        <v>30</v>
      </c>
      <c r="O110" s="42">
        <f t="shared" si="10"/>
        <v>25000</v>
      </c>
      <c r="P110" s="10" t="s">
        <v>19</v>
      </c>
    </row>
    <row r="111" spans="1:16" s="22" customFormat="1" ht="14.25" customHeight="1" x14ac:dyDescent="0.25">
      <c r="A111" s="5" t="s">
        <v>272</v>
      </c>
      <c r="B111" s="22" t="s">
        <v>15</v>
      </c>
      <c r="C111" s="22" t="s">
        <v>262</v>
      </c>
      <c r="D111" s="23" t="s">
        <v>273</v>
      </c>
      <c r="E111" s="24" t="str">
        <f t="shared" si="6"/>
        <v>M2631251a001</v>
      </c>
      <c r="F111" s="13">
        <v>44204</v>
      </c>
      <c r="G111" s="13">
        <f t="shared" si="11"/>
        <v>44211</v>
      </c>
      <c r="H111" s="7">
        <f t="shared" ca="1" si="7"/>
        <v>-892</v>
      </c>
      <c r="I111" s="8">
        <v>44219</v>
      </c>
      <c r="J111" s="9">
        <f t="shared" ca="1" si="8"/>
        <v>0</v>
      </c>
      <c r="K111" s="10"/>
      <c r="L111" s="10" t="str">
        <f t="shared" si="9"/>
        <v>Accepted</v>
      </c>
      <c r="M111" s="11">
        <v>0</v>
      </c>
      <c r="N111" s="10" t="s">
        <v>18</v>
      </c>
      <c r="O111" s="42">
        <f t="shared" si="10"/>
        <v>20000</v>
      </c>
      <c r="P111" s="10" t="s">
        <v>19</v>
      </c>
    </row>
    <row r="112" spans="1:16" s="22" customFormat="1" ht="14.25" customHeight="1" x14ac:dyDescent="0.25">
      <c r="A112" s="5" t="s">
        <v>274</v>
      </c>
      <c r="B112" s="22" t="s">
        <v>15</v>
      </c>
      <c r="C112" s="22" t="s">
        <v>262</v>
      </c>
      <c r="D112" s="23" t="s">
        <v>275</v>
      </c>
      <c r="E112" s="24" t="str">
        <f t="shared" si="6"/>
        <v>M2631251b001</v>
      </c>
      <c r="F112" s="13">
        <v>44204</v>
      </c>
      <c r="G112" s="13">
        <f t="shared" si="11"/>
        <v>44211</v>
      </c>
      <c r="H112" s="7">
        <f t="shared" ca="1" si="7"/>
        <v>-892</v>
      </c>
      <c r="I112" s="8">
        <v>44219</v>
      </c>
      <c r="J112" s="9">
        <f t="shared" ca="1" si="8"/>
        <v>0</v>
      </c>
      <c r="K112" s="10"/>
      <c r="L112" s="10" t="str">
        <f t="shared" si="9"/>
        <v>Accepted</v>
      </c>
      <c r="M112" s="11">
        <v>0</v>
      </c>
      <c r="N112" s="10" t="s">
        <v>18</v>
      </c>
      <c r="O112" s="42">
        <f t="shared" si="10"/>
        <v>20000</v>
      </c>
      <c r="P112" s="10" t="s">
        <v>19</v>
      </c>
    </row>
    <row r="113" spans="1:16" s="22" customFormat="1" ht="14.25" customHeight="1" x14ac:dyDescent="0.25">
      <c r="A113" s="5" t="s">
        <v>246</v>
      </c>
      <c r="B113" s="22" t="s">
        <v>15</v>
      </c>
      <c r="C113" s="22" t="s">
        <v>238</v>
      </c>
      <c r="D113" s="23" t="s">
        <v>247</v>
      </c>
      <c r="E113" s="24" t="str">
        <f t="shared" si="6"/>
        <v>M2790651P014</v>
      </c>
      <c r="F113" s="6">
        <v>44188</v>
      </c>
      <c r="G113" s="13">
        <f t="shared" si="11"/>
        <v>44195</v>
      </c>
      <c r="H113" s="7">
        <f t="shared" ca="1" si="7"/>
        <v>-908</v>
      </c>
      <c r="I113" s="8">
        <v>44220</v>
      </c>
      <c r="J113" s="9">
        <f t="shared" ca="1" si="8"/>
        <v>0</v>
      </c>
      <c r="K113" s="10"/>
      <c r="L113" s="10" t="str">
        <f t="shared" si="9"/>
        <v>Accepted</v>
      </c>
      <c r="M113" s="11">
        <v>0</v>
      </c>
      <c r="N113" s="10" t="s">
        <v>30</v>
      </c>
      <c r="O113" s="42">
        <f t="shared" si="10"/>
        <v>25000</v>
      </c>
      <c r="P113" s="10" t="s">
        <v>19</v>
      </c>
    </row>
    <row r="114" spans="1:16" s="22" customFormat="1" ht="14.25" customHeight="1" x14ac:dyDescent="0.25">
      <c r="A114" s="5" t="s">
        <v>252</v>
      </c>
      <c r="B114" s="22" t="s">
        <v>15</v>
      </c>
      <c r="C114" s="22" t="s">
        <v>238</v>
      </c>
      <c r="D114" s="23" t="s">
        <v>253</v>
      </c>
      <c r="E114" s="24" t="str">
        <f t="shared" si="6"/>
        <v>M2790651P017</v>
      </c>
      <c r="F114" s="6">
        <v>44188</v>
      </c>
      <c r="G114" s="13">
        <f t="shared" si="11"/>
        <v>44195</v>
      </c>
      <c r="H114" s="7">
        <f t="shared" ca="1" si="7"/>
        <v>-908</v>
      </c>
      <c r="I114" s="8">
        <v>44220</v>
      </c>
      <c r="J114" s="9">
        <f t="shared" ca="1" si="8"/>
        <v>0</v>
      </c>
      <c r="K114" s="10"/>
      <c r="L114" s="10" t="str">
        <f t="shared" si="9"/>
        <v>Accepted</v>
      </c>
      <c r="M114" s="11">
        <v>0</v>
      </c>
      <c r="N114" s="10" t="s">
        <v>18</v>
      </c>
      <c r="O114" s="42">
        <f t="shared" si="10"/>
        <v>20000</v>
      </c>
      <c r="P114" s="10" t="s">
        <v>19</v>
      </c>
    </row>
    <row r="115" spans="1:16" s="22" customFormat="1" ht="14.25" customHeight="1" x14ac:dyDescent="0.25">
      <c r="A115" s="5" t="s">
        <v>256</v>
      </c>
      <c r="B115" s="22" t="s">
        <v>15</v>
      </c>
      <c r="C115" s="22" t="s">
        <v>257</v>
      </c>
      <c r="D115" s="23" t="s">
        <v>258</v>
      </c>
      <c r="E115" s="24" t="str">
        <f t="shared" si="6"/>
        <v>M2622421E016</v>
      </c>
      <c r="F115" s="13">
        <v>44204</v>
      </c>
      <c r="G115" s="13">
        <f t="shared" si="11"/>
        <v>44211</v>
      </c>
      <c r="H115" s="7">
        <f t="shared" ca="1" si="7"/>
        <v>-892</v>
      </c>
      <c r="I115" s="8">
        <v>44220</v>
      </c>
      <c r="J115" s="9">
        <f t="shared" ca="1" si="8"/>
        <v>0</v>
      </c>
      <c r="K115" s="10"/>
      <c r="L115" s="10" t="str">
        <f t="shared" si="9"/>
        <v>Accepted</v>
      </c>
      <c r="M115" s="11">
        <v>0</v>
      </c>
      <c r="N115" s="10" t="s">
        <v>18</v>
      </c>
      <c r="O115" s="42">
        <f t="shared" si="10"/>
        <v>20000</v>
      </c>
      <c r="P115" s="10" t="s">
        <v>19</v>
      </c>
    </row>
    <row r="116" spans="1:16" s="22" customFormat="1" ht="14.25" customHeight="1" x14ac:dyDescent="0.25">
      <c r="A116" s="5" t="s">
        <v>261</v>
      </c>
      <c r="B116" s="22" t="s">
        <v>15</v>
      </c>
      <c r="C116" s="22" t="s">
        <v>262</v>
      </c>
      <c r="D116" s="23" t="s">
        <v>263</v>
      </c>
      <c r="E116" s="24" t="str">
        <f t="shared" si="6"/>
        <v>M2631241E004</v>
      </c>
      <c r="F116" s="13">
        <v>44204</v>
      </c>
      <c r="G116" s="13">
        <f t="shared" si="11"/>
        <v>44211</v>
      </c>
      <c r="H116" s="7">
        <f t="shared" ca="1" si="7"/>
        <v>-892</v>
      </c>
      <c r="I116" s="8">
        <v>44220</v>
      </c>
      <c r="J116" s="9">
        <f t="shared" ca="1" si="8"/>
        <v>0</v>
      </c>
      <c r="K116" s="10"/>
      <c r="L116" s="10" t="str">
        <f t="shared" si="9"/>
        <v>Accepted</v>
      </c>
      <c r="M116" s="11">
        <v>1</v>
      </c>
      <c r="N116" s="10" t="s">
        <v>18</v>
      </c>
      <c r="O116" s="42">
        <f t="shared" si="10"/>
        <v>20000</v>
      </c>
      <c r="P116" s="10" t="s">
        <v>19</v>
      </c>
    </row>
    <row r="117" spans="1:16" s="22" customFormat="1" ht="14.25" customHeight="1" x14ac:dyDescent="0.25">
      <c r="A117" s="5" t="s">
        <v>268</v>
      </c>
      <c r="B117" s="22" t="s">
        <v>15</v>
      </c>
      <c r="C117" s="22" t="s">
        <v>262</v>
      </c>
      <c r="D117" s="23" t="s">
        <v>269</v>
      </c>
      <c r="E117" s="24" t="str">
        <f t="shared" si="6"/>
        <v>M2631241E014</v>
      </c>
      <c r="F117" s="13">
        <v>44204</v>
      </c>
      <c r="G117" s="13">
        <f t="shared" si="11"/>
        <v>44211</v>
      </c>
      <c r="H117" s="7">
        <f t="shared" ca="1" si="7"/>
        <v>-892</v>
      </c>
      <c r="I117" s="8">
        <v>44220</v>
      </c>
      <c r="J117" s="9">
        <f t="shared" ca="1" si="8"/>
        <v>0</v>
      </c>
      <c r="K117" s="10"/>
      <c r="L117" s="10" t="str">
        <f t="shared" si="9"/>
        <v>Accepted</v>
      </c>
      <c r="M117" s="11">
        <v>0</v>
      </c>
      <c r="N117" s="10" t="s">
        <v>18</v>
      </c>
      <c r="O117" s="42">
        <f t="shared" si="10"/>
        <v>20000</v>
      </c>
      <c r="P117" s="10" t="s">
        <v>19</v>
      </c>
    </row>
    <row r="118" spans="1:16" s="22" customFormat="1" ht="14.25" customHeight="1" x14ac:dyDescent="0.25">
      <c r="A118" s="5" t="s">
        <v>278</v>
      </c>
      <c r="B118" s="22" t="s">
        <v>15</v>
      </c>
      <c r="C118" s="22" t="s">
        <v>2458</v>
      </c>
      <c r="D118" s="23" t="s">
        <v>279</v>
      </c>
      <c r="E118" s="24" t="str">
        <f t="shared" si="6"/>
        <v>M0841121E006</v>
      </c>
      <c r="F118" s="13">
        <v>44216</v>
      </c>
      <c r="G118" s="13">
        <f t="shared" si="11"/>
        <v>44223</v>
      </c>
      <c r="H118" s="7">
        <f t="shared" ca="1" si="7"/>
        <v>-880</v>
      </c>
      <c r="I118" s="8">
        <v>44223</v>
      </c>
      <c r="J118" s="9">
        <f t="shared" ca="1" si="8"/>
        <v>0</v>
      </c>
      <c r="K118" s="10"/>
      <c r="L118" s="10" t="str">
        <f t="shared" si="9"/>
        <v>Accepted</v>
      </c>
      <c r="M118" s="11">
        <v>1</v>
      </c>
      <c r="N118" s="10" t="s">
        <v>18</v>
      </c>
      <c r="O118" s="42">
        <f t="shared" si="10"/>
        <v>20000</v>
      </c>
      <c r="P118" s="10" t="s">
        <v>19</v>
      </c>
    </row>
    <row r="119" spans="1:16" s="22" customFormat="1" ht="14.25" customHeight="1" x14ac:dyDescent="0.25">
      <c r="A119" s="5" t="s">
        <v>280</v>
      </c>
      <c r="B119" s="22" t="s">
        <v>28</v>
      </c>
      <c r="C119" s="22" t="s">
        <v>2462</v>
      </c>
      <c r="D119" s="23" t="s">
        <v>281</v>
      </c>
      <c r="E119" s="24" t="str">
        <f t="shared" si="6"/>
        <v>C0171101P008</v>
      </c>
      <c r="F119" s="13">
        <v>44216</v>
      </c>
      <c r="G119" s="13">
        <f t="shared" si="11"/>
        <v>44223</v>
      </c>
      <c r="H119" s="7">
        <f t="shared" ca="1" si="7"/>
        <v>-880</v>
      </c>
      <c r="I119" s="8">
        <v>44223</v>
      </c>
      <c r="J119" s="9">
        <f t="shared" ca="1" si="8"/>
        <v>0</v>
      </c>
      <c r="K119" s="10"/>
      <c r="L119" s="10" t="str">
        <f t="shared" si="9"/>
        <v>Accepted</v>
      </c>
      <c r="M119" s="11">
        <v>0</v>
      </c>
      <c r="N119" s="10" t="s">
        <v>18</v>
      </c>
      <c r="O119" s="42">
        <f t="shared" si="10"/>
        <v>15000</v>
      </c>
      <c r="P119" s="10" t="s">
        <v>19</v>
      </c>
    </row>
    <row r="120" spans="1:16" s="22" customFormat="1" ht="14.25" customHeight="1" x14ac:dyDescent="0.25">
      <c r="A120" s="5" t="s">
        <v>290</v>
      </c>
      <c r="B120" s="22" t="s">
        <v>15</v>
      </c>
      <c r="C120" s="22" t="s">
        <v>291</v>
      </c>
      <c r="D120" s="23" t="s">
        <v>292</v>
      </c>
      <c r="E120" s="24" t="str">
        <f t="shared" si="6"/>
        <v>M1110603E001</v>
      </c>
      <c r="F120" s="13">
        <v>44216</v>
      </c>
      <c r="G120" s="13">
        <f t="shared" si="11"/>
        <v>44223</v>
      </c>
      <c r="H120" s="7">
        <f t="shared" ca="1" si="7"/>
        <v>-880</v>
      </c>
      <c r="I120" s="8">
        <v>44223</v>
      </c>
      <c r="J120" s="9">
        <f t="shared" ca="1" si="8"/>
        <v>0</v>
      </c>
      <c r="K120" s="10"/>
      <c r="L120" s="10" t="str">
        <f t="shared" si="9"/>
        <v>Accepted</v>
      </c>
      <c r="M120" s="11">
        <v>0</v>
      </c>
      <c r="N120" s="10" t="s">
        <v>18</v>
      </c>
      <c r="O120" s="42">
        <f t="shared" si="10"/>
        <v>20000</v>
      </c>
      <c r="P120" s="10" t="s">
        <v>19</v>
      </c>
    </row>
    <row r="121" spans="1:16" s="22" customFormat="1" ht="14.25" customHeight="1" x14ac:dyDescent="0.25">
      <c r="A121" s="5" t="s">
        <v>293</v>
      </c>
      <c r="B121" s="22" t="s">
        <v>15</v>
      </c>
      <c r="C121" s="22" t="s">
        <v>291</v>
      </c>
      <c r="D121" s="23" t="s">
        <v>294</v>
      </c>
      <c r="E121" s="24" t="str">
        <f t="shared" si="6"/>
        <v>M1110681E001</v>
      </c>
      <c r="F121" s="13">
        <v>44216</v>
      </c>
      <c r="G121" s="13">
        <f t="shared" si="11"/>
        <v>44223</v>
      </c>
      <c r="H121" s="7">
        <f t="shared" ca="1" si="7"/>
        <v>-880</v>
      </c>
      <c r="I121" s="8">
        <v>44223</v>
      </c>
      <c r="J121" s="9">
        <f t="shared" ca="1" si="8"/>
        <v>0</v>
      </c>
      <c r="K121" s="10"/>
      <c r="L121" s="10" t="str">
        <f t="shared" si="9"/>
        <v>Accepted</v>
      </c>
      <c r="M121" s="11">
        <v>0</v>
      </c>
      <c r="N121" s="10" t="s">
        <v>30</v>
      </c>
      <c r="O121" s="42">
        <f t="shared" si="10"/>
        <v>25000</v>
      </c>
      <c r="P121" s="10" t="s">
        <v>19</v>
      </c>
    </row>
    <row r="122" spans="1:16" s="22" customFormat="1" ht="14.25" customHeight="1" x14ac:dyDescent="0.25">
      <c r="A122" s="5" t="s">
        <v>313</v>
      </c>
      <c r="B122" s="22" t="s">
        <v>15</v>
      </c>
      <c r="C122" s="22" t="s">
        <v>314</v>
      </c>
      <c r="D122" s="23" t="s">
        <v>315</v>
      </c>
      <c r="E122" s="24" t="str">
        <f t="shared" si="6"/>
        <v>M2901431P033</v>
      </c>
      <c r="F122" s="13">
        <v>44218</v>
      </c>
      <c r="G122" s="13">
        <f t="shared" si="11"/>
        <v>44225</v>
      </c>
      <c r="H122" s="7">
        <f t="shared" ca="1" si="7"/>
        <v>-878</v>
      </c>
      <c r="I122" s="8">
        <v>44223</v>
      </c>
      <c r="J122" s="9">
        <f t="shared" ca="1" si="8"/>
        <v>0</v>
      </c>
      <c r="K122" s="10"/>
      <c r="L122" s="10" t="str">
        <f t="shared" si="9"/>
        <v>Accepted</v>
      </c>
      <c r="M122" s="11">
        <v>0</v>
      </c>
      <c r="N122" s="10" t="s">
        <v>30</v>
      </c>
      <c r="O122" s="42">
        <f t="shared" si="10"/>
        <v>25000</v>
      </c>
      <c r="P122" s="10" t="s">
        <v>19</v>
      </c>
    </row>
    <row r="123" spans="1:16" s="22" customFormat="1" ht="14.25" customHeight="1" x14ac:dyDescent="0.25">
      <c r="A123" s="5" t="s">
        <v>316</v>
      </c>
      <c r="B123" s="22" t="s">
        <v>15</v>
      </c>
      <c r="C123" s="22" t="s">
        <v>314</v>
      </c>
      <c r="D123" s="23" t="s">
        <v>317</v>
      </c>
      <c r="E123" s="24" t="str">
        <f t="shared" si="6"/>
        <v>M2901431P034</v>
      </c>
      <c r="F123" s="13">
        <v>44218</v>
      </c>
      <c r="G123" s="13">
        <f t="shared" si="11"/>
        <v>44225</v>
      </c>
      <c r="H123" s="7">
        <f t="shared" ca="1" si="7"/>
        <v>-878</v>
      </c>
      <c r="I123" s="8">
        <v>44223</v>
      </c>
      <c r="J123" s="9">
        <f t="shared" ca="1" si="8"/>
        <v>0</v>
      </c>
      <c r="K123" s="10"/>
      <c r="L123" s="10" t="str">
        <f t="shared" si="9"/>
        <v>Accepted</v>
      </c>
      <c r="M123" s="11">
        <v>1</v>
      </c>
      <c r="N123" s="10" t="s">
        <v>18</v>
      </c>
      <c r="O123" s="42">
        <f t="shared" si="10"/>
        <v>20000</v>
      </c>
      <c r="P123" s="10" t="s">
        <v>19</v>
      </c>
    </row>
    <row r="124" spans="1:16" s="22" customFormat="1" ht="14.25" customHeight="1" x14ac:dyDescent="0.25">
      <c r="A124" s="5" t="s">
        <v>320</v>
      </c>
      <c r="B124" s="22" t="s">
        <v>15</v>
      </c>
      <c r="C124" s="22" t="s">
        <v>321</v>
      </c>
      <c r="D124" s="23" t="s">
        <v>322</v>
      </c>
      <c r="E124" s="24" t="str">
        <f t="shared" si="6"/>
        <v>M2902691P035</v>
      </c>
      <c r="F124" s="13">
        <v>44218</v>
      </c>
      <c r="G124" s="13">
        <f t="shared" si="11"/>
        <v>44225</v>
      </c>
      <c r="H124" s="7">
        <f t="shared" ca="1" si="7"/>
        <v>-878</v>
      </c>
      <c r="I124" s="8">
        <v>44223</v>
      </c>
      <c r="J124" s="9">
        <f t="shared" ca="1" si="8"/>
        <v>0</v>
      </c>
      <c r="K124" s="10"/>
      <c r="L124" s="10" t="str">
        <f t="shared" si="9"/>
        <v>Accepted</v>
      </c>
      <c r="M124" s="11">
        <v>0</v>
      </c>
      <c r="N124" s="10" t="s">
        <v>30</v>
      </c>
      <c r="O124" s="42">
        <f t="shared" si="10"/>
        <v>25000</v>
      </c>
      <c r="P124" s="10" t="s">
        <v>19</v>
      </c>
    </row>
    <row r="125" spans="1:16" s="22" customFormat="1" ht="14.25" customHeight="1" x14ac:dyDescent="0.25">
      <c r="A125" s="5" t="s">
        <v>323</v>
      </c>
      <c r="B125" s="22" t="s">
        <v>15</v>
      </c>
      <c r="C125" s="22" t="s">
        <v>321</v>
      </c>
      <c r="D125" s="23" t="s">
        <v>324</v>
      </c>
      <c r="E125" s="24" t="str">
        <f t="shared" si="6"/>
        <v>M2902691P036</v>
      </c>
      <c r="F125" s="13">
        <v>44218</v>
      </c>
      <c r="G125" s="13">
        <f t="shared" si="11"/>
        <v>44225</v>
      </c>
      <c r="H125" s="7">
        <f t="shared" ca="1" si="7"/>
        <v>-878</v>
      </c>
      <c r="I125" s="8">
        <v>44223</v>
      </c>
      <c r="J125" s="9">
        <f t="shared" ca="1" si="8"/>
        <v>0</v>
      </c>
      <c r="K125" s="10"/>
      <c r="L125" s="10" t="str">
        <f t="shared" si="9"/>
        <v>Accepted</v>
      </c>
      <c r="M125" s="11">
        <v>0</v>
      </c>
      <c r="N125" s="10" t="s">
        <v>30</v>
      </c>
      <c r="O125" s="42">
        <f t="shared" si="10"/>
        <v>25000</v>
      </c>
      <c r="P125" s="10" t="s">
        <v>19</v>
      </c>
    </row>
    <row r="126" spans="1:16" s="22" customFormat="1" ht="14.25" customHeight="1" x14ac:dyDescent="0.25">
      <c r="A126" s="5" t="s">
        <v>325</v>
      </c>
      <c r="B126" s="22" t="s">
        <v>15</v>
      </c>
      <c r="C126" s="22" t="s">
        <v>321</v>
      </c>
      <c r="D126" s="23" t="s">
        <v>326</v>
      </c>
      <c r="E126" s="24" t="str">
        <f t="shared" si="6"/>
        <v>M2902691P037</v>
      </c>
      <c r="F126" s="13">
        <v>44218</v>
      </c>
      <c r="G126" s="13">
        <f t="shared" si="11"/>
        <v>44225</v>
      </c>
      <c r="H126" s="7">
        <f t="shared" ca="1" si="7"/>
        <v>-878</v>
      </c>
      <c r="I126" s="8">
        <v>44223</v>
      </c>
      <c r="J126" s="9">
        <f t="shared" ca="1" si="8"/>
        <v>0</v>
      </c>
      <c r="K126" s="10"/>
      <c r="L126" s="10" t="str">
        <f t="shared" si="9"/>
        <v>Accepted</v>
      </c>
      <c r="M126" s="11">
        <v>0</v>
      </c>
      <c r="N126" s="10" t="s">
        <v>18</v>
      </c>
      <c r="O126" s="42">
        <f t="shared" si="10"/>
        <v>20000</v>
      </c>
      <c r="P126" s="10" t="s">
        <v>19</v>
      </c>
    </row>
    <row r="127" spans="1:16" s="22" customFormat="1" ht="14.25" customHeight="1" x14ac:dyDescent="0.25">
      <c r="A127" s="5" t="s">
        <v>223</v>
      </c>
      <c r="B127" s="22" t="s">
        <v>15</v>
      </c>
      <c r="C127" s="22" t="s">
        <v>2465</v>
      </c>
      <c r="D127" s="23" t="s">
        <v>224</v>
      </c>
      <c r="E127" s="24" t="str">
        <f t="shared" si="6"/>
        <v>B0053924P006</v>
      </c>
      <c r="F127" s="6">
        <v>44187</v>
      </c>
      <c r="G127" s="13">
        <f t="shared" si="11"/>
        <v>44194</v>
      </c>
      <c r="H127" s="7">
        <f t="shared" ca="1" si="7"/>
        <v>-909</v>
      </c>
      <c r="I127" s="8">
        <v>44225</v>
      </c>
      <c r="J127" s="9">
        <f t="shared" ca="1" si="8"/>
        <v>0</v>
      </c>
      <c r="K127" s="10"/>
      <c r="L127" s="10" t="str">
        <f t="shared" si="9"/>
        <v>Accepted</v>
      </c>
      <c r="M127" s="11">
        <v>0</v>
      </c>
      <c r="N127" s="10" t="s">
        <v>18</v>
      </c>
      <c r="O127" s="42">
        <f t="shared" si="10"/>
        <v>20000</v>
      </c>
      <c r="P127" s="10" t="s">
        <v>19</v>
      </c>
    </row>
    <row r="128" spans="1:16" s="22" customFormat="1" ht="14.25" customHeight="1" x14ac:dyDescent="0.25">
      <c r="A128" s="5" t="s">
        <v>282</v>
      </c>
      <c r="B128" s="22" t="s">
        <v>15</v>
      </c>
      <c r="C128" s="22" t="s">
        <v>238</v>
      </c>
      <c r="D128" s="23" t="s">
        <v>283</v>
      </c>
      <c r="E128" s="24" t="str">
        <f t="shared" si="6"/>
        <v>M2790672E003</v>
      </c>
      <c r="F128" s="13">
        <v>44216</v>
      </c>
      <c r="G128" s="13">
        <f t="shared" si="11"/>
        <v>44223</v>
      </c>
      <c r="H128" s="7">
        <f t="shared" ca="1" si="7"/>
        <v>-880</v>
      </c>
      <c r="I128" s="8">
        <v>44225</v>
      </c>
      <c r="J128" s="9">
        <f t="shared" ca="1" si="8"/>
        <v>0</v>
      </c>
      <c r="K128" s="10"/>
      <c r="L128" s="10" t="str">
        <f t="shared" si="9"/>
        <v>Accepted</v>
      </c>
      <c r="M128" s="11">
        <v>0</v>
      </c>
      <c r="N128" s="10" t="s">
        <v>18</v>
      </c>
      <c r="O128" s="42">
        <f t="shared" si="10"/>
        <v>20000</v>
      </c>
      <c r="P128" s="10" t="s">
        <v>19</v>
      </c>
    </row>
    <row r="129" spans="1:16" s="22" customFormat="1" ht="14.25" customHeight="1" x14ac:dyDescent="0.25">
      <c r="A129" s="5" t="s">
        <v>284</v>
      </c>
      <c r="B129" s="22" t="s">
        <v>15</v>
      </c>
      <c r="C129" s="22" t="s">
        <v>257</v>
      </c>
      <c r="D129" s="23" t="s">
        <v>285</v>
      </c>
      <c r="E129" s="24" t="str">
        <f t="shared" si="6"/>
        <v>M2622461P004</v>
      </c>
      <c r="F129" s="13">
        <v>44216</v>
      </c>
      <c r="G129" s="13">
        <f t="shared" si="11"/>
        <v>44223</v>
      </c>
      <c r="H129" s="7">
        <f t="shared" ca="1" si="7"/>
        <v>-880</v>
      </c>
      <c r="I129" s="8">
        <v>44225</v>
      </c>
      <c r="J129" s="9">
        <f t="shared" ca="1" si="8"/>
        <v>0</v>
      </c>
      <c r="K129" s="10"/>
      <c r="L129" s="10" t="str">
        <f t="shared" si="9"/>
        <v>Accepted</v>
      </c>
      <c r="M129" s="11">
        <v>0</v>
      </c>
      <c r="N129" s="10" t="s">
        <v>18</v>
      </c>
      <c r="O129" s="42">
        <f t="shared" si="10"/>
        <v>20000</v>
      </c>
      <c r="P129" s="10" t="s">
        <v>19</v>
      </c>
    </row>
    <row r="130" spans="1:16" s="22" customFormat="1" ht="14.25" customHeight="1" x14ac:dyDescent="0.25">
      <c r="A130" s="5" t="s">
        <v>286</v>
      </c>
      <c r="B130" s="22" t="s">
        <v>15</v>
      </c>
      <c r="C130" s="22" t="s">
        <v>257</v>
      </c>
      <c r="D130" s="23" t="s">
        <v>287</v>
      </c>
      <c r="E130" s="24" t="str">
        <f t="shared" ref="E130:E193" si="12">HYPERLINK(D130,A130)</f>
        <v>M2622481P021</v>
      </c>
      <c r="F130" s="13">
        <v>44216</v>
      </c>
      <c r="G130" s="13">
        <f t="shared" si="11"/>
        <v>44223</v>
      </c>
      <c r="H130" s="7">
        <f t="shared" ref="H130:H193" ca="1" si="13">G130-TODAY()</f>
        <v>-880</v>
      </c>
      <c r="I130" s="8">
        <v>44225</v>
      </c>
      <c r="J130" s="9">
        <f t="shared" ref="J130:J193" ca="1" si="14">IF(L130="Accepted",0,TODAY()-F130)</f>
        <v>0</v>
      </c>
      <c r="K130" s="10"/>
      <c r="L130" s="10" t="str">
        <f t="shared" ref="L130:L193" si="15">IF(AND(NOT(ISBLANK(I130)), ISBLANK(K130)),"Accepted", IF(AND(ISBLANK(I130),ISBLANK(K130)),"Not Submitted", "Rejected"))</f>
        <v>Accepted</v>
      </c>
      <c r="M130" s="11">
        <v>0</v>
      </c>
      <c r="N130" s="10" t="s">
        <v>18</v>
      </c>
      <c r="O130" s="42">
        <f t="shared" ref="O130:O193" si="16">IF(AND(L130="Accepted",B130="SMA",N130="no"),20000,
IF(AND(L130="Accepted",OR(B130="SMP",B130="SD"),N130="no"),15000,
IF(AND(L130="Accepted",B130="SMA",N130="yes"),25000,
IF(AND(L130="Accepted",OR(B130="SMP",B130="SD"),N130="yes"),18000,
0))))</f>
        <v>20000</v>
      </c>
      <c r="P130" s="10" t="s">
        <v>19</v>
      </c>
    </row>
    <row r="131" spans="1:16" s="22" customFormat="1" ht="14.25" customHeight="1" x14ac:dyDescent="0.25">
      <c r="A131" s="5" t="s">
        <v>288</v>
      </c>
      <c r="B131" s="22" t="s">
        <v>15</v>
      </c>
      <c r="C131" s="22" t="s">
        <v>257</v>
      </c>
      <c r="D131" s="23" t="s">
        <v>289</v>
      </c>
      <c r="E131" s="24" t="str">
        <f t="shared" si="12"/>
        <v>M2622482E003</v>
      </c>
      <c r="F131" s="13">
        <v>44216</v>
      </c>
      <c r="G131" s="13">
        <f t="shared" si="11"/>
        <v>44223</v>
      </c>
      <c r="H131" s="7">
        <f t="shared" ca="1" si="13"/>
        <v>-880</v>
      </c>
      <c r="I131" s="8">
        <v>44225</v>
      </c>
      <c r="J131" s="9">
        <f t="shared" ca="1" si="14"/>
        <v>0</v>
      </c>
      <c r="K131" s="10"/>
      <c r="L131" s="10" t="str">
        <f t="shared" si="15"/>
        <v>Accepted</v>
      </c>
      <c r="M131" s="11">
        <v>0</v>
      </c>
      <c r="N131" s="10" t="s">
        <v>18</v>
      </c>
      <c r="O131" s="42">
        <f t="shared" si="16"/>
        <v>20000</v>
      </c>
      <c r="P131" s="10" t="s">
        <v>19</v>
      </c>
    </row>
    <row r="132" spans="1:16" s="22" customFormat="1" ht="14.25" customHeight="1" x14ac:dyDescent="0.25">
      <c r="A132" s="5" t="s">
        <v>297</v>
      </c>
      <c r="B132" s="22" t="s">
        <v>15</v>
      </c>
      <c r="C132" s="22" t="s">
        <v>262</v>
      </c>
      <c r="D132" s="23" t="s">
        <v>298</v>
      </c>
      <c r="E132" s="24" t="str">
        <f t="shared" si="12"/>
        <v>M2900811P050</v>
      </c>
      <c r="F132" s="13">
        <v>44218</v>
      </c>
      <c r="G132" s="13">
        <f t="shared" si="11"/>
        <v>44225</v>
      </c>
      <c r="H132" s="7">
        <f t="shared" ca="1" si="13"/>
        <v>-878</v>
      </c>
      <c r="I132" s="8">
        <v>44225</v>
      </c>
      <c r="J132" s="9">
        <f t="shared" ca="1" si="14"/>
        <v>0</v>
      </c>
      <c r="K132" s="10"/>
      <c r="L132" s="10" t="str">
        <f t="shared" si="15"/>
        <v>Accepted</v>
      </c>
      <c r="M132" s="11">
        <v>0</v>
      </c>
      <c r="N132" s="10" t="s">
        <v>18</v>
      </c>
      <c r="O132" s="42">
        <f t="shared" si="16"/>
        <v>20000</v>
      </c>
      <c r="P132" s="10" t="s">
        <v>19</v>
      </c>
    </row>
    <row r="133" spans="1:16" s="22" customFormat="1" ht="14.25" customHeight="1" x14ac:dyDescent="0.25">
      <c r="A133" s="5" t="s">
        <v>299</v>
      </c>
      <c r="B133" s="22" t="s">
        <v>15</v>
      </c>
      <c r="C133" s="22" t="s">
        <v>262</v>
      </c>
      <c r="D133" s="23" t="s">
        <v>300</v>
      </c>
      <c r="E133" s="24" t="str">
        <f t="shared" si="12"/>
        <v>M2900811P052</v>
      </c>
      <c r="F133" s="13">
        <v>44218</v>
      </c>
      <c r="G133" s="13">
        <f t="shared" ref="G133:G196" si="17">F133+7</f>
        <v>44225</v>
      </c>
      <c r="H133" s="7">
        <f t="shared" ca="1" si="13"/>
        <v>-878</v>
      </c>
      <c r="I133" s="8">
        <v>44225</v>
      </c>
      <c r="J133" s="9">
        <f t="shared" ca="1" si="14"/>
        <v>0</v>
      </c>
      <c r="K133" s="10"/>
      <c r="L133" s="10" t="str">
        <f t="shared" si="15"/>
        <v>Accepted</v>
      </c>
      <c r="M133" s="11">
        <v>0</v>
      </c>
      <c r="N133" s="10" t="s">
        <v>18</v>
      </c>
      <c r="O133" s="42">
        <f t="shared" si="16"/>
        <v>20000</v>
      </c>
      <c r="P133" s="10" t="s">
        <v>19</v>
      </c>
    </row>
    <row r="134" spans="1:16" s="22" customFormat="1" ht="14.25" customHeight="1" x14ac:dyDescent="0.25">
      <c r="A134" s="5" t="s">
        <v>301</v>
      </c>
      <c r="B134" s="22" t="s">
        <v>15</v>
      </c>
      <c r="C134" s="22" t="s">
        <v>262</v>
      </c>
      <c r="D134" s="23" t="s">
        <v>302</v>
      </c>
      <c r="E134" s="24" t="str">
        <f t="shared" si="12"/>
        <v>M2900871P100</v>
      </c>
      <c r="F134" s="13">
        <v>44218</v>
      </c>
      <c r="G134" s="13">
        <f t="shared" si="17"/>
        <v>44225</v>
      </c>
      <c r="H134" s="7">
        <f t="shared" ca="1" si="13"/>
        <v>-878</v>
      </c>
      <c r="I134" s="8">
        <v>44225</v>
      </c>
      <c r="J134" s="9">
        <f t="shared" ca="1" si="14"/>
        <v>0</v>
      </c>
      <c r="K134" s="10"/>
      <c r="L134" s="10" t="str">
        <f t="shared" si="15"/>
        <v>Accepted</v>
      </c>
      <c r="M134" s="11">
        <v>0</v>
      </c>
      <c r="N134" s="10" t="s">
        <v>30</v>
      </c>
      <c r="O134" s="42">
        <f t="shared" si="16"/>
        <v>25000</v>
      </c>
      <c r="P134" s="10" t="s">
        <v>19</v>
      </c>
    </row>
    <row r="135" spans="1:16" s="22" customFormat="1" ht="14.25" customHeight="1" x14ac:dyDescent="0.25">
      <c r="A135" s="5" t="s">
        <v>303</v>
      </c>
      <c r="B135" s="22" t="s">
        <v>15</v>
      </c>
      <c r="C135" s="22" t="s">
        <v>262</v>
      </c>
      <c r="D135" s="23" t="s">
        <v>304</v>
      </c>
      <c r="E135" s="24" t="str">
        <f t="shared" si="12"/>
        <v>M2900871P101</v>
      </c>
      <c r="F135" s="13">
        <v>44218</v>
      </c>
      <c r="G135" s="13">
        <f t="shared" si="17"/>
        <v>44225</v>
      </c>
      <c r="H135" s="7">
        <f t="shared" ca="1" si="13"/>
        <v>-878</v>
      </c>
      <c r="I135" s="8">
        <v>44225</v>
      </c>
      <c r="J135" s="9">
        <f t="shared" ca="1" si="14"/>
        <v>0</v>
      </c>
      <c r="K135" s="10"/>
      <c r="L135" s="10" t="str">
        <f t="shared" si="15"/>
        <v>Accepted</v>
      </c>
      <c r="M135" s="11">
        <v>0</v>
      </c>
      <c r="N135" s="10" t="s">
        <v>18</v>
      </c>
      <c r="O135" s="42">
        <f t="shared" si="16"/>
        <v>20000</v>
      </c>
      <c r="P135" s="10" t="s">
        <v>19</v>
      </c>
    </row>
    <row r="136" spans="1:16" s="22" customFormat="1" ht="14.25" customHeight="1" x14ac:dyDescent="0.25">
      <c r="A136" s="5" t="s">
        <v>305</v>
      </c>
      <c r="B136" s="22" t="s">
        <v>15</v>
      </c>
      <c r="C136" s="22" t="s">
        <v>262</v>
      </c>
      <c r="D136" s="23" t="s">
        <v>306</v>
      </c>
      <c r="E136" s="24" t="str">
        <f t="shared" si="12"/>
        <v>M2900871P102</v>
      </c>
      <c r="F136" s="13">
        <v>44218</v>
      </c>
      <c r="G136" s="13">
        <f t="shared" si="17"/>
        <v>44225</v>
      </c>
      <c r="H136" s="7">
        <f t="shared" ca="1" si="13"/>
        <v>-878</v>
      </c>
      <c r="I136" s="8">
        <v>44225</v>
      </c>
      <c r="J136" s="9">
        <f t="shared" ca="1" si="14"/>
        <v>0</v>
      </c>
      <c r="K136" s="10"/>
      <c r="L136" s="10" t="str">
        <f t="shared" si="15"/>
        <v>Accepted</v>
      </c>
      <c r="M136" s="11">
        <v>0</v>
      </c>
      <c r="N136" s="10" t="s">
        <v>18</v>
      </c>
      <c r="O136" s="42">
        <f t="shared" si="16"/>
        <v>20000</v>
      </c>
      <c r="P136" s="10" t="s">
        <v>19</v>
      </c>
    </row>
    <row r="137" spans="1:16" s="22" customFormat="1" ht="14.25" customHeight="1" x14ac:dyDescent="0.25">
      <c r="A137" s="5" t="s">
        <v>307</v>
      </c>
      <c r="B137" s="22" t="s">
        <v>15</v>
      </c>
      <c r="C137" s="22" t="s">
        <v>238</v>
      </c>
      <c r="D137" s="23" t="s">
        <v>308</v>
      </c>
      <c r="E137" s="24" t="str">
        <f t="shared" si="12"/>
        <v>M2901171P062</v>
      </c>
      <c r="F137" s="13">
        <v>44218</v>
      </c>
      <c r="G137" s="13">
        <f t="shared" si="17"/>
        <v>44225</v>
      </c>
      <c r="H137" s="7">
        <f t="shared" ca="1" si="13"/>
        <v>-878</v>
      </c>
      <c r="I137" s="8">
        <v>44225</v>
      </c>
      <c r="J137" s="9">
        <f t="shared" ca="1" si="14"/>
        <v>0</v>
      </c>
      <c r="K137" s="10"/>
      <c r="L137" s="10" t="str">
        <f t="shared" si="15"/>
        <v>Accepted</v>
      </c>
      <c r="M137" s="11">
        <v>0</v>
      </c>
      <c r="N137" s="10" t="s">
        <v>18</v>
      </c>
      <c r="O137" s="42">
        <f t="shared" si="16"/>
        <v>20000</v>
      </c>
      <c r="P137" s="10" t="s">
        <v>19</v>
      </c>
    </row>
    <row r="138" spans="1:16" s="22" customFormat="1" ht="14.25" customHeight="1" x14ac:dyDescent="0.25">
      <c r="A138" s="5" t="s">
        <v>309</v>
      </c>
      <c r="B138" s="22" t="s">
        <v>15</v>
      </c>
      <c r="C138" s="22" t="s">
        <v>238</v>
      </c>
      <c r="D138" s="23" t="s">
        <v>310</v>
      </c>
      <c r="E138" s="24" t="str">
        <f t="shared" si="12"/>
        <v>M2901181P063</v>
      </c>
      <c r="F138" s="13">
        <v>44218</v>
      </c>
      <c r="G138" s="13">
        <f t="shared" si="17"/>
        <v>44225</v>
      </c>
      <c r="H138" s="7">
        <f t="shared" ca="1" si="13"/>
        <v>-878</v>
      </c>
      <c r="I138" s="8">
        <v>44225</v>
      </c>
      <c r="J138" s="9">
        <f t="shared" ca="1" si="14"/>
        <v>0</v>
      </c>
      <c r="K138" s="10"/>
      <c r="L138" s="10" t="str">
        <f t="shared" si="15"/>
        <v>Accepted</v>
      </c>
      <c r="M138" s="11">
        <v>0</v>
      </c>
      <c r="N138" s="10" t="s">
        <v>18</v>
      </c>
      <c r="O138" s="42">
        <f t="shared" si="16"/>
        <v>20000</v>
      </c>
      <c r="P138" s="10" t="s">
        <v>19</v>
      </c>
    </row>
    <row r="139" spans="1:16" s="22" customFormat="1" ht="14.25" customHeight="1" x14ac:dyDescent="0.25">
      <c r="A139" s="5" t="s">
        <v>311</v>
      </c>
      <c r="B139" s="22" t="s">
        <v>15</v>
      </c>
      <c r="C139" s="22" t="s">
        <v>238</v>
      </c>
      <c r="D139" s="23" t="s">
        <v>312</v>
      </c>
      <c r="E139" s="24" t="str">
        <f t="shared" si="12"/>
        <v>M2901181P064</v>
      </c>
      <c r="F139" s="13">
        <v>44218</v>
      </c>
      <c r="G139" s="13">
        <f t="shared" si="17"/>
        <v>44225</v>
      </c>
      <c r="H139" s="7">
        <f t="shared" ca="1" si="13"/>
        <v>-878</v>
      </c>
      <c r="I139" s="8">
        <v>44225</v>
      </c>
      <c r="J139" s="9">
        <f t="shared" ca="1" si="14"/>
        <v>0</v>
      </c>
      <c r="K139" s="10"/>
      <c r="L139" s="10" t="str">
        <f t="shared" si="15"/>
        <v>Accepted</v>
      </c>
      <c r="M139" s="11">
        <v>0</v>
      </c>
      <c r="N139" s="10" t="s">
        <v>18</v>
      </c>
      <c r="O139" s="42">
        <f t="shared" si="16"/>
        <v>20000</v>
      </c>
      <c r="P139" s="10" t="s">
        <v>19</v>
      </c>
    </row>
    <row r="140" spans="1:16" s="22" customFormat="1" ht="14.25" customHeight="1" x14ac:dyDescent="0.25">
      <c r="A140" s="5" t="s">
        <v>318</v>
      </c>
      <c r="B140" s="22" t="s">
        <v>15</v>
      </c>
      <c r="C140" s="22" t="s">
        <v>314</v>
      </c>
      <c r="D140" s="23" t="s">
        <v>319</v>
      </c>
      <c r="E140" s="24" t="str">
        <f t="shared" si="12"/>
        <v>M2901431P035</v>
      </c>
      <c r="F140" s="13">
        <v>44218</v>
      </c>
      <c r="G140" s="13">
        <f t="shared" si="17"/>
        <v>44225</v>
      </c>
      <c r="H140" s="7">
        <f t="shared" ca="1" si="13"/>
        <v>-878</v>
      </c>
      <c r="I140" s="8">
        <v>44225</v>
      </c>
      <c r="J140" s="9">
        <f t="shared" ca="1" si="14"/>
        <v>0</v>
      </c>
      <c r="K140" s="10"/>
      <c r="L140" s="10" t="str">
        <f t="shared" si="15"/>
        <v>Accepted</v>
      </c>
      <c r="M140" s="11">
        <v>1</v>
      </c>
      <c r="N140" s="10" t="s">
        <v>30</v>
      </c>
      <c r="O140" s="42">
        <f t="shared" si="16"/>
        <v>25000</v>
      </c>
      <c r="P140" s="10" t="s">
        <v>19</v>
      </c>
    </row>
    <row r="141" spans="1:16" s="22" customFormat="1" ht="14.25" customHeight="1" x14ac:dyDescent="0.25">
      <c r="A141" s="5" t="s">
        <v>327</v>
      </c>
      <c r="B141" s="22" t="s">
        <v>15</v>
      </c>
      <c r="C141" s="22" t="s">
        <v>2464</v>
      </c>
      <c r="D141" s="23" t="s">
        <v>328</v>
      </c>
      <c r="E141" s="24" t="str">
        <f t="shared" si="12"/>
        <v>M3130501P013</v>
      </c>
      <c r="F141" s="13">
        <v>44225</v>
      </c>
      <c r="G141" s="13">
        <f t="shared" si="17"/>
        <v>44232</v>
      </c>
      <c r="H141" s="7">
        <f t="shared" ca="1" si="13"/>
        <v>-871</v>
      </c>
      <c r="I141" s="8">
        <v>44228</v>
      </c>
      <c r="J141" s="9">
        <f t="shared" ca="1" si="14"/>
        <v>0</v>
      </c>
      <c r="K141" s="10"/>
      <c r="L141" s="10" t="str">
        <f t="shared" si="15"/>
        <v>Accepted</v>
      </c>
      <c r="M141" s="11">
        <v>0</v>
      </c>
      <c r="N141" s="10" t="s">
        <v>30</v>
      </c>
      <c r="O141" s="42">
        <f t="shared" si="16"/>
        <v>25000</v>
      </c>
      <c r="P141" s="10" t="s">
        <v>19</v>
      </c>
    </row>
    <row r="142" spans="1:16" s="22" customFormat="1" ht="14.25" customHeight="1" x14ac:dyDescent="0.25">
      <c r="A142" s="5" t="s">
        <v>329</v>
      </c>
      <c r="B142" s="22" t="s">
        <v>15</v>
      </c>
      <c r="C142" s="22" t="s">
        <v>330</v>
      </c>
      <c r="D142" s="23" t="s">
        <v>331</v>
      </c>
      <c r="E142" s="24" t="str">
        <f t="shared" si="12"/>
        <v>M2380751E008</v>
      </c>
      <c r="F142" s="13">
        <v>44225</v>
      </c>
      <c r="G142" s="13">
        <f t="shared" si="17"/>
        <v>44232</v>
      </c>
      <c r="H142" s="7">
        <f t="shared" ca="1" si="13"/>
        <v>-871</v>
      </c>
      <c r="I142" s="8">
        <v>44228</v>
      </c>
      <c r="J142" s="9">
        <f t="shared" ca="1" si="14"/>
        <v>0</v>
      </c>
      <c r="K142" s="10"/>
      <c r="L142" s="10" t="str">
        <f t="shared" si="15"/>
        <v>Accepted</v>
      </c>
      <c r="M142" s="11">
        <v>0</v>
      </c>
      <c r="N142" s="10" t="s">
        <v>30</v>
      </c>
      <c r="O142" s="42">
        <f t="shared" si="16"/>
        <v>25000</v>
      </c>
      <c r="P142" s="10" t="s">
        <v>19</v>
      </c>
    </row>
    <row r="143" spans="1:16" s="22" customFormat="1" ht="14.25" customHeight="1" x14ac:dyDescent="0.25">
      <c r="A143" s="5" t="s">
        <v>332</v>
      </c>
      <c r="B143" s="22" t="s">
        <v>15</v>
      </c>
      <c r="C143" s="22" t="s">
        <v>2458</v>
      </c>
      <c r="D143" s="23" t="s">
        <v>333</v>
      </c>
      <c r="E143" s="24" t="str">
        <f t="shared" si="12"/>
        <v>M2960021P005</v>
      </c>
      <c r="F143" s="13">
        <v>44225</v>
      </c>
      <c r="G143" s="13">
        <f t="shared" si="17"/>
        <v>44232</v>
      </c>
      <c r="H143" s="7">
        <f t="shared" ca="1" si="13"/>
        <v>-871</v>
      </c>
      <c r="I143" s="8">
        <v>44228</v>
      </c>
      <c r="J143" s="9">
        <f t="shared" ca="1" si="14"/>
        <v>0</v>
      </c>
      <c r="K143" s="10"/>
      <c r="L143" s="10" t="str">
        <f t="shared" si="15"/>
        <v>Accepted</v>
      </c>
      <c r="M143" s="11">
        <v>0</v>
      </c>
      <c r="N143" s="10" t="s">
        <v>18</v>
      </c>
      <c r="O143" s="42">
        <f t="shared" si="16"/>
        <v>20000</v>
      </c>
      <c r="P143" s="10" t="s">
        <v>19</v>
      </c>
    </row>
    <row r="144" spans="1:16" s="22" customFormat="1" ht="14.25" customHeight="1" x14ac:dyDescent="0.25">
      <c r="A144" s="5" t="s">
        <v>334</v>
      </c>
      <c r="B144" s="22" t="s">
        <v>15</v>
      </c>
      <c r="C144" s="22" t="s">
        <v>257</v>
      </c>
      <c r="D144" s="23" t="s">
        <v>335</v>
      </c>
      <c r="E144" s="24" t="str">
        <f t="shared" si="12"/>
        <v>M0430842E001</v>
      </c>
      <c r="F144" s="13">
        <v>44225</v>
      </c>
      <c r="G144" s="13">
        <f t="shared" si="17"/>
        <v>44232</v>
      </c>
      <c r="H144" s="7">
        <f t="shared" ca="1" si="13"/>
        <v>-871</v>
      </c>
      <c r="I144" s="8">
        <v>44228</v>
      </c>
      <c r="J144" s="9">
        <f t="shared" ca="1" si="14"/>
        <v>0</v>
      </c>
      <c r="K144" s="10"/>
      <c r="L144" s="10" t="str">
        <f t="shared" si="15"/>
        <v>Accepted</v>
      </c>
      <c r="M144" s="11">
        <v>0</v>
      </c>
      <c r="N144" s="10" t="s">
        <v>30</v>
      </c>
      <c r="O144" s="42">
        <f t="shared" si="16"/>
        <v>25000</v>
      </c>
      <c r="P144" s="10" t="s">
        <v>19</v>
      </c>
    </row>
    <row r="145" spans="1:16" s="22" customFormat="1" ht="14.25" customHeight="1" x14ac:dyDescent="0.25">
      <c r="A145" s="5" t="s">
        <v>336</v>
      </c>
      <c r="B145" s="22" t="s">
        <v>15</v>
      </c>
      <c r="C145" s="22" t="s">
        <v>337</v>
      </c>
      <c r="D145" s="23" t="s">
        <v>338</v>
      </c>
      <c r="E145" s="24" t="str">
        <f t="shared" si="12"/>
        <v>M2671031P006</v>
      </c>
      <c r="F145" s="13">
        <v>44230</v>
      </c>
      <c r="G145" s="13">
        <f t="shared" si="17"/>
        <v>44237</v>
      </c>
      <c r="H145" s="7">
        <f t="shared" ca="1" si="13"/>
        <v>-866</v>
      </c>
      <c r="I145" s="8">
        <v>44231</v>
      </c>
      <c r="J145" s="9">
        <f t="shared" ca="1" si="14"/>
        <v>0</v>
      </c>
      <c r="K145" s="10"/>
      <c r="L145" s="10" t="str">
        <f t="shared" si="15"/>
        <v>Accepted</v>
      </c>
      <c r="M145" s="11">
        <v>1</v>
      </c>
      <c r="N145" s="10" t="s">
        <v>30</v>
      </c>
      <c r="O145" s="42">
        <f t="shared" si="16"/>
        <v>25000</v>
      </c>
      <c r="P145" s="10" t="s">
        <v>19</v>
      </c>
    </row>
    <row r="146" spans="1:16" s="22" customFormat="1" ht="14.25" customHeight="1" x14ac:dyDescent="0.25">
      <c r="A146" s="5" t="s">
        <v>343</v>
      </c>
      <c r="B146" s="22" t="s">
        <v>15</v>
      </c>
      <c r="C146" s="22" t="s">
        <v>321</v>
      </c>
      <c r="D146" s="23" t="s">
        <v>344</v>
      </c>
      <c r="E146" s="24" t="str">
        <f t="shared" si="12"/>
        <v>B0101131c001</v>
      </c>
      <c r="F146" s="13">
        <v>44230</v>
      </c>
      <c r="G146" s="13">
        <f t="shared" si="17"/>
        <v>44237</v>
      </c>
      <c r="H146" s="7">
        <f t="shared" ca="1" si="13"/>
        <v>-866</v>
      </c>
      <c r="I146" s="8">
        <v>44231</v>
      </c>
      <c r="J146" s="9">
        <f t="shared" ca="1" si="14"/>
        <v>0</v>
      </c>
      <c r="K146" s="10"/>
      <c r="L146" s="10" t="str">
        <f t="shared" si="15"/>
        <v>Accepted</v>
      </c>
      <c r="M146" s="11">
        <v>0</v>
      </c>
      <c r="N146" s="10" t="s">
        <v>18</v>
      </c>
      <c r="O146" s="42">
        <f t="shared" si="16"/>
        <v>20000</v>
      </c>
      <c r="P146" s="10" t="s">
        <v>19</v>
      </c>
    </row>
    <row r="147" spans="1:16" s="22" customFormat="1" ht="14.25" customHeight="1" x14ac:dyDescent="0.25">
      <c r="A147" s="5" t="s">
        <v>345</v>
      </c>
      <c r="B147" s="22" t="s">
        <v>15</v>
      </c>
      <c r="C147" s="22" t="s">
        <v>337</v>
      </c>
      <c r="D147" s="23" t="s">
        <v>346</v>
      </c>
      <c r="E147" s="24" t="str">
        <f t="shared" si="12"/>
        <v>M2671861P002</v>
      </c>
      <c r="F147" s="13">
        <v>44230</v>
      </c>
      <c r="G147" s="13">
        <f t="shared" si="17"/>
        <v>44237</v>
      </c>
      <c r="H147" s="7">
        <f t="shared" ca="1" si="13"/>
        <v>-866</v>
      </c>
      <c r="I147" s="8">
        <v>44232</v>
      </c>
      <c r="J147" s="9">
        <f t="shared" ca="1" si="14"/>
        <v>0</v>
      </c>
      <c r="K147" s="10"/>
      <c r="L147" s="10" t="str">
        <f t="shared" si="15"/>
        <v>Accepted</v>
      </c>
      <c r="M147" s="11">
        <v>1</v>
      </c>
      <c r="N147" s="10" t="s">
        <v>30</v>
      </c>
      <c r="O147" s="42">
        <f t="shared" si="16"/>
        <v>25000</v>
      </c>
      <c r="P147" s="10" t="s">
        <v>19</v>
      </c>
    </row>
    <row r="148" spans="1:16" s="22" customFormat="1" ht="14.25" customHeight="1" x14ac:dyDescent="0.25">
      <c r="A148" s="5" t="s">
        <v>347</v>
      </c>
      <c r="B148" s="22" t="s">
        <v>15</v>
      </c>
      <c r="C148" s="22" t="s">
        <v>330</v>
      </c>
      <c r="D148" s="23" t="s">
        <v>348</v>
      </c>
      <c r="E148" s="24" t="str">
        <f t="shared" si="12"/>
        <v>M2870752E009</v>
      </c>
      <c r="F148" s="13">
        <v>44230</v>
      </c>
      <c r="G148" s="13">
        <f t="shared" si="17"/>
        <v>44237</v>
      </c>
      <c r="H148" s="7">
        <f t="shared" ca="1" si="13"/>
        <v>-866</v>
      </c>
      <c r="I148" s="8">
        <v>44232</v>
      </c>
      <c r="J148" s="9">
        <f t="shared" ca="1" si="14"/>
        <v>0</v>
      </c>
      <c r="K148" s="10"/>
      <c r="L148" s="10" t="str">
        <f t="shared" si="15"/>
        <v>Accepted</v>
      </c>
      <c r="M148" s="11">
        <v>2</v>
      </c>
      <c r="N148" s="10" t="s">
        <v>18</v>
      </c>
      <c r="O148" s="42">
        <f t="shared" si="16"/>
        <v>20000</v>
      </c>
      <c r="P148" s="10" t="s">
        <v>19</v>
      </c>
    </row>
    <row r="149" spans="1:16" s="22" customFormat="1" ht="14.25" customHeight="1" x14ac:dyDescent="0.25">
      <c r="A149" s="5" t="s">
        <v>362</v>
      </c>
      <c r="B149" s="22" t="s">
        <v>15</v>
      </c>
      <c r="C149" s="22" t="s">
        <v>358</v>
      </c>
      <c r="D149" s="23" t="s">
        <v>363</v>
      </c>
      <c r="E149" s="24" t="str">
        <f t="shared" si="12"/>
        <v>M2640401P065</v>
      </c>
      <c r="F149" s="13">
        <v>44232</v>
      </c>
      <c r="G149" s="13">
        <f t="shared" si="17"/>
        <v>44239</v>
      </c>
      <c r="H149" s="7">
        <f t="shared" ca="1" si="13"/>
        <v>-864</v>
      </c>
      <c r="I149" s="8">
        <v>44235</v>
      </c>
      <c r="J149" s="9">
        <f t="shared" ca="1" si="14"/>
        <v>0</v>
      </c>
      <c r="K149" s="10"/>
      <c r="L149" s="10" t="str">
        <f t="shared" si="15"/>
        <v>Accepted</v>
      </c>
      <c r="M149" s="11">
        <v>0</v>
      </c>
      <c r="N149" s="10" t="s">
        <v>18</v>
      </c>
      <c r="O149" s="42">
        <f t="shared" si="16"/>
        <v>20000</v>
      </c>
      <c r="P149" s="10" t="s">
        <v>19</v>
      </c>
    </row>
    <row r="150" spans="1:16" s="22" customFormat="1" ht="14.25" customHeight="1" x14ac:dyDescent="0.25">
      <c r="A150" s="5" t="s">
        <v>364</v>
      </c>
      <c r="B150" s="22" t="s">
        <v>15</v>
      </c>
      <c r="C150" s="22" t="s">
        <v>358</v>
      </c>
      <c r="D150" s="23" t="s">
        <v>365</v>
      </c>
      <c r="E150" s="24" t="str">
        <f t="shared" si="12"/>
        <v>M2640631P027</v>
      </c>
      <c r="F150" s="13">
        <v>44232</v>
      </c>
      <c r="G150" s="13">
        <f t="shared" si="17"/>
        <v>44239</v>
      </c>
      <c r="H150" s="7">
        <f t="shared" ca="1" si="13"/>
        <v>-864</v>
      </c>
      <c r="I150" s="8">
        <v>44235</v>
      </c>
      <c r="J150" s="9">
        <f t="shared" ca="1" si="14"/>
        <v>0</v>
      </c>
      <c r="K150" s="10"/>
      <c r="L150" s="10" t="str">
        <f t="shared" si="15"/>
        <v>Accepted</v>
      </c>
      <c r="M150" s="11">
        <v>0</v>
      </c>
      <c r="N150" s="10" t="s">
        <v>30</v>
      </c>
      <c r="O150" s="42">
        <f t="shared" si="16"/>
        <v>25000</v>
      </c>
      <c r="P150" s="10" t="s">
        <v>19</v>
      </c>
    </row>
    <row r="151" spans="1:16" s="22" customFormat="1" ht="14.25" customHeight="1" x14ac:dyDescent="0.25">
      <c r="A151" s="5" t="s">
        <v>379</v>
      </c>
      <c r="B151" s="22" t="s">
        <v>15</v>
      </c>
      <c r="C151" s="22" t="s">
        <v>2458</v>
      </c>
      <c r="D151" s="23" t="s">
        <v>380</v>
      </c>
      <c r="E151" s="24" t="str">
        <f t="shared" si="12"/>
        <v>M2651282E001</v>
      </c>
      <c r="F151" s="13">
        <v>44232</v>
      </c>
      <c r="G151" s="13">
        <f t="shared" si="17"/>
        <v>44239</v>
      </c>
      <c r="H151" s="7">
        <f t="shared" ca="1" si="13"/>
        <v>-864</v>
      </c>
      <c r="I151" s="8">
        <v>44236</v>
      </c>
      <c r="J151" s="9">
        <f t="shared" ca="1" si="14"/>
        <v>0</v>
      </c>
      <c r="K151" s="10"/>
      <c r="L151" s="10" t="str">
        <f t="shared" si="15"/>
        <v>Accepted</v>
      </c>
      <c r="M151" s="11">
        <v>0</v>
      </c>
      <c r="N151" s="10" t="s">
        <v>18</v>
      </c>
      <c r="O151" s="42">
        <f t="shared" si="16"/>
        <v>20000</v>
      </c>
      <c r="P151" s="10" t="s">
        <v>19</v>
      </c>
    </row>
    <row r="152" spans="1:16" s="22" customFormat="1" ht="14.25" customHeight="1" x14ac:dyDescent="0.25">
      <c r="A152" s="5" t="s">
        <v>383</v>
      </c>
      <c r="B152" s="22" t="s">
        <v>15</v>
      </c>
      <c r="C152" s="22" t="s">
        <v>291</v>
      </c>
      <c r="D152" s="23" t="s">
        <v>384</v>
      </c>
      <c r="E152" s="24" t="str">
        <f t="shared" si="12"/>
        <v>M2770601E001</v>
      </c>
      <c r="F152" s="13">
        <v>44232</v>
      </c>
      <c r="G152" s="13">
        <f t="shared" si="17"/>
        <v>44239</v>
      </c>
      <c r="H152" s="7">
        <f t="shared" ca="1" si="13"/>
        <v>-864</v>
      </c>
      <c r="I152" s="8">
        <v>44236</v>
      </c>
      <c r="J152" s="9">
        <f t="shared" ca="1" si="14"/>
        <v>0</v>
      </c>
      <c r="K152" s="17"/>
      <c r="L152" s="10" t="str">
        <f t="shared" si="15"/>
        <v>Accepted</v>
      </c>
      <c r="M152" s="11">
        <v>0</v>
      </c>
      <c r="N152" s="10" t="s">
        <v>30</v>
      </c>
      <c r="O152" s="42">
        <f t="shared" si="16"/>
        <v>25000</v>
      </c>
      <c r="P152" s="10" t="s">
        <v>19</v>
      </c>
    </row>
    <row r="153" spans="1:16" s="22" customFormat="1" ht="14.25" customHeight="1" x14ac:dyDescent="0.25">
      <c r="A153" s="5" t="s">
        <v>349</v>
      </c>
      <c r="B153" s="22" t="s">
        <v>15</v>
      </c>
      <c r="C153" s="22" t="s">
        <v>291</v>
      </c>
      <c r="D153" s="23" t="s">
        <v>350</v>
      </c>
      <c r="E153" s="24" t="str">
        <f t="shared" si="12"/>
        <v>M2780371E001</v>
      </c>
      <c r="F153" s="13">
        <v>44232</v>
      </c>
      <c r="G153" s="13">
        <f t="shared" si="17"/>
        <v>44239</v>
      </c>
      <c r="H153" s="7">
        <f t="shared" ca="1" si="13"/>
        <v>-864</v>
      </c>
      <c r="I153" s="8">
        <v>44240</v>
      </c>
      <c r="J153" s="9">
        <f t="shared" ca="1" si="14"/>
        <v>0</v>
      </c>
      <c r="K153" s="10"/>
      <c r="L153" s="10" t="str">
        <f t="shared" si="15"/>
        <v>Accepted</v>
      </c>
      <c r="M153" s="11">
        <v>1</v>
      </c>
      <c r="N153" s="10" t="s">
        <v>18</v>
      </c>
      <c r="O153" s="42">
        <f t="shared" si="16"/>
        <v>20000</v>
      </c>
      <c r="P153" s="10" t="s">
        <v>19</v>
      </c>
    </row>
    <row r="154" spans="1:16" s="22" customFormat="1" ht="14.25" customHeight="1" x14ac:dyDescent="0.25">
      <c r="A154" s="5" t="s">
        <v>351</v>
      </c>
      <c r="B154" s="22" t="s">
        <v>15</v>
      </c>
      <c r="C154" s="22" t="s">
        <v>291</v>
      </c>
      <c r="D154" s="23" t="s">
        <v>352</v>
      </c>
      <c r="E154" s="24" t="str">
        <f t="shared" si="12"/>
        <v>M2780422E001</v>
      </c>
      <c r="F154" s="13">
        <v>44232</v>
      </c>
      <c r="G154" s="13">
        <f t="shared" si="17"/>
        <v>44239</v>
      </c>
      <c r="H154" s="7">
        <f t="shared" ca="1" si="13"/>
        <v>-864</v>
      </c>
      <c r="I154" s="8">
        <v>44240</v>
      </c>
      <c r="J154" s="9">
        <f t="shared" ca="1" si="14"/>
        <v>0</v>
      </c>
      <c r="K154" s="10"/>
      <c r="L154" s="10" t="str">
        <f t="shared" si="15"/>
        <v>Accepted</v>
      </c>
      <c r="M154" s="11">
        <v>1</v>
      </c>
      <c r="N154" s="10" t="s">
        <v>18</v>
      </c>
      <c r="O154" s="42">
        <f t="shared" si="16"/>
        <v>20000</v>
      </c>
      <c r="P154" s="10" t="s">
        <v>19</v>
      </c>
    </row>
    <row r="155" spans="1:16" s="22" customFormat="1" ht="14.25" customHeight="1" x14ac:dyDescent="0.25">
      <c r="A155" s="5" t="s">
        <v>353</v>
      </c>
      <c r="B155" s="22" t="s">
        <v>15</v>
      </c>
      <c r="C155" s="22" t="s">
        <v>291</v>
      </c>
      <c r="D155" s="23" t="s">
        <v>354</v>
      </c>
      <c r="E155" s="24" t="str">
        <f t="shared" si="12"/>
        <v>M2780481E001</v>
      </c>
      <c r="F155" s="13">
        <v>44232</v>
      </c>
      <c r="G155" s="13">
        <f t="shared" si="17"/>
        <v>44239</v>
      </c>
      <c r="H155" s="7">
        <f t="shared" ca="1" si="13"/>
        <v>-864</v>
      </c>
      <c r="I155" s="8">
        <v>44240</v>
      </c>
      <c r="J155" s="9">
        <f t="shared" ca="1" si="14"/>
        <v>0</v>
      </c>
      <c r="K155" s="10"/>
      <c r="L155" s="10" t="str">
        <f t="shared" si="15"/>
        <v>Accepted</v>
      </c>
      <c r="M155" s="11">
        <v>0</v>
      </c>
      <c r="N155" s="10" t="s">
        <v>18</v>
      </c>
      <c r="O155" s="42">
        <f t="shared" si="16"/>
        <v>20000</v>
      </c>
      <c r="P155" s="10" t="s">
        <v>19</v>
      </c>
    </row>
    <row r="156" spans="1:16" s="22" customFormat="1" ht="14.25" customHeight="1" x14ac:dyDescent="0.25">
      <c r="A156" s="5" t="s">
        <v>355</v>
      </c>
      <c r="B156" s="22" t="s">
        <v>15</v>
      </c>
      <c r="C156" s="22" t="s">
        <v>337</v>
      </c>
      <c r="D156" s="23" t="s">
        <v>356</v>
      </c>
      <c r="E156" s="24" t="str">
        <f t="shared" si="12"/>
        <v>M2903581P077</v>
      </c>
      <c r="F156" s="13">
        <v>44232</v>
      </c>
      <c r="G156" s="13">
        <f t="shared" si="17"/>
        <v>44239</v>
      </c>
      <c r="H156" s="7">
        <f t="shared" ca="1" si="13"/>
        <v>-864</v>
      </c>
      <c r="I156" s="8">
        <v>44240</v>
      </c>
      <c r="J156" s="9">
        <f t="shared" ca="1" si="14"/>
        <v>0</v>
      </c>
      <c r="K156" s="10"/>
      <c r="L156" s="10" t="str">
        <f t="shared" si="15"/>
        <v>Accepted</v>
      </c>
      <c r="M156" s="11">
        <v>0</v>
      </c>
      <c r="N156" s="10" t="s">
        <v>18</v>
      </c>
      <c r="O156" s="42">
        <f t="shared" si="16"/>
        <v>20000</v>
      </c>
      <c r="P156" s="10" t="s">
        <v>19</v>
      </c>
    </row>
    <row r="157" spans="1:16" s="22" customFormat="1" ht="14.25" customHeight="1" x14ac:dyDescent="0.25">
      <c r="A157" s="5" t="s">
        <v>368</v>
      </c>
      <c r="B157" s="22" t="s">
        <v>15</v>
      </c>
      <c r="C157" s="22" t="s">
        <v>2467</v>
      </c>
      <c r="D157" s="23" t="s">
        <v>369</v>
      </c>
      <c r="E157" s="24" t="str">
        <f t="shared" si="12"/>
        <v>M2650131E001</v>
      </c>
      <c r="F157" s="13">
        <v>44232</v>
      </c>
      <c r="G157" s="13">
        <f t="shared" si="17"/>
        <v>44239</v>
      </c>
      <c r="H157" s="7">
        <f t="shared" ca="1" si="13"/>
        <v>-864</v>
      </c>
      <c r="I157" s="8">
        <v>44240</v>
      </c>
      <c r="J157" s="9">
        <f t="shared" ca="1" si="14"/>
        <v>0</v>
      </c>
      <c r="K157" s="10"/>
      <c r="L157" s="10" t="str">
        <f t="shared" si="15"/>
        <v>Accepted</v>
      </c>
      <c r="M157" s="11">
        <v>0</v>
      </c>
      <c r="N157" s="10" t="s">
        <v>18</v>
      </c>
      <c r="O157" s="42">
        <f t="shared" si="16"/>
        <v>20000</v>
      </c>
      <c r="P157" s="10" t="s">
        <v>19</v>
      </c>
    </row>
    <row r="158" spans="1:16" s="22" customFormat="1" ht="14.25" customHeight="1" x14ac:dyDescent="0.25">
      <c r="A158" s="5" t="s">
        <v>370</v>
      </c>
      <c r="B158" s="22" t="s">
        <v>15</v>
      </c>
      <c r="C158" s="22" t="s">
        <v>2467</v>
      </c>
      <c r="D158" s="23" t="s">
        <v>371</v>
      </c>
      <c r="E158" s="24" t="str">
        <f t="shared" si="12"/>
        <v>M2650141a003</v>
      </c>
      <c r="F158" s="13">
        <v>44232</v>
      </c>
      <c r="G158" s="13">
        <f t="shared" si="17"/>
        <v>44239</v>
      </c>
      <c r="H158" s="7">
        <f t="shared" ca="1" si="13"/>
        <v>-864</v>
      </c>
      <c r="I158" s="8">
        <v>44240</v>
      </c>
      <c r="J158" s="9">
        <f t="shared" ca="1" si="14"/>
        <v>0</v>
      </c>
      <c r="K158" s="10"/>
      <c r="L158" s="10" t="str">
        <f t="shared" si="15"/>
        <v>Accepted</v>
      </c>
      <c r="M158" s="11">
        <v>0</v>
      </c>
      <c r="N158" s="10" t="s">
        <v>30</v>
      </c>
      <c r="O158" s="42">
        <f t="shared" si="16"/>
        <v>25000</v>
      </c>
      <c r="P158" s="10" t="s">
        <v>19</v>
      </c>
    </row>
    <row r="159" spans="1:16" s="22" customFormat="1" ht="14.25" customHeight="1" x14ac:dyDescent="0.25">
      <c r="A159" s="5" t="s">
        <v>372</v>
      </c>
      <c r="B159" s="22" t="s">
        <v>15</v>
      </c>
      <c r="C159" s="22" t="s">
        <v>373</v>
      </c>
      <c r="D159" s="23" t="s">
        <v>374</v>
      </c>
      <c r="E159" s="24" t="str">
        <f t="shared" si="12"/>
        <v>M2650242E007</v>
      </c>
      <c r="F159" s="13">
        <v>44232</v>
      </c>
      <c r="G159" s="13">
        <f t="shared" si="17"/>
        <v>44239</v>
      </c>
      <c r="H159" s="7">
        <f t="shared" ca="1" si="13"/>
        <v>-864</v>
      </c>
      <c r="I159" s="8">
        <v>44240</v>
      </c>
      <c r="J159" s="9">
        <f t="shared" ca="1" si="14"/>
        <v>0</v>
      </c>
      <c r="K159" s="10"/>
      <c r="L159" s="10" t="str">
        <f t="shared" si="15"/>
        <v>Accepted</v>
      </c>
      <c r="M159" s="11">
        <v>1</v>
      </c>
      <c r="N159" s="10" t="s">
        <v>30</v>
      </c>
      <c r="O159" s="42">
        <f t="shared" si="16"/>
        <v>25000</v>
      </c>
      <c r="P159" s="10" t="s">
        <v>19</v>
      </c>
    </row>
    <row r="160" spans="1:16" s="22" customFormat="1" ht="14.25" customHeight="1" x14ac:dyDescent="0.25">
      <c r="A160" s="5" t="s">
        <v>377</v>
      </c>
      <c r="B160" s="22" t="s">
        <v>15</v>
      </c>
      <c r="C160" s="22" t="s">
        <v>358</v>
      </c>
      <c r="D160" s="23" t="s">
        <v>378</v>
      </c>
      <c r="E160" s="24" t="str">
        <f t="shared" si="12"/>
        <v>M2650452c010</v>
      </c>
      <c r="F160" s="13">
        <v>44232</v>
      </c>
      <c r="G160" s="13">
        <f t="shared" si="17"/>
        <v>44239</v>
      </c>
      <c r="H160" s="7">
        <f t="shared" ca="1" si="13"/>
        <v>-864</v>
      </c>
      <c r="I160" s="8">
        <v>44240</v>
      </c>
      <c r="J160" s="9">
        <f t="shared" ca="1" si="14"/>
        <v>0</v>
      </c>
      <c r="K160" s="10"/>
      <c r="L160" s="10" t="str">
        <f t="shared" si="15"/>
        <v>Accepted</v>
      </c>
      <c r="M160" s="11">
        <v>0</v>
      </c>
      <c r="N160" s="10" t="s">
        <v>18</v>
      </c>
      <c r="O160" s="42">
        <f t="shared" si="16"/>
        <v>20000</v>
      </c>
      <c r="P160" s="10" t="s">
        <v>19</v>
      </c>
    </row>
    <row r="161" spans="1:16" s="22" customFormat="1" ht="14.25" customHeight="1" x14ac:dyDescent="0.25">
      <c r="A161" s="5" t="s">
        <v>381</v>
      </c>
      <c r="B161" s="22" t="s">
        <v>15</v>
      </c>
      <c r="C161" s="22" t="s">
        <v>2458</v>
      </c>
      <c r="D161" s="23" t="s">
        <v>382</v>
      </c>
      <c r="E161" s="24" t="str">
        <f t="shared" si="12"/>
        <v>M2651452a008</v>
      </c>
      <c r="F161" s="13">
        <v>44232</v>
      </c>
      <c r="G161" s="13">
        <f t="shared" si="17"/>
        <v>44239</v>
      </c>
      <c r="H161" s="7">
        <f t="shared" ca="1" si="13"/>
        <v>-864</v>
      </c>
      <c r="I161" s="8">
        <v>44240</v>
      </c>
      <c r="J161" s="9">
        <f t="shared" ca="1" si="14"/>
        <v>0</v>
      </c>
      <c r="K161" s="10"/>
      <c r="L161" s="10" t="str">
        <f t="shared" si="15"/>
        <v>Accepted</v>
      </c>
      <c r="M161" s="11">
        <v>0</v>
      </c>
      <c r="N161" s="10" t="s">
        <v>30</v>
      </c>
      <c r="O161" s="42">
        <f t="shared" si="16"/>
        <v>25000</v>
      </c>
      <c r="P161" s="10" t="s">
        <v>19</v>
      </c>
    </row>
    <row r="162" spans="1:16" s="22" customFormat="1" ht="14.25" customHeight="1" x14ac:dyDescent="0.25">
      <c r="A162" s="5" t="s">
        <v>385</v>
      </c>
      <c r="B162" s="22" t="s">
        <v>15</v>
      </c>
      <c r="C162" s="22" t="s">
        <v>291</v>
      </c>
      <c r="D162" s="23" t="s">
        <v>386</v>
      </c>
      <c r="E162" s="24" t="str">
        <f t="shared" si="12"/>
        <v>M2780301E001</v>
      </c>
      <c r="F162" s="13">
        <v>44232</v>
      </c>
      <c r="G162" s="13">
        <f t="shared" si="17"/>
        <v>44239</v>
      </c>
      <c r="H162" s="7">
        <f t="shared" ca="1" si="13"/>
        <v>-864</v>
      </c>
      <c r="I162" s="8">
        <v>44240</v>
      </c>
      <c r="J162" s="9">
        <f t="shared" ca="1" si="14"/>
        <v>0</v>
      </c>
      <c r="K162" s="10"/>
      <c r="L162" s="10" t="str">
        <f t="shared" si="15"/>
        <v>Accepted</v>
      </c>
      <c r="M162" s="11">
        <v>1</v>
      </c>
      <c r="N162" s="10" t="s">
        <v>30</v>
      </c>
      <c r="O162" s="42">
        <f t="shared" si="16"/>
        <v>25000</v>
      </c>
      <c r="P162" s="10" t="s">
        <v>19</v>
      </c>
    </row>
    <row r="163" spans="1:16" s="22" customFormat="1" ht="14.25" customHeight="1" x14ac:dyDescent="0.25">
      <c r="A163" s="16" t="s">
        <v>387</v>
      </c>
      <c r="B163" s="22" t="s">
        <v>15</v>
      </c>
      <c r="C163" s="22" t="s">
        <v>358</v>
      </c>
      <c r="D163" s="23" t="s">
        <v>388</v>
      </c>
      <c r="E163" s="24" t="str">
        <f t="shared" si="12"/>
        <v>M2640641P033</v>
      </c>
      <c r="F163" s="13">
        <v>44238</v>
      </c>
      <c r="G163" s="13">
        <f t="shared" si="17"/>
        <v>44245</v>
      </c>
      <c r="H163" s="7">
        <f t="shared" ca="1" si="13"/>
        <v>-858</v>
      </c>
      <c r="I163" s="8">
        <v>44240</v>
      </c>
      <c r="J163" s="9">
        <f t="shared" ca="1" si="14"/>
        <v>0</v>
      </c>
      <c r="K163" s="10"/>
      <c r="L163" s="10" t="str">
        <f t="shared" si="15"/>
        <v>Accepted</v>
      </c>
      <c r="M163" s="11">
        <v>0</v>
      </c>
      <c r="N163" s="10" t="s">
        <v>30</v>
      </c>
      <c r="O163" s="42">
        <f t="shared" si="16"/>
        <v>25000</v>
      </c>
      <c r="P163" s="10" t="s">
        <v>19</v>
      </c>
    </row>
    <row r="164" spans="1:16" s="22" customFormat="1" ht="14.25" customHeight="1" x14ac:dyDescent="0.25">
      <c r="A164" s="16" t="s">
        <v>389</v>
      </c>
      <c r="B164" s="22" t="s">
        <v>15</v>
      </c>
      <c r="C164" s="22" t="s">
        <v>262</v>
      </c>
      <c r="D164" s="23" t="s">
        <v>390</v>
      </c>
      <c r="E164" s="24" t="str">
        <f t="shared" si="12"/>
        <v>M3201571E001</v>
      </c>
      <c r="F164" s="13">
        <v>44238</v>
      </c>
      <c r="G164" s="13">
        <f t="shared" si="17"/>
        <v>44245</v>
      </c>
      <c r="H164" s="7">
        <f t="shared" ca="1" si="13"/>
        <v>-858</v>
      </c>
      <c r="I164" s="8">
        <v>44240</v>
      </c>
      <c r="J164" s="9">
        <f t="shared" ca="1" si="14"/>
        <v>0</v>
      </c>
      <c r="K164" s="10"/>
      <c r="L164" s="10" t="str">
        <f t="shared" si="15"/>
        <v>Accepted</v>
      </c>
      <c r="M164" s="11">
        <v>0</v>
      </c>
      <c r="N164" s="10" t="s">
        <v>18</v>
      </c>
      <c r="O164" s="42">
        <f t="shared" si="16"/>
        <v>20000</v>
      </c>
      <c r="P164" s="10" t="s">
        <v>19</v>
      </c>
    </row>
    <row r="165" spans="1:16" s="22" customFormat="1" ht="14.25" customHeight="1" x14ac:dyDescent="0.25">
      <c r="A165" s="16" t="s">
        <v>391</v>
      </c>
      <c r="B165" s="22" t="s">
        <v>15</v>
      </c>
      <c r="C165" s="22" t="s">
        <v>53</v>
      </c>
      <c r="D165" s="23" t="s">
        <v>392</v>
      </c>
      <c r="E165" s="24" t="str">
        <f t="shared" si="12"/>
        <v>M1170681P026</v>
      </c>
      <c r="F165" s="13">
        <v>44238</v>
      </c>
      <c r="G165" s="13">
        <f t="shared" si="17"/>
        <v>44245</v>
      </c>
      <c r="H165" s="7">
        <f t="shared" ca="1" si="13"/>
        <v>-858</v>
      </c>
      <c r="I165" s="8">
        <v>44240</v>
      </c>
      <c r="J165" s="9">
        <f t="shared" ca="1" si="14"/>
        <v>0</v>
      </c>
      <c r="K165" s="10"/>
      <c r="L165" s="10" t="str">
        <f t="shared" si="15"/>
        <v>Accepted</v>
      </c>
      <c r="M165" s="11">
        <v>0</v>
      </c>
      <c r="N165" s="10" t="s">
        <v>18</v>
      </c>
      <c r="O165" s="42">
        <f t="shared" si="16"/>
        <v>20000</v>
      </c>
      <c r="P165" s="10" t="s">
        <v>19</v>
      </c>
    </row>
    <row r="166" spans="1:16" s="22" customFormat="1" ht="14.25" customHeight="1" x14ac:dyDescent="0.25">
      <c r="A166" s="16" t="s">
        <v>393</v>
      </c>
      <c r="B166" s="22" t="s">
        <v>15</v>
      </c>
      <c r="C166" s="22" t="s">
        <v>53</v>
      </c>
      <c r="D166" s="23" t="s">
        <v>394</v>
      </c>
      <c r="E166" s="24" t="str">
        <f t="shared" si="12"/>
        <v>M1170681P030</v>
      </c>
      <c r="F166" s="13">
        <v>44238</v>
      </c>
      <c r="G166" s="13">
        <f t="shared" si="17"/>
        <v>44245</v>
      </c>
      <c r="H166" s="7">
        <f t="shared" ca="1" si="13"/>
        <v>-858</v>
      </c>
      <c r="I166" s="8">
        <v>44240</v>
      </c>
      <c r="J166" s="9">
        <f t="shared" ca="1" si="14"/>
        <v>0</v>
      </c>
      <c r="K166" s="10"/>
      <c r="L166" s="10" t="str">
        <f t="shared" si="15"/>
        <v>Accepted</v>
      </c>
      <c r="M166" s="11">
        <v>0</v>
      </c>
      <c r="N166" s="10" t="s">
        <v>30</v>
      </c>
      <c r="O166" s="42">
        <f t="shared" si="16"/>
        <v>25000</v>
      </c>
      <c r="P166" s="10" t="s">
        <v>19</v>
      </c>
    </row>
    <row r="167" spans="1:16" s="22" customFormat="1" ht="14.25" customHeight="1" x14ac:dyDescent="0.25">
      <c r="A167" s="16" t="s">
        <v>395</v>
      </c>
      <c r="B167" s="22" t="s">
        <v>15</v>
      </c>
      <c r="C167" s="22" t="s">
        <v>396</v>
      </c>
      <c r="D167" s="23" t="s">
        <v>397</v>
      </c>
      <c r="E167" s="24" t="str">
        <f t="shared" si="12"/>
        <v>M1170721P001</v>
      </c>
      <c r="F167" s="13">
        <v>44238</v>
      </c>
      <c r="G167" s="13">
        <f t="shared" si="17"/>
        <v>44245</v>
      </c>
      <c r="H167" s="7">
        <f t="shared" ca="1" si="13"/>
        <v>-858</v>
      </c>
      <c r="I167" s="8">
        <v>44240</v>
      </c>
      <c r="J167" s="9">
        <f t="shared" ca="1" si="14"/>
        <v>0</v>
      </c>
      <c r="K167" s="10"/>
      <c r="L167" s="10" t="str">
        <f t="shared" si="15"/>
        <v>Accepted</v>
      </c>
      <c r="M167" s="11">
        <v>0</v>
      </c>
      <c r="N167" s="10" t="s">
        <v>18</v>
      </c>
      <c r="O167" s="42">
        <f t="shared" si="16"/>
        <v>20000</v>
      </c>
      <c r="P167" s="10" t="s">
        <v>19</v>
      </c>
    </row>
    <row r="168" spans="1:16" s="22" customFormat="1" ht="14.25" customHeight="1" x14ac:dyDescent="0.25">
      <c r="A168" s="5" t="s">
        <v>417</v>
      </c>
      <c r="B168" s="22" t="s">
        <v>15</v>
      </c>
      <c r="C168" s="22" t="s">
        <v>191</v>
      </c>
      <c r="D168" s="23" t="s">
        <v>418</v>
      </c>
      <c r="E168" s="24" t="str">
        <f t="shared" si="12"/>
        <v>A0030120E007</v>
      </c>
      <c r="F168" s="13">
        <v>44243</v>
      </c>
      <c r="G168" s="13">
        <f t="shared" si="17"/>
        <v>44250</v>
      </c>
      <c r="H168" s="7">
        <f t="shared" ca="1" si="13"/>
        <v>-853</v>
      </c>
      <c r="I168" s="8">
        <v>44244</v>
      </c>
      <c r="J168" s="9">
        <f t="shared" ca="1" si="14"/>
        <v>0</v>
      </c>
      <c r="K168" s="10"/>
      <c r="L168" s="10" t="str">
        <f t="shared" si="15"/>
        <v>Accepted</v>
      </c>
      <c r="M168" s="11">
        <v>0</v>
      </c>
      <c r="N168" s="10" t="s">
        <v>18</v>
      </c>
      <c r="O168" s="42">
        <f t="shared" si="16"/>
        <v>20000</v>
      </c>
      <c r="P168" s="10" t="s">
        <v>19</v>
      </c>
    </row>
    <row r="169" spans="1:16" s="22" customFormat="1" ht="14.25" customHeight="1" x14ac:dyDescent="0.25">
      <c r="A169" s="5" t="s">
        <v>419</v>
      </c>
      <c r="B169" s="22" t="s">
        <v>15</v>
      </c>
      <c r="C169" s="22" t="s">
        <v>314</v>
      </c>
      <c r="D169" s="23" t="s">
        <v>420</v>
      </c>
      <c r="E169" s="24" t="str">
        <f t="shared" si="12"/>
        <v>A0030269E003</v>
      </c>
      <c r="F169" s="13">
        <v>44243</v>
      </c>
      <c r="G169" s="13">
        <f t="shared" si="17"/>
        <v>44250</v>
      </c>
      <c r="H169" s="7">
        <f t="shared" ca="1" si="13"/>
        <v>-853</v>
      </c>
      <c r="I169" s="8">
        <v>44244</v>
      </c>
      <c r="J169" s="9">
        <f t="shared" ca="1" si="14"/>
        <v>0</v>
      </c>
      <c r="K169" s="10"/>
      <c r="L169" s="10" t="str">
        <f t="shared" si="15"/>
        <v>Accepted</v>
      </c>
      <c r="M169" s="11">
        <v>0</v>
      </c>
      <c r="N169" s="10" t="s">
        <v>18</v>
      </c>
      <c r="O169" s="42">
        <f t="shared" si="16"/>
        <v>20000</v>
      </c>
      <c r="P169" s="10" t="s">
        <v>19</v>
      </c>
    </row>
    <row r="170" spans="1:16" s="22" customFormat="1" ht="14.25" customHeight="1" x14ac:dyDescent="0.25">
      <c r="A170" s="5" t="s">
        <v>421</v>
      </c>
      <c r="B170" s="22" t="s">
        <v>15</v>
      </c>
      <c r="C170" s="22" t="s">
        <v>2464</v>
      </c>
      <c r="D170" s="23" t="s">
        <v>422</v>
      </c>
      <c r="E170" s="24" t="str">
        <f t="shared" si="12"/>
        <v>A0030426P005</v>
      </c>
      <c r="F170" s="13">
        <v>44243</v>
      </c>
      <c r="G170" s="13">
        <f t="shared" si="17"/>
        <v>44250</v>
      </c>
      <c r="H170" s="7">
        <f t="shared" ca="1" si="13"/>
        <v>-853</v>
      </c>
      <c r="I170" s="8">
        <v>44244</v>
      </c>
      <c r="J170" s="9">
        <f t="shared" ca="1" si="14"/>
        <v>0</v>
      </c>
      <c r="K170" s="10"/>
      <c r="L170" s="10" t="str">
        <f t="shared" si="15"/>
        <v>Accepted</v>
      </c>
      <c r="M170" s="11">
        <v>0</v>
      </c>
      <c r="N170" s="10" t="s">
        <v>30</v>
      </c>
      <c r="O170" s="42">
        <f t="shared" si="16"/>
        <v>25000</v>
      </c>
      <c r="P170" s="10" t="s">
        <v>19</v>
      </c>
    </row>
    <row r="171" spans="1:16" s="22" customFormat="1" ht="14.25" customHeight="1" x14ac:dyDescent="0.25">
      <c r="A171" s="5" t="s">
        <v>423</v>
      </c>
      <c r="B171" s="22" t="s">
        <v>15</v>
      </c>
      <c r="C171" s="22" t="s">
        <v>321</v>
      </c>
      <c r="D171" s="23" t="s">
        <v>424</v>
      </c>
      <c r="E171" s="24" t="str">
        <f t="shared" si="12"/>
        <v>A0030803E008</v>
      </c>
      <c r="F171" s="13">
        <v>44243</v>
      </c>
      <c r="G171" s="13">
        <f t="shared" si="17"/>
        <v>44250</v>
      </c>
      <c r="H171" s="7">
        <f t="shared" ca="1" si="13"/>
        <v>-853</v>
      </c>
      <c r="I171" s="8">
        <v>44244</v>
      </c>
      <c r="J171" s="9">
        <f t="shared" ca="1" si="14"/>
        <v>0</v>
      </c>
      <c r="K171" s="10"/>
      <c r="L171" s="10" t="str">
        <f t="shared" si="15"/>
        <v>Accepted</v>
      </c>
      <c r="M171" s="11">
        <v>1</v>
      </c>
      <c r="N171" s="10" t="s">
        <v>18</v>
      </c>
      <c r="O171" s="42">
        <f t="shared" si="16"/>
        <v>20000</v>
      </c>
      <c r="P171" s="10" t="s">
        <v>19</v>
      </c>
    </row>
    <row r="172" spans="1:16" s="22" customFormat="1" ht="14.25" customHeight="1" x14ac:dyDescent="0.25">
      <c r="A172" s="5" t="s">
        <v>425</v>
      </c>
      <c r="B172" s="22" t="s">
        <v>15</v>
      </c>
      <c r="C172" s="22" t="s">
        <v>396</v>
      </c>
      <c r="D172" s="23" t="s">
        <v>426</v>
      </c>
      <c r="E172" s="24" t="str">
        <f t="shared" si="12"/>
        <v>B0030182E001</v>
      </c>
      <c r="F172" s="13">
        <v>44243</v>
      </c>
      <c r="G172" s="13">
        <f t="shared" si="17"/>
        <v>44250</v>
      </c>
      <c r="H172" s="7">
        <f t="shared" ca="1" si="13"/>
        <v>-853</v>
      </c>
      <c r="I172" s="8">
        <v>44244</v>
      </c>
      <c r="J172" s="9">
        <f t="shared" ca="1" si="14"/>
        <v>0</v>
      </c>
      <c r="K172" s="10"/>
      <c r="L172" s="10" t="str">
        <f t="shared" si="15"/>
        <v>Accepted</v>
      </c>
      <c r="M172" s="11">
        <v>0</v>
      </c>
      <c r="N172" s="10" t="s">
        <v>18</v>
      </c>
      <c r="O172" s="42">
        <f t="shared" si="16"/>
        <v>20000</v>
      </c>
      <c r="P172" s="10" t="s">
        <v>19</v>
      </c>
    </row>
    <row r="173" spans="1:16" s="22" customFormat="1" ht="14.25" customHeight="1" x14ac:dyDescent="0.25">
      <c r="A173" s="5" t="s">
        <v>427</v>
      </c>
      <c r="B173" s="22" t="s">
        <v>15</v>
      </c>
      <c r="C173" s="22" t="s">
        <v>396</v>
      </c>
      <c r="D173" s="23" t="s">
        <v>428</v>
      </c>
      <c r="E173" s="24" t="str">
        <f t="shared" si="12"/>
        <v>B0030482E001</v>
      </c>
      <c r="F173" s="13">
        <v>44243</v>
      </c>
      <c r="G173" s="13">
        <f t="shared" si="17"/>
        <v>44250</v>
      </c>
      <c r="H173" s="7">
        <f t="shared" ca="1" si="13"/>
        <v>-853</v>
      </c>
      <c r="I173" s="8">
        <v>44244</v>
      </c>
      <c r="J173" s="9">
        <f t="shared" ca="1" si="14"/>
        <v>0</v>
      </c>
      <c r="K173" s="10"/>
      <c r="L173" s="10" t="str">
        <f t="shared" si="15"/>
        <v>Accepted</v>
      </c>
      <c r="M173" s="11">
        <v>0</v>
      </c>
      <c r="N173" s="10" t="s">
        <v>18</v>
      </c>
      <c r="O173" s="42">
        <f t="shared" si="16"/>
        <v>20000</v>
      </c>
      <c r="P173" s="10" t="s">
        <v>19</v>
      </c>
    </row>
    <row r="174" spans="1:16" s="22" customFormat="1" ht="14.25" customHeight="1" x14ac:dyDescent="0.25">
      <c r="A174" s="5" t="s">
        <v>429</v>
      </c>
      <c r="B174" s="22" t="s">
        <v>15</v>
      </c>
      <c r="C174" s="22" t="s">
        <v>396</v>
      </c>
      <c r="D174" s="23" t="s">
        <v>430</v>
      </c>
      <c r="E174" s="24" t="str">
        <f t="shared" si="12"/>
        <v>B0030562E001</v>
      </c>
      <c r="F174" s="13">
        <v>44243</v>
      </c>
      <c r="G174" s="13">
        <f t="shared" si="17"/>
        <v>44250</v>
      </c>
      <c r="H174" s="7">
        <f t="shared" ca="1" si="13"/>
        <v>-853</v>
      </c>
      <c r="I174" s="8">
        <v>44245</v>
      </c>
      <c r="J174" s="9">
        <f t="shared" ca="1" si="14"/>
        <v>0</v>
      </c>
      <c r="K174" s="10"/>
      <c r="L174" s="10" t="str">
        <f t="shared" si="15"/>
        <v>Accepted</v>
      </c>
      <c r="M174" s="11">
        <v>1</v>
      </c>
      <c r="N174" s="10" t="s">
        <v>18</v>
      </c>
      <c r="O174" s="42">
        <f t="shared" si="16"/>
        <v>20000</v>
      </c>
      <c r="P174" s="10" t="s">
        <v>19</v>
      </c>
    </row>
    <row r="175" spans="1:16" s="22" customFormat="1" ht="14.25" customHeight="1" x14ac:dyDescent="0.25">
      <c r="A175" s="5" t="s">
        <v>431</v>
      </c>
      <c r="B175" s="22" t="s">
        <v>15</v>
      </c>
      <c r="C175" s="22" t="s">
        <v>396</v>
      </c>
      <c r="D175" s="23" t="s">
        <v>432</v>
      </c>
      <c r="E175" s="24" t="str">
        <f t="shared" si="12"/>
        <v>B0030722E001</v>
      </c>
      <c r="F175" s="13">
        <v>44243</v>
      </c>
      <c r="G175" s="13">
        <f t="shared" si="17"/>
        <v>44250</v>
      </c>
      <c r="H175" s="7">
        <f t="shared" ca="1" si="13"/>
        <v>-853</v>
      </c>
      <c r="I175" s="8">
        <v>44245</v>
      </c>
      <c r="J175" s="9">
        <f t="shared" ca="1" si="14"/>
        <v>0</v>
      </c>
      <c r="K175" s="10"/>
      <c r="L175" s="10" t="str">
        <f t="shared" si="15"/>
        <v>Accepted</v>
      </c>
      <c r="M175" s="11">
        <v>0</v>
      </c>
      <c r="N175" s="10" t="s">
        <v>18</v>
      </c>
      <c r="O175" s="42">
        <f t="shared" si="16"/>
        <v>20000</v>
      </c>
      <c r="P175" s="10" t="s">
        <v>19</v>
      </c>
    </row>
    <row r="176" spans="1:16" s="22" customFormat="1" ht="14.25" customHeight="1" x14ac:dyDescent="0.25">
      <c r="A176" s="5" t="s">
        <v>433</v>
      </c>
      <c r="B176" s="22" t="s">
        <v>15</v>
      </c>
      <c r="C176" s="22" t="s">
        <v>396</v>
      </c>
      <c r="D176" s="23" t="s">
        <v>434</v>
      </c>
      <c r="E176" s="24" t="str">
        <f t="shared" si="12"/>
        <v>B0030872E001</v>
      </c>
      <c r="F176" s="13">
        <v>44243</v>
      </c>
      <c r="G176" s="13">
        <f t="shared" si="17"/>
        <v>44250</v>
      </c>
      <c r="H176" s="7">
        <f t="shared" ca="1" si="13"/>
        <v>-853</v>
      </c>
      <c r="I176" s="8">
        <v>44245</v>
      </c>
      <c r="J176" s="9">
        <f t="shared" ca="1" si="14"/>
        <v>0</v>
      </c>
      <c r="K176" s="10"/>
      <c r="L176" s="10" t="str">
        <f t="shared" si="15"/>
        <v>Accepted</v>
      </c>
      <c r="M176" s="11">
        <v>0</v>
      </c>
      <c r="N176" s="10" t="s">
        <v>18</v>
      </c>
      <c r="O176" s="42">
        <f t="shared" si="16"/>
        <v>20000</v>
      </c>
      <c r="P176" s="10" t="s">
        <v>19</v>
      </c>
    </row>
    <row r="177" spans="1:16" s="22" customFormat="1" ht="14.25" customHeight="1" x14ac:dyDescent="0.25">
      <c r="A177" s="5" t="s">
        <v>435</v>
      </c>
      <c r="B177" s="22" t="s">
        <v>15</v>
      </c>
      <c r="C177" s="22" t="s">
        <v>396</v>
      </c>
      <c r="D177" s="23" t="s">
        <v>436</v>
      </c>
      <c r="E177" s="24" t="str">
        <f t="shared" si="12"/>
        <v>B0031012E001</v>
      </c>
      <c r="F177" s="13">
        <v>44243</v>
      </c>
      <c r="G177" s="13">
        <f t="shared" si="17"/>
        <v>44250</v>
      </c>
      <c r="H177" s="7">
        <f t="shared" ca="1" si="13"/>
        <v>-853</v>
      </c>
      <c r="I177" s="8">
        <v>44245</v>
      </c>
      <c r="J177" s="9">
        <f t="shared" ca="1" si="14"/>
        <v>0</v>
      </c>
      <c r="K177" s="10"/>
      <c r="L177" s="10" t="str">
        <f t="shared" si="15"/>
        <v>Accepted</v>
      </c>
      <c r="M177" s="11">
        <v>1</v>
      </c>
      <c r="N177" s="10" t="s">
        <v>18</v>
      </c>
      <c r="O177" s="42">
        <f t="shared" si="16"/>
        <v>20000</v>
      </c>
      <c r="P177" s="10" t="s">
        <v>19</v>
      </c>
    </row>
    <row r="178" spans="1:16" s="22" customFormat="1" ht="14.25" customHeight="1" x14ac:dyDescent="0.25">
      <c r="A178" s="5" t="s">
        <v>441</v>
      </c>
      <c r="B178" s="22" t="s">
        <v>15</v>
      </c>
      <c r="C178" s="22" t="s">
        <v>396</v>
      </c>
      <c r="D178" s="23" t="s">
        <v>442</v>
      </c>
      <c r="E178" s="24" t="str">
        <f t="shared" si="12"/>
        <v>B0031472E001</v>
      </c>
      <c r="F178" s="13">
        <v>44243</v>
      </c>
      <c r="G178" s="13">
        <f t="shared" si="17"/>
        <v>44250</v>
      </c>
      <c r="H178" s="7">
        <f t="shared" ca="1" si="13"/>
        <v>-853</v>
      </c>
      <c r="I178" s="8">
        <v>44245</v>
      </c>
      <c r="J178" s="9">
        <f t="shared" ca="1" si="14"/>
        <v>0</v>
      </c>
      <c r="K178" s="10"/>
      <c r="L178" s="10" t="str">
        <f t="shared" si="15"/>
        <v>Accepted</v>
      </c>
      <c r="M178" s="11">
        <v>0</v>
      </c>
      <c r="N178" s="10" t="s">
        <v>30</v>
      </c>
      <c r="O178" s="42">
        <f t="shared" si="16"/>
        <v>25000</v>
      </c>
      <c r="P178" s="10" t="s">
        <v>19</v>
      </c>
    </row>
    <row r="179" spans="1:16" s="22" customFormat="1" ht="14.25" customHeight="1" x14ac:dyDescent="0.25">
      <c r="A179" s="5" t="s">
        <v>443</v>
      </c>
      <c r="B179" s="22" t="s">
        <v>15</v>
      </c>
      <c r="C179" s="22" t="s">
        <v>396</v>
      </c>
      <c r="D179" s="23" t="s">
        <v>444</v>
      </c>
      <c r="E179" s="24" t="str">
        <f t="shared" si="12"/>
        <v>B0031622a001</v>
      </c>
      <c r="F179" s="13">
        <v>44243</v>
      </c>
      <c r="G179" s="13">
        <f t="shared" si="17"/>
        <v>44250</v>
      </c>
      <c r="H179" s="7">
        <f t="shared" ca="1" si="13"/>
        <v>-853</v>
      </c>
      <c r="I179" s="8">
        <v>44245</v>
      </c>
      <c r="J179" s="9">
        <f t="shared" ca="1" si="14"/>
        <v>0</v>
      </c>
      <c r="K179" s="10"/>
      <c r="L179" s="10" t="str">
        <f t="shared" si="15"/>
        <v>Accepted</v>
      </c>
      <c r="M179" s="11">
        <v>0</v>
      </c>
      <c r="N179" s="10" t="s">
        <v>30</v>
      </c>
      <c r="O179" s="42">
        <f t="shared" si="16"/>
        <v>25000</v>
      </c>
      <c r="P179" s="10" t="s">
        <v>19</v>
      </c>
    </row>
    <row r="180" spans="1:16" s="22" customFormat="1" ht="14.25" customHeight="1" x14ac:dyDescent="0.25">
      <c r="A180" s="5" t="s">
        <v>447</v>
      </c>
      <c r="B180" s="22" t="s">
        <v>15</v>
      </c>
      <c r="C180" s="22" t="s">
        <v>396</v>
      </c>
      <c r="D180" s="23" t="s">
        <v>448</v>
      </c>
      <c r="E180" s="24" t="str">
        <f t="shared" si="12"/>
        <v>B0031902E001</v>
      </c>
      <c r="F180" s="13">
        <v>44243</v>
      </c>
      <c r="G180" s="13">
        <f t="shared" si="17"/>
        <v>44250</v>
      </c>
      <c r="H180" s="7">
        <f t="shared" ca="1" si="13"/>
        <v>-853</v>
      </c>
      <c r="I180" s="8">
        <v>44245</v>
      </c>
      <c r="J180" s="9">
        <f t="shared" ca="1" si="14"/>
        <v>0</v>
      </c>
      <c r="K180" s="10"/>
      <c r="L180" s="10" t="str">
        <f t="shared" si="15"/>
        <v>Accepted</v>
      </c>
      <c r="M180" s="11">
        <v>0</v>
      </c>
      <c r="N180" s="10" t="s">
        <v>18</v>
      </c>
      <c r="O180" s="42">
        <f t="shared" si="16"/>
        <v>20000</v>
      </c>
      <c r="P180" s="10" t="s">
        <v>19</v>
      </c>
    </row>
    <row r="181" spans="1:16" s="22" customFormat="1" ht="14.25" customHeight="1" x14ac:dyDescent="0.25">
      <c r="A181" s="5" t="s">
        <v>451</v>
      </c>
      <c r="B181" s="22" t="s">
        <v>15</v>
      </c>
      <c r="C181" s="22" t="s">
        <v>396</v>
      </c>
      <c r="D181" s="23" t="s">
        <v>452</v>
      </c>
      <c r="E181" s="24" t="str">
        <f t="shared" si="12"/>
        <v>B0031982a001</v>
      </c>
      <c r="F181" s="13">
        <v>44243</v>
      </c>
      <c r="G181" s="13">
        <f t="shared" si="17"/>
        <v>44250</v>
      </c>
      <c r="H181" s="7">
        <f t="shared" ca="1" si="13"/>
        <v>-853</v>
      </c>
      <c r="I181" s="8">
        <v>44245</v>
      </c>
      <c r="J181" s="9">
        <f t="shared" ca="1" si="14"/>
        <v>0</v>
      </c>
      <c r="K181" s="10"/>
      <c r="L181" s="10" t="str">
        <f t="shared" si="15"/>
        <v>Accepted</v>
      </c>
      <c r="M181" s="11">
        <v>0</v>
      </c>
      <c r="N181" s="10" t="s">
        <v>30</v>
      </c>
      <c r="O181" s="42">
        <f t="shared" si="16"/>
        <v>25000</v>
      </c>
      <c r="P181" s="10" t="s">
        <v>19</v>
      </c>
    </row>
    <row r="182" spans="1:16" s="22" customFormat="1" ht="14.25" customHeight="1" x14ac:dyDescent="0.25">
      <c r="A182" s="5" t="s">
        <v>455</v>
      </c>
      <c r="B182" s="22" t="s">
        <v>15</v>
      </c>
      <c r="C182" s="22" t="s">
        <v>396</v>
      </c>
      <c r="D182" s="23" t="s">
        <v>456</v>
      </c>
      <c r="E182" s="24" t="str">
        <f t="shared" si="12"/>
        <v>B0032052a001</v>
      </c>
      <c r="F182" s="13">
        <v>44243</v>
      </c>
      <c r="G182" s="13">
        <f t="shared" si="17"/>
        <v>44250</v>
      </c>
      <c r="H182" s="7">
        <f t="shared" ca="1" si="13"/>
        <v>-853</v>
      </c>
      <c r="I182" s="8">
        <v>44245</v>
      </c>
      <c r="J182" s="9">
        <f t="shared" ca="1" si="14"/>
        <v>0</v>
      </c>
      <c r="K182" s="10"/>
      <c r="L182" s="10" t="str">
        <f t="shared" si="15"/>
        <v>Accepted</v>
      </c>
      <c r="M182" s="11">
        <v>0</v>
      </c>
      <c r="N182" s="10" t="s">
        <v>30</v>
      </c>
      <c r="O182" s="42">
        <f t="shared" si="16"/>
        <v>25000</v>
      </c>
      <c r="P182" s="10" t="s">
        <v>19</v>
      </c>
    </row>
    <row r="183" spans="1:16" s="22" customFormat="1" ht="14.25" customHeight="1" x14ac:dyDescent="0.25">
      <c r="A183" s="5" t="s">
        <v>403</v>
      </c>
      <c r="B183" s="22" t="s">
        <v>28</v>
      </c>
      <c r="C183" s="22" t="s">
        <v>2468</v>
      </c>
      <c r="D183" s="23" t="s">
        <v>404</v>
      </c>
      <c r="E183" s="24" t="str">
        <f t="shared" si="12"/>
        <v>M2570432E008</v>
      </c>
      <c r="F183" s="13">
        <v>44243</v>
      </c>
      <c r="G183" s="13">
        <f t="shared" si="17"/>
        <v>44250</v>
      </c>
      <c r="H183" s="7">
        <f t="shared" ca="1" si="13"/>
        <v>-853</v>
      </c>
      <c r="I183" s="8">
        <v>44248</v>
      </c>
      <c r="J183" s="9">
        <f t="shared" ca="1" si="14"/>
        <v>0</v>
      </c>
      <c r="K183" s="10"/>
      <c r="L183" s="10" t="str">
        <f t="shared" si="15"/>
        <v>Accepted</v>
      </c>
      <c r="M183" s="11">
        <v>0</v>
      </c>
      <c r="N183" s="10" t="s">
        <v>30</v>
      </c>
      <c r="O183" s="42">
        <f t="shared" si="16"/>
        <v>18000</v>
      </c>
      <c r="P183" s="10" t="s">
        <v>19</v>
      </c>
    </row>
    <row r="184" spans="1:16" s="22" customFormat="1" ht="14.25" customHeight="1" x14ac:dyDescent="0.25">
      <c r="A184" s="5" t="s">
        <v>407</v>
      </c>
      <c r="B184" s="22" t="s">
        <v>15</v>
      </c>
      <c r="C184" s="22" t="s">
        <v>262</v>
      </c>
      <c r="D184" s="23" t="s">
        <v>408</v>
      </c>
      <c r="E184" s="24" t="str">
        <f t="shared" si="12"/>
        <v>M3201521E005</v>
      </c>
      <c r="F184" s="13">
        <v>44243</v>
      </c>
      <c r="G184" s="13">
        <f t="shared" si="17"/>
        <v>44250</v>
      </c>
      <c r="H184" s="7">
        <f t="shared" ca="1" si="13"/>
        <v>-853</v>
      </c>
      <c r="I184" s="8">
        <v>44248</v>
      </c>
      <c r="J184" s="9">
        <f t="shared" ca="1" si="14"/>
        <v>0</v>
      </c>
      <c r="K184" s="10"/>
      <c r="L184" s="10" t="str">
        <f t="shared" si="15"/>
        <v>Accepted</v>
      </c>
      <c r="M184" s="11">
        <v>0</v>
      </c>
      <c r="N184" s="10" t="s">
        <v>18</v>
      </c>
      <c r="O184" s="42">
        <f t="shared" si="16"/>
        <v>20000</v>
      </c>
      <c r="P184" s="10" t="s">
        <v>19</v>
      </c>
    </row>
    <row r="185" spans="1:16" s="22" customFormat="1" ht="14.25" customHeight="1" x14ac:dyDescent="0.25">
      <c r="A185" s="5" t="s">
        <v>413</v>
      </c>
      <c r="B185" s="22" t="s">
        <v>15</v>
      </c>
      <c r="C185" s="22" t="s">
        <v>358</v>
      </c>
      <c r="D185" s="23" t="s">
        <v>414</v>
      </c>
      <c r="E185" s="24" t="str">
        <f t="shared" si="12"/>
        <v>M3010254E019</v>
      </c>
      <c r="F185" s="13">
        <v>44243</v>
      </c>
      <c r="G185" s="13">
        <f t="shared" si="17"/>
        <v>44250</v>
      </c>
      <c r="H185" s="7">
        <f t="shared" ca="1" si="13"/>
        <v>-853</v>
      </c>
      <c r="I185" s="8">
        <v>44248</v>
      </c>
      <c r="J185" s="9">
        <f t="shared" ca="1" si="14"/>
        <v>0</v>
      </c>
      <c r="K185" s="10"/>
      <c r="L185" s="10" t="str">
        <f t="shared" si="15"/>
        <v>Accepted</v>
      </c>
      <c r="M185" s="11">
        <v>0</v>
      </c>
      <c r="N185" s="10" t="s">
        <v>30</v>
      </c>
      <c r="O185" s="42">
        <f t="shared" si="16"/>
        <v>25000</v>
      </c>
      <c r="P185" s="10" t="s">
        <v>19</v>
      </c>
    </row>
    <row r="186" spans="1:16" s="22" customFormat="1" ht="14.25" customHeight="1" x14ac:dyDescent="0.25">
      <c r="A186" s="5" t="s">
        <v>415</v>
      </c>
      <c r="B186" s="22" t="s">
        <v>15</v>
      </c>
      <c r="C186" s="22" t="s">
        <v>149</v>
      </c>
      <c r="D186" s="23" t="s">
        <v>416</v>
      </c>
      <c r="E186" s="24" t="str">
        <f t="shared" si="12"/>
        <v>M3020541P020</v>
      </c>
      <c r="F186" s="13">
        <v>44243</v>
      </c>
      <c r="G186" s="13">
        <f t="shared" si="17"/>
        <v>44250</v>
      </c>
      <c r="H186" s="7">
        <f t="shared" ca="1" si="13"/>
        <v>-853</v>
      </c>
      <c r="I186" s="8">
        <v>44248</v>
      </c>
      <c r="J186" s="9">
        <f t="shared" ca="1" si="14"/>
        <v>0</v>
      </c>
      <c r="K186" s="10"/>
      <c r="L186" s="10" t="str">
        <f t="shared" si="15"/>
        <v>Accepted</v>
      </c>
      <c r="M186" s="11">
        <v>0</v>
      </c>
      <c r="N186" s="10" t="s">
        <v>18</v>
      </c>
      <c r="O186" s="42">
        <f t="shared" si="16"/>
        <v>20000</v>
      </c>
      <c r="P186" s="10" t="s">
        <v>19</v>
      </c>
    </row>
    <row r="187" spans="1:16" s="22" customFormat="1" ht="14.25" customHeight="1" x14ac:dyDescent="0.25">
      <c r="A187" s="5" t="s">
        <v>449</v>
      </c>
      <c r="B187" s="22" t="s">
        <v>15</v>
      </c>
      <c r="C187" s="22" t="s">
        <v>396</v>
      </c>
      <c r="D187" s="23" t="s">
        <v>450</v>
      </c>
      <c r="E187" s="24" t="str">
        <f t="shared" si="12"/>
        <v>B0031962E004</v>
      </c>
      <c r="F187" s="13">
        <v>44243</v>
      </c>
      <c r="G187" s="13">
        <f t="shared" si="17"/>
        <v>44250</v>
      </c>
      <c r="H187" s="7">
        <f t="shared" ca="1" si="13"/>
        <v>-853</v>
      </c>
      <c r="I187" s="8">
        <v>44248</v>
      </c>
      <c r="J187" s="9">
        <f t="shared" ca="1" si="14"/>
        <v>0</v>
      </c>
      <c r="K187" s="10"/>
      <c r="L187" s="10" t="str">
        <f t="shared" si="15"/>
        <v>Accepted</v>
      </c>
      <c r="M187" s="11">
        <v>1</v>
      </c>
      <c r="N187" s="10" t="s">
        <v>18</v>
      </c>
      <c r="O187" s="42">
        <f t="shared" si="16"/>
        <v>20000</v>
      </c>
      <c r="P187" s="10" t="s">
        <v>19</v>
      </c>
    </row>
    <row r="188" spans="1:16" s="22" customFormat="1" ht="14.25" customHeight="1" x14ac:dyDescent="0.25">
      <c r="A188" s="5" t="s">
        <v>457</v>
      </c>
      <c r="B188" s="22" t="s">
        <v>15</v>
      </c>
      <c r="C188" s="22" t="s">
        <v>396</v>
      </c>
      <c r="D188" s="23" t="s">
        <v>458</v>
      </c>
      <c r="E188" s="24" t="str">
        <f t="shared" si="12"/>
        <v>B0032092E002</v>
      </c>
      <c r="F188" s="13">
        <v>44243</v>
      </c>
      <c r="G188" s="13">
        <f t="shared" si="17"/>
        <v>44250</v>
      </c>
      <c r="H188" s="7">
        <f t="shared" ca="1" si="13"/>
        <v>-853</v>
      </c>
      <c r="I188" s="8">
        <v>44248</v>
      </c>
      <c r="J188" s="9">
        <f t="shared" ca="1" si="14"/>
        <v>0</v>
      </c>
      <c r="K188" s="10"/>
      <c r="L188" s="10" t="str">
        <f t="shared" si="15"/>
        <v>Accepted</v>
      </c>
      <c r="M188" s="11">
        <v>0</v>
      </c>
      <c r="N188" s="10" t="s">
        <v>30</v>
      </c>
      <c r="O188" s="42">
        <f t="shared" si="16"/>
        <v>25000</v>
      </c>
      <c r="P188" s="10" t="s">
        <v>19</v>
      </c>
    </row>
    <row r="189" spans="1:16" s="22" customFormat="1" ht="14.25" customHeight="1" x14ac:dyDescent="0.25">
      <c r="A189" s="5" t="s">
        <v>461</v>
      </c>
      <c r="B189" s="22" t="s">
        <v>15</v>
      </c>
      <c r="C189" s="22" t="s">
        <v>396</v>
      </c>
      <c r="D189" s="23" t="s">
        <v>462</v>
      </c>
      <c r="E189" s="24" t="str">
        <f t="shared" si="12"/>
        <v>B0032172P001</v>
      </c>
      <c r="F189" s="13">
        <v>44243</v>
      </c>
      <c r="G189" s="13">
        <f t="shared" si="17"/>
        <v>44250</v>
      </c>
      <c r="H189" s="7">
        <f t="shared" ca="1" si="13"/>
        <v>-853</v>
      </c>
      <c r="I189" s="8">
        <v>44248</v>
      </c>
      <c r="J189" s="9">
        <f t="shared" ca="1" si="14"/>
        <v>0</v>
      </c>
      <c r="K189" s="10"/>
      <c r="L189" s="10" t="str">
        <f t="shared" si="15"/>
        <v>Accepted</v>
      </c>
      <c r="M189" s="11">
        <v>0</v>
      </c>
      <c r="N189" s="10" t="s">
        <v>18</v>
      </c>
      <c r="O189" s="42">
        <f t="shared" si="16"/>
        <v>20000</v>
      </c>
      <c r="P189" s="10" t="s">
        <v>19</v>
      </c>
    </row>
    <row r="190" spans="1:16" s="22" customFormat="1" ht="14.25" customHeight="1" x14ac:dyDescent="0.25">
      <c r="A190" s="5" t="s">
        <v>471</v>
      </c>
      <c r="B190" s="22" t="s">
        <v>15</v>
      </c>
      <c r="C190" s="22" t="s">
        <v>2467</v>
      </c>
      <c r="D190" s="23" t="s">
        <v>472</v>
      </c>
      <c r="E190" s="24" t="str">
        <f t="shared" si="12"/>
        <v>M3200082E004</v>
      </c>
      <c r="F190" s="13">
        <v>44250</v>
      </c>
      <c r="G190" s="13">
        <f t="shared" si="17"/>
        <v>44257</v>
      </c>
      <c r="H190" s="7">
        <f t="shared" ca="1" si="13"/>
        <v>-846</v>
      </c>
      <c r="I190" s="8">
        <v>44252</v>
      </c>
      <c r="J190" s="9">
        <f t="shared" ca="1" si="14"/>
        <v>0</v>
      </c>
      <c r="K190" s="10"/>
      <c r="L190" s="10" t="str">
        <f t="shared" si="15"/>
        <v>Accepted</v>
      </c>
      <c r="M190" s="11">
        <v>0</v>
      </c>
      <c r="N190" s="10" t="s">
        <v>18</v>
      </c>
      <c r="O190" s="42">
        <f t="shared" si="16"/>
        <v>20000</v>
      </c>
      <c r="P190" s="10" t="s">
        <v>19</v>
      </c>
    </row>
    <row r="191" spans="1:16" s="22" customFormat="1" ht="14.25" customHeight="1" x14ac:dyDescent="0.25">
      <c r="A191" s="5" t="s">
        <v>483</v>
      </c>
      <c r="B191" s="22" t="s">
        <v>15</v>
      </c>
      <c r="C191" s="22" t="s">
        <v>2467</v>
      </c>
      <c r="D191" s="23" t="s">
        <v>484</v>
      </c>
      <c r="E191" s="24" t="str">
        <f t="shared" si="12"/>
        <v>M3200151E001</v>
      </c>
      <c r="F191" s="13">
        <v>44250</v>
      </c>
      <c r="G191" s="13">
        <f t="shared" si="17"/>
        <v>44257</v>
      </c>
      <c r="H191" s="7">
        <f t="shared" ca="1" si="13"/>
        <v>-846</v>
      </c>
      <c r="I191" s="8">
        <v>44252</v>
      </c>
      <c r="J191" s="9">
        <f t="shared" ca="1" si="14"/>
        <v>0</v>
      </c>
      <c r="K191" s="10"/>
      <c r="L191" s="10" t="str">
        <f t="shared" si="15"/>
        <v>Accepted</v>
      </c>
      <c r="M191" s="11">
        <v>0</v>
      </c>
      <c r="N191" s="10" t="s">
        <v>18</v>
      </c>
      <c r="O191" s="42">
        <f t="shared" si="16"/>
        <v>20000</v>
      </c>
      <c r="P191" s="10" t="s">
        <v>19</v>
      </c>
    </row>
    <row r="192" spans="1:16" s="22" customFormat="1" ht="14.25" customHeight="1" x14ac:dyDescent="0.25">
      <c r="A192" s="5" t="s">
        <v>485</v>
      </c>
      <c r="B192" s="22" t="s">
        <v>15</v>
      </c>
      <c r="C192" s="22" t="s">
        <v>2467</v>
      </c>
      <c r="D192" s="23" t="s">
        <v>486</v>
      </c>
      <c r="E192" s="24" t="str">
        <f t="shared" si="12"/>
        <v>M3200151E002</v>
      </c>
      <c r="F192" s="13">
        <v>44250</v>
      </c>
      <c r="G192" s="13">
        <f t="shared" si="17"/>
        <v>44257</v>
      </c>
      <c r="H192" s="7">
        <f t="shared" ca="1" si="13"/>
        <v>-846</v>
      </c>
      <c r="I192" s="8">
        <v>44252</v>
      </c>
      <c r="J192" s="9">
        <f t="shared" ca="1" si="14"/>
        <v>0</v>
      </c>
      <c r="K192" s="10"/>
      <c r="L192" s="10" t="str">
        <f t="shared" si="15"/>
        <v>Accepted</v>
      </c>
      <c r="M192" s="11">
        <v>1</v>
      </c>
      <c r="N192" s="10" t="s">
        <v>18</v>
      </c>
      <c r="O192" s="42">
        <f t="shared" si="16"/>
        <v>20000</v>
      </c>
      <c r="P192" s="10" t="s">
        <v>19</v>
      </c>
    </row>
    <row r="193" spans="1:16" s="22" customFormat="1" ht="14.25" customHeight="1" x14ac:dyDescent="0.25">
      <c r="A193" s="5" t="s">
        <v>398</v>
      </c>
      <c r="B193" s="22" t="s">
        <v>28</v>
      </c>
      <c r="C193" s="22" t="s">
        <v>399</v>
      </c>
      <c r="D193" s="23" t="s">
        <v>400</v>
      </c>
      <c r="E193" s="24" t="str">
        <f t="shared" si="12"/>
        <v>M2111081E003</v>
      </c>
      <c r="F193" s="13">
        <v>44243</v>
      </c>
      <c r="G193" s="13">
        <f t="shared" si="17"/>
        <v>44250</v>
      </c>
      <c r="H193" s="7">
        <f t="shared" ca="1" si="13"/>
        <v>-853</v>
      </c>
      <c r="I193" s="8">
        <v>44255</v>
      </c>
      <c r="J193" s="9">
        <f t="shared" ca="1" si="14"/>
        <v>0</v>
      </c>
      <c r="K193" s="10"/>
      <c r="L193" s="10" t="str">
        <f t="shared" si="15"/>
        <v>Accepted</v>
      </c>
      <c r="M193" s="11">
        <v>1</v>
      </c>
      <c r="N193" s="10" t="s">
        <v>30</v>
      </c>
      <c r="O193" s="42">
        <f t="shared" si="16"/>
        <v>18000</v>
      </c>
      <c r="P193" s="10" t="s">
        <v>19</v>
      </c>
    </row>
    <row r="194" spans="1:16" s="22" customFormat="1" ht="14.25" customHeight="1" x14ac:dyDescent="0.25">
      <c r="A194" s="5" t="s">
        <v>405</v>
      </c>
      <c r="B194" s="22" t="s">
        <v>15</v>
      </c>
      <c r="C194" s="22" t="s">
        <v>337</v>
      </c>
      <c r="D194" s="23" t="s">
        <v>406</v>
      </c>
      <c r="E194" s="24" t="str">
        <f t="shared" ref="E194:E257" si="18">HYPERLINK(D194,A194)</f>
        <v>M2671861P006</v>
      </c>
      <c r="F194" s="13">
        <v>44243</v>
      </c>
      <c r="G194" s="13">
        <f t="shared" si="17"/>
        <v>44250</v>
      </c>
      <c r="H194" s="7">
        <f t="shared" ref="H194:H257" ca="1" si="19">G194-TODAY()</f>
        <v>-853</v>
      </c>
      <c r="I194" s="8">
        <v>44255</v>
      </c>
      <c r="J194" s="9">
        <f t="shared" ref="J194:J257" ca="1" si="20">IF(L194="Accepted",0,TODAY()-F194)</f>
        <v>0</v>
      </c>
      <c r="K194" s="10"/>
      <c r="L194" s="10" t="str">
        <f t="shared" ref="L194:L257" si="21">IF(AND(NOT(ISBLANK(I194)), ISBLANK(K194)),"Accepted", IF(AND(ISBLANK(I194),ISBLANK(K194)),"Not Submitted", "Rejected"))</f>
        <v>Accepted</v>
      </c>
      <c r="M194" s="11">
        <v>0</v>
      </c>
      <c r="N194" s="10" t="s">
        <v>18</v>
      </c>
      <c r="O194" s="42">
        <f t="shared" ref="O194:O257" si="22">IF(AND(L194="Accepted",B194="SMA",N194="no"),20000,
IF(AND(L194="Accepted",OR(B194="SMP",B194="SD"),N194="no"),15000,
IF(AND(L194="Accepted",B194="SMA",N194="yes"),25000,
IF(AND(L194="Accepted",OR(B194="SMP",B194="SD"),N194="yes"),18000,
0))))</f>
        <v>20000</v>
      </c>
      <c r="P194" s="10" t="s">
        <v>19</v>
      </c>
    </row>
    <row r="195" spans="1:16" s="22" customFormat="1" ht="14.25" customHeight="1" x14ac:dyDescent="0.25">
      <c r="A195" s="5" t="s">
        <v>437</v>
      </c>
      <c r="B195" s="22" t="s">
        <v>15</v>
      </c>
      <c r="C195" s="22" t="s">
        <v>396</v>
      </c>
      <c r="D195" s="23" t="s">
        <v>438</v>
      </c>
      <c r="E195" s="24" t="str">
        <f t="shared" si="18"/>
        <v>B0031162E001</v>
      </c>
      <c r="F195" s="13">
        <v>44243</v>
      </c>
      <c r="G195" s="13">
        <f t="shared" si="17"/>
        <v>44250</v>
      </c>
      <c r="H195" s="7">
        <f t="shared" ca="1" si="19"/>
        <v>-853</v>
      </c>
      <c r="I195" s="8">
        <v>44255</v>
      </c>
      <c r="J195" s="9">
        <f t="shared" ca="1" si="20"/>
        <v>0</v>
      </c>
      <c r="K195" s="10"/>
      <c r="L195" s="10" t="str">
        <f t="shared" si="21"/>
        <v>Accepted</v>
      </c>
      <c r="M195" s="11">
        <v>1</v>
      </c>
      <c r="N195" s="10" t="s">
        <v>18</v>
      </c>
      <c r="O195" s="42">
        <f t="shared" si="22"/>
        <v>20000</v>
      </c>
      <c r="P195" s="10" t="s">
        <v>19</v>
      </c>
    </row>
    <row r="196" spans="1:16" s="22" customFormat="1" ht="14.25" customHeight="1" x14ac:dyDescent="0.25">
      <c r="A196" s="5" t="s">
        <v>445</v>
      </c>
      <c r="B196" s="22" t="s">
        <v>15</v>
      </c>
      <c r="C196" s="22" t="s">
        <v>396</v>
      </c>
      <c r="D196" s="23" t="s">
        <v>446</v>
      </c>
      <c r="E196" s="24" t="str">
        <f t="shared" si="18"/>
        <v>B0031762E001</v>
      </c>
      <c r="F196" s="13">
        <v>44243</v>
      </c>
      <c r="G196" s="13">
        <f t="shared" si="17"/>
        <v>44250</v>
      </c>
      <c r="H196" s="7">
        <f t="shared" ca="1" si="19"/>
        <v>-853</v>
      </c>
      <c r="I196" s="8">
        <v>44255</v>
      </c>
      <c r="J196" s="9">
        <f t="shared" ca="1" si="20"/>
        <v>0</v>
      </c>
      <c r="K196" s="10"/>
      <c r="L196" s="10" t="str">
        <f t="shared" si="21"/>
        <v>Accepted</v>
      </c>
      <c r="M196" s="11">
        <v>1</v>
      </c>
      <c r="N196" s="10" t="s">
        <v>30</v>
      </c>
      <c r="O196" s="42">
        <f t="shared" si="22"/>
        <v>25000</v>
      </c>
      <c r="P196" s="10" t="s">
        <v>19</v>
      </c>
    </row>
    <row r="197" spans="1:16" s="22" customFormat="1" ht="14.25" customHeight="1" x14ac:dyDescent="0.25">
      <c r="A197" s="5" t="s">
        <v>459</v>
      </c>
      <c r="B197" s="22" t="s">
        <v>15</v>
      </c>
      <c r="C197" s="22" t="s">
        <v>396</v>
      </c>
      <c r="D197" s="23" t="s">
        <v>460</v>
      </c>
      <c r="E197" s="24" t="str">
        <f t="shared" si="18"/>
        <v>B0032132a002</v>
      </c>
      <c r="F197" s="13">
        <v>44243</v>
      </c>
      <c r="G197" s="13">
        <f t="shared" ref="G197:G260" si="23">F197+7</f>
        <v>44250</v>
      </c>
      <c r="H197" s="7">
        <f t="shared" ca="1" si="19"/>
        <v>-853</v>
      </c>
      <c r="I197" s="8">
        <v>44255</v>
      </c>
      <c r="J197" s="9">
        <f t="shared" ca="1" si="20"/>
        <v>0</v>
      </c>
      <c r="K197" s="10"/>
      <c r="L197" s="10" t="str">
        <f t="shared" si="21"/>
        <v>Accepted</v>
      </c>
      <c r="M197" s="11">
        <v>0</v>
      </c>
      <c r="N197" s="10" t="s">
        <v>18</v>
      </c>
      <c r="O197" s="42">
        <f t="shared" si="22"/>
        <v>20000</v>
      </c>
      <c r="P197" s="10" t="s">
        <v>19</v>
      </c>
    </row>
    <row r="198" spans="1:16" s="22" customFormat="1" ht="14.25" customHeight="1" x14ac:dyDescent="0.25">
      <c r="A198" s="5" t="s">
        <v>467</v>
      </c>
      <c r="B198" s="22" t="s">
        <v>15</v>
      </c>
      <c r="C198" s="22" t="s">
        <v>2467</v>
      </c>
      <c r="D198" s="23" t="s">
        <v>468</v>
      </c>
      <c r="E198" s="24" t="str">
        <f t="shared" si="18"/>
        <v>M3200082E002</v>
      </c>
      <c r="F198" s="13">
        <v>44250</v>
      </c>
      <c r="G198" s="13">
        <f t="shared" si="23"/>
        <v>44257</v>
      </c>
      <c r="H198" s="7">
        <f t="shared" ca="1" si="19"/>
        <v>-846</v>
      </c>
      <c r="I198" s="8">
        <v>44255</v>
      </c>
      <c r="J198" s="9">
        <f t="shared" ca="1" si="20"/>
        <v>0</v>
      </c>
      <c r="K198" s="10"/>
      <c r="L198" s="10" t="str">
        <f t="shared" si="21"/>
        <v>Accepted</v>
      </c>
      <c r="M198" s="11">
        <v>0</v>
      </c>
      <c r="N198" s="10" t="s">
        <v>18</v>
      </c>
      <c r="O198" s="42">
        <f t="shared" si="22"/>
        <v>20000</v>
      </c>
      <c r="P198" s="10" t="s">
        <v>19</v>
      </c>
    </row>
    <row r="199" spans="1:16" s="22" customFormat="1" ht="14.25" customHeight="1" x14ac:dyDescent="0.25">
      <c r="A199" s="5" t="s">
        <v>469</v>
      </c>
      <c r="B199" s="22" t="s">
        <v>15</v>
      </c>
      <c r="C199" s="22" t="s">
        <v>2467</v>
      </c>
      <c r="D199" s="23" t="s">
        <v>470</v>
      </c>
      <c r="E199" s="24" t="str">
        <f t="shared" si="18"/>
        <v>M3200082E003</v>
      </c>
      <c r="F199" s="13">
        <v>44250</v>
      </c>
      <c r="G199" s="13">
        <f t="shared" si="23"/>
        <v>44257</v>
      </c>
      <c r="H199" s="7">
        <f t="shared" ca="1" si="19"/>
        <v>-846</v>
      </c>
      <c r="I199" s="8">
        <v>44255</v>
      </c>
      <c r="J199" s="9">
        <f t="shared" ca="1" si="20"/>
        <v>0</v>
      </c>
      <c r="K199" s="10"/>
      <c r="L199" s="10" t="str">
        <f t="shared" si="21"/>
        <v>Accepted</v>
      </c>
      <c r="M199" s="11">
        <v>0</v>
      </c>
      <c r="N199" s="10" t="s">
        <v>18</v>
      </c>
      <c r="O199" s="42">
        <f t="shared" si="22"/>
        <v>20000</v>
      </c>
      <c r="P199" s="10" t="s">
        <v>19</v>
      </c>
    </row>
    <row r="200" spans="1:16" s="22" customFormat="1" ht="14.25" customHeight="1" x14ac:dyDescent="0.25">
      <c r="A200" s="5" t="s">
        <v>473</v>
      </c>
      <c r="B200" s="22" t="s">
        <v>15</v>
      </c>
      <c r="C200" s="22" t="s">
        <v>2467</v>
      </c>
      <c r="D200" s="23" t="s">
        <v>474</v>
      </c>
      <c r="E200" s="24" t="str">
        <f t="shared" si="18"/>
        <v>M3200092E005</v>
      </c>
      <c r="F200" s="13">
        <v>44250</v>
      </c>
      <c r="G200" s="13">
        <f t="shared" si="23"/>
        <v>44257</v>
      </c>
      <c r="H200" s="7">
        <f t="shared" ca="1" si="19"/>
        <v>-846</v>
      </c>
      <c r="I200" s="8">
        <v>44255</v>
      </c>
      <c r="J200" s="9">
        <f t="shared" ca="1" si="20"/>
        <v>0</v>
      </c>
      <c r="K200" s="10"/>
      <c r="L200" s="10" t="str">
        <f t="shared" si="21"/>
        <v>Accepted</v>
      </c>
      <c r="M200" s="11">
        <v>0</v>
      </c>
      <c r="N200" s="10" t="s">
        <v>18</v>
      </c>
      <c r="O200" s="42">
        <f t="shared" si="22"/>
        <v>20000</v>
      </c>
      <c r="P200" s="10" t="s">
        <v>19</v>
      </c>
    </row>
    <row r="201" spans="1:16" s="22" customFormat="1" ht="14.25" customHeight="1" x14ac:dyDescent="0.25">
      <c r="A201" s="5" t="s">
        <v>475</v>
      </c>
      <c r="B201" s="22" t="s">
        <v>15</v>
      </c>
      <c r="C201" s="22" t="s">
        <v>2467</v>
      </c>
      <c r="D201" s="23" t="s">
        <v>476</v>
      </c>
      <c r="E201" s="24" t="str">
        <f t="shared" si="18"/>
        <v>M3200121E001</v>
      </c>
      <c r="F201" s="13">
        <v>44250</v>
      </c>
      <c r="G201" s="13">
        <f t="shared" si="23"/>
        <v>44257</v>
      </c>
      <c r="H201" s="7">
        <f t="shared" ca="1" si="19"/>
        <v>-846</v>
      </c>
      <c r="I201" s="8">
        <v>44255</v>
      </c>
      <c r="J201" s="9">
        <f t="shared" ca="1" si="20"/>
        <v>0</v>
      </c>
      <c r="K201" s="10"/>
      <c r="L201" s="10" t="str">
        <f t="shared" si="21"/>
        <v>Accepted</v>
      </c>
      <c r="M201" s="11">
        <v>1</v>
      </c>
      <c r="N201" s="10" t="s">
        <v>18</v>
      </c>
      <c r="O201" s="42">
        <f t="shared" si="22"/>
        <v>20000</v>
      </c>
      <c r="P201" s="10" t="s">
        <v>19</v>
      </c>
    </row>
    <row r="202" spans="1:16" s="22" customFormat="1" ht="14.25" customHeight="1" x14ac:dyDescent="0.25">
      <c r="A202" s="5" t="s">
        <v>477</v>
      </c>
      <c r="B202" s="22" t="s">
        <v>15</v>
      </c>
      <c r="C202" s="22" t="s">
        <v>2467</v>
      </c>
      <c r="D202" s="23" t="s">
        <v>478</v>
      </c>
      <c r="E202" s="24" t="str">
        <f t="shared" si="18"/>
        <v>M3200121E002</v>
      </c>
      <c r="F202" s="13">
        <v>44250</v>
      </c>
      <c r="G202" s="13">
        <f t="shared" si="23"/>
        <v>44257</v>
      </c>
      <c r="H202" s="7">
        <f t="shared" ca="1" si="19"/>
        <v>-846</v>
      </c>
      <c r="I202" s="8">
        <v>44255</v>
      </c>
      <c r="J202" s="9">
        <f t="shared" ca="1" si="20"/>
        <v>0</v>
      </c>
      <c r="K202" s="10"/>
      <c r="L202" s="10" t="str">
        <f t="shared" si="21"/>
        <v>Accepted</v>
      </c>
      <c r="M202" s="11">
        <v>1</v>
      </c>
      <c r="N202" s="10" t="s">
        <v>18</v>
      </c>
      <c r="O202" s="42">
        <f t="shared" si="22"/>
        <v>20000</v>
      </c>
      <c r="P202" s="10" t="s">
        <v>19</v>
      </c>
    </row>
    <row r="203" spans="1:16" s="22" customFormat="1" ht="14.25" customHeight="1" x14ac:dyDescent="0.25">
      <c r="A203" s="26" t="s">
        <v>2481</v>
      </c>
      <c r="B203" s="22" t="s">
        <v>15</v>
      </c>
      <c r="C203" s="22" t="s">
        <v>16</v>
      </c>
      <c r="D203" s="23" t="s">
        <v>64</v>
      </c>
      <c r="E203" s="24" t="str">
        <f t="shared" si="18"/>
        <v>C0040011P003</v>
      </c>
      <c r="F203" s="6">
        <v>44124</v>
      </c>
      <c r="G203" s="13">
        <f t="shared" si="23"/>
        <v>44131</v>
      </c>
      <c r="H203" s="7">
        <f t="shared" ca="1" si="19"/>
        <v>-972</v>
      </c>
      <c r="I203" s="8">
        <v>44260</v>
      </c>
      <c r="J203" s="9">
        <f t="shared" ca="1" si="20"/>
        <v>0</v>
      </c>
      <c r="K203" s="10"/>
      <c r="L203" s="10" t="str">
        <f t="shared" si="21"/>
        <v>Accepted</v>
      </c>
      <c r="M203" s="11">
        <v>0</v>
      </c>
      <c r="N203" s="10" t="s">
        <v>18</v>
      </c>
      <c r="O203" s="42">
        <f t="shared" si="22"/>
        <v>20000</v>
      </c>
      <c r="P203" s="10" t="s">
        <v>19</v>
      </c>
    </row>
    <row r="204" spans="1:16" s="22" customFormat="1" ht="14.25" customHeight="1" x14ac:dyDescent="0.25">
      <c r="A204" s="5" t="s">
        <v>68</v>
      </c>
      <c r="B204" s="22" t="s">
        <v>28</v>
      </c>
      <c r="C204" s="22" t="s">
        <v>2462</v>
      </c>
      <c r="D204" s="23" t="s">
        <v>69</v>
      </c>
      <c r="E204" s="24" t="str">
        <f t="shared" si="18"/>
        <v>C0171481P035</v>
      </c>
      <c r="F204" s="6">
        <v>44148</v>
      </c>
      <c r="G204" s="13">
        <f t="shared" si="23"/>
        <v>44155</v>
      </c>
      <c r="H204" s="7">
        <f t="shared" ca="1" si="19"/>
        <v>-948</v>
      </c>
      <c r="I204" s="8">
        <v>44260</v>
      </c>
      <c r="J204" s="9">
        <f t="shared" ca="1" si="20"/>
        <v>0</v>
      </c>
      <c r="K204" s="10"/>
      <c r="L204" s="10" t="str">
        <f t="shared" si="21"/>
        <v>Accepted</v>
      </c>
      <c r="M204" s="11">
        <v>0</v>
      </c>
      <c r="N204" s="10" t="s">
        <v>30</v>
      </c>
      <c r="O204" s="42">
        <f t="shared" si="22"/>
        <v>18000</v>
      </c>
      <c r="P204" s="10" t="s">
        <v>19</v>
      </c>
    </row>
    <row r="205" spans="1:16" s="22" customFormat="1" ht="14.25" customHeight="1" x14ac:dyDescent="0.25">
      <c r="A205" s="16" t="s">
        <v>225</v>
      </c>
      <c r="B205" s="22" t="s">
        <v>15</v>
      </c>
      <c r="C205" s="22" t="s">
        <v>191</v>
      </c>
      <c r="D205" s="23" t="s">
        <v>226</v>
      </c>
      <c r="E205" s="24" t="str">
        <f t="shared" si="18"/>
        <v>M1083201P044</v>
      </c>
      <c r="F205" s="6">
        <v>44188</v>
      </c>
      <c r="G205" s="13">
        <f t="shared" si="23"/>
        <v>44195</v>
      </c>
      <c r="H205" s="7">
        <f t="shared" ca="1" si="19"/>
        <v>-908</v>
      </c>
      <c r="I205" s="8">
        <v>44260</v>
      </c>
      <c r="J205" s="9">
        <f t="shared" ca="1" si="20"/>
        <v>0</v>
      </c>
      <c r="K205" s="10"/>
      <c r="L205" s="10" t="str">
        <f t="shared" si="21"/>
        <v>Accepted</v>
      </c>
      <c r="M205" s="11">
        <v>0</v>
      </c>
      <c r="N205" s="10" t="s">
        <v>18</v>
      </c>
      <c r="O205" s="42">
        <f t="shared" si="22"/>
        <v>20000</v>
      </c>
      <c r="P205" s="10" t="s">
        <v>19</v>
      </c>
    </row>
    <row r="206" spans="1:16" s="22" customFormat="1" ht="14.25" customHeight="1" x14ac:dyDescent="0.25">
      <c r="A206" s="5" t="s">
        <v>339</v>
      </c>
      <c r="B206" s="22" t="s">
        <v>15</v>
      </c>
      <c r="C206" s="22" t="s">
        <v>337</v>
      </c>
      <c r="D206" s="23" t="s">
        <v>340</v>
      </c>
      <c r="E206" s="24" t="str">
        <f t="shared" si="18"/>
        <v>M2671051P016</v>
      </c>
      <c r="F206" s="13">
        <v>44230</v>
      </c>
      <c r="G206" s="13">
        <f t="shared" si="23"/>
        <v>44237</v>
      </c>
      <c r="H206" s="7">
        <f t="shared" ca="1" si="19"/>
        <v>-866</v>
      </c>
      <c r="I206" s="8">
        <v>44260</v>
      </c>
      <c r="J206" s="9">
        <f t="shared" ca="1" si="20"/>
        <v>0</v>
      </c>
      <c r="K206" s="10"/>
      <c r="L206" s="10" t="str">
        <f t="shared" si="21"/>
        <v>Accepted</v>
      </c>
      <c r="M206" s="11">
        <v>0</v>
      </c>
      <c r="N206" s="10" t="s">
        <v>18</v>
      </c>
      <c r="O206" s="42">
        <f t="shared" si="22"/>
        <v>20000</v>
      </c>
      <c r="P206" s="10" t="s">
        <v>19</v>
      </c>
    </row>
    <row r="207" spans="1:16" s="22" customFormat="1" ht="14.25" customHeight="1" x14ac:dyDescent="0.25">
      <c r="A207" s="5" t="s">
        <v>341</v>
      </c>
      <c r="B207" s="22" t="s">
        <v>15</v>
      </c>
      <c r="C207" s="22" t="s">
        <v>321</v>
      </c>
      <c r="D207" s="23" t="s">
        <v>342</v>
      </c>
      <c r="E207" s="24" t="str">
        <f t="shared" si="18"/>
        <v>B0101021P020</v>
      </c>
      <c r="F207" s="13">
        <v>44230</v>
      </c>
      <c r="G207" s="13">
        <f t="shared" si="23"/>
        <v>44237</v>
      </c>
      <c r="H207" s="7">
        <f t="shared" ca="1" si="19"/>
        <v>-866</v>
      </c>
      <c r="I207" s="8">
        <v>44260</v>
      </c>
      <c r="J207" s="9">
        <f t="shared" ca="1" si="20"/>
        <v>0</v>
      </c>
      <c r="K207" s="10"/>
      <c r="L207" s="10" t="str">
        <f t="shared" si="21"/>
        <v>Accepted</v>
      </c>
      <c r="M207" s="11">
        <v>0</v>
      </c>
      <c r="N207" s="10" t="s">
        <v>18</v>
      </c>
      <c r="O207" s="42">
        <f t="shared" si="22"/>
        <v>20000</v>
      </c>
      <c r="P207" s="10" t="s">
        <v>19</v>
      </c>
    </row>
    <row r="208" spans="1:16" s="22" customFormat="1" ht="14.25" customHeight="1" x14ac:dyDescent="0.25">
      <c r="A208" s="5" t="s">
        <v>357</v>
      </c>
      <c r="B208" s="22" t="s">
        <v>15</v>
      </c>
      <c r="C208" s="22" t="s">
        <v>358</v>
      </c>
      <c r="D208" s="23" t="s">
        <v>359</v>
      </c>
      <c r="E208" s="24" t="str">
        <f t="shared" si="18"/>
        <v>M2640351P044</v>
      </c>
      <c r="F208" s="13">
        <v>44232</v>
      </c>
      <c r="G208" s="13">
        <f t="shared" si="23"/>
        <v>44239</v>
      </c>
      <c r="H208" s="7">
        <f t="shared" ca="1" si="19"/>
        <v>-864</v>
      </c>
      <c r="I208" s="8">
        <v>44260</v>
      </c>
      <c r="J208" s="9">
        <f t="shared" ca="1" si="20"/>
        <v>0</v>
      </c>
      <c r="K208" s="10"/>
      <c r="L208" s="10" t="str">
        <f t="shared" si="21"/>
        <v>Accepted</v>
      </c>
      <c r="M208" s="11">
        <v>0</v>
      </c>
      <c r="N208" s="10" t="s">
        <v>18</v>
      </c>
      <c r="O208" s="42">
        <f t="shared" si="22"/>
        <v>20000</v>
      </c>
      <c r="P208" s="10" t="s">
        <v>19</v>
      </c>
    </row>
    <row r="209" spans="1:16" s="22" customFormat="1" ht="14.25" customHeight="1" x14ac:dyDescent="0.25">
      <c r="A209" s="5" t="s">
        <v>360</v>
      </c>
      <c r="B209" s="22" t="s">
        <v>15</v>
      </c>
      <c r="C209" s="22" t="s">
        <v>358</v>
      </c>
      <c r="D209" s="23" t="s">
        <v>361</v>
      </c>
      <c r="E209" s="24" t="str">
        <f t="shared" si="18"/>
        <v>M2640371P053</v>
      </c>
      <c r="F209" s="13">
        <v>44232</v>
      </c>
      <c r="G209" s="13">
        <f t="shared" si="23"/>
        <v>44239</v>
      </c>
      <c r="H209" s="7">
        <f t="shared" ca="1" si="19"/>
        <v>-864</v>
      </c>
      <c r="I209" s="8">
        <v>44260</v>
      </c>
      <c r="J209" s="9">
        <f t="shared" ca="1" si="20"/>
        <v>0</v>
      </c>
      <c r="K209" s="10"/>
      <c r="L209" s="10" t="str">
        <f t="shared" si="21"/>
        <v>Accepted</v>
      </c>
      <c r="M209" s="11">
        <v>0</v>
      </c>
      <c r="N209" s="10" t="s">
        <v>30</v>
      </c>
      <c r="O209" s="42">
        <f t="shared" si="22"/>
        <v>25000</v>
      </c>
      <c r="P209" s="10" t="s">
        <v>19</v>
      </c>
    </row>
    <row r="210" spans="1:16" s="22" customFormat="1" ht="14.25" customHeight="1" x14ac:dyDescent="0.25">
      <c r="A210" s="5" t="s">
        <v>439</v>
      </c>
      <c r="B210" s="22" t="s">
        <v>15</v>
      </c>
      <c r="C210" s="22" t="s">
        <v>396</v>
      </c>
      <c r="D210" s="23" t="s">
        <v>440</v>
      </c>
      <c r="E210" s="24" t="str">
        <f t="shared" si="18"/>
        <v>B0031322E001</v>
      </c>
      <c r="F210" s="13">
        <v>44243</v>
      </c>
      <c r="G210" s="13">
        <f t="shared" si="23"/>
        <v>44250</v>
      </c>
      <c r="H210" s="7">
        <f t="shared" ca="1" si="19"/>
        <v>-853</v>
      </c>
      <c r="I210" s="8">
        <v>44260</v>
      </c>
      <c r="J210" s="9">
        <f t="shared" ca="1" si="20"/>
        <v>0</v>
      </c>
      <c r="K210" s="10"/>
      <c r="L210" s="10" t="str">
        <f t="shared" si="21"/>
        <v>Accepted</v>
      </c>
      <c r="M210" s="11">
        <v>0</v>
      </c>
      <c r="N210" s="10" t="s">
        <v>18</v>
      </c>
      <c r="O210" s="42">
        <f t="shared" si="22"/>
        <v>20000</v>
      </c>
      <c r="P210" s="10" t="s">
        <v>19</v>
      </c>
    </row>
    <row r="211" spans="1:16" s="22" customFormat="1" ht="14.25" customHeight="1" x14ac:dyDescent="0.25">
      <c r="A211" s="16" t="s">
        <v>227</v>
      </c>
      <c r="B211" s="22" t="s">
        <v>15</v>
      </c>
      <c r="C211" s="22" t="s">
        <v>191</v>
      </c>
      <c r="D211" s="23" t="s">
        <v>228</v>
      </c>
      <c r="E211" s="24" t="str">
        <f t="shared" si="18"/>
        <v>M1083201P045</v>
      </c>
      <c r="F211" s="6">
        <v>44188</v>
      </c>
      <c r="G211" s="13">
        <f t="shared" si="23"/>
        <v>44195</v>
      </c>
      <c r="H211" s="7">
        <f t="shared" ca="1" si="19"/>
        <v>-908</v>
      </c>
      <c r="I211" s="8">
        <v>44261</v>
      </c>
      <c r="J211" s="9">
        <f t="shared" ca="1" si="20"/>
        <v>0</v>
      </c>
      <c r="K211" s="10"/>
      <c r="L211" s="10" t="str">
        <f t="shared" si="21"/>
        <v>Accepted</v>
      </c>
      <c r="M211" s="11">
        <v>0</v>
      </c>
      <c r="N211" s="10" t="s">
        <v>18</v>
      </c>
      <c r="O211" s="42">
        <f t="shared" si="22"/>
        <v>20000</v>
      </c>
      <c r="P211" s="10" t="s">
        <v>19</v>
      </c>
    </row>
    <row r="212" spans="1:16" s="22" customFormat="1" ht="14.25" customHeight="1" x14ac:dyDescent="0.25">
      <c r="A212" s="16" t="s">
        <v>229</v>
      </c>
      <c r="B212" s="22" t="s">
        <v>15</v>
      </c>
      <c r="C212" s="22" t="s">
        <v>191</v>
      </c>
      <c r="D212" s="23" t="s">
        <v>230</v>
      </c>
      <c r="E212" s="24" t="str">
        <f t="shared" si="18"/>
        <v>M1083201P046</v>
      </c>
      <c r="F212" s="6">
        <v>44188</v>
      </c>
      <c r="G212" s="13">
        <f t="shared" si="23"/>
        <v>44195</v>
      </c>
      <c r="H212" s="7">
        <f t="shared" ca="1" si="19"/>
        <v>-908</v>
      </c>
      <c r="I212" s="8">
        <v>44261</v>
      </c>
      <c r="J212" s="9">
        <f t="shared" ca="1" si="20"/>
        <v>0</v>
      </c>
      <c r="K212" s="10"/>
      <c r="L212" s="10" t="str">
        <f t="shared" si="21"/>
        <v>Accepted</v>
      </c>
      <c r="M212" s="11">
        <v>1</v>
      </c>
      <c r="N212" s="10" t="s">
        <v>18</v>
      </c>
      <c r="O212" s="42">
        <f t="shared" si="22"/>
        <v>20000</v>
      </c>
      <c r="P212" s="10" t="s">
        <v>19</v>
      </c>
    </row>
    <row r="213" spans="1:16" s="22" customFormat="1" ht="14.25" customHeight="1" x14ac:dyDescent="0.25">
      <c r="A213" s="5" t="s">
        <v>295</v>
      </c>
      <c r="B213" s="22" t="s">
        <v>15</v>
      </c>
      <c r="C213" s="22" t="s">
        <v>262</v>
      </c>
      <c r="D213" s="23" t="s">
        <v>296</v>
      </c>
      <c r="E213" s="24" t="str">
        <f t="shared" si="18"/>
        <v>M2900811P051</v>
      </c>
      <c r="F213" s="13">
        <v>44218</v>
      </c>
      <c r="G213" s="13">
        <f t="shared" si="23"/>
        <v>44225</v>
      </c>
      <c r="H213" s="7">
        <f t="shared" ca="1" si="19"/>
        <v>-878</v>
      </c>
      <c r="I213" s="8">
        <v>44261</v>
      </c>
      <c r="J213" s="9">
        <f t="shared" ca="1" si="20"/>
        <v>0</v>
      </c>
      <c r="K213" s="10"/>
      <c r="L213" s="10" t="str">
        <f t="shared" si="21"/>
        <v>Accepted</v>
      </c>
      <c r="M213" s="11">
        <v>0</v>
      </c>
      <c r="N213" s="10" t="s">
        <v>18</v>
      </c>
      <c r="O213" s="42">
        <f t="shared" si="22"/>
        <v>20000</v>
      </c>
      <c r="P213" s="10" t="s">
        <v>19</v>
      </c>
    </row>
    <row r="214" spans="1:16" s="22" customFormat="1" ht="14.25" customHeight="1" x14ac:dyDescent="0.25">
      <c r="A214" s="5" t="s">
        <v>366</v>
      </c>
      <c r="B214" s="22" t="s">
        <v>15</v>
      </c>
      <c r="C214" s="22" t="s">
        <v>358</v>
      </c>
      <c r="D214" s="23" t="s">
        <v>367</v>
      </c>
      <c r="E214" s="24" t="str">
        <f t="shared" si="18"/>
        <v>M2640662E008</v>
      </c>
      <c r="F214" s="13">
        <v>44232</v>
      </c>
      <c r="G214" s="13">
        <f t="shared" si="23"/>
        <v>44239</v>
      </c>
      <c r="H214" s="7">
        <f t="shared" ca="1" si="19"/>
        <v>-864</v>
      </c>
      <c r="I214" s="8">
        <v>44261</v>
      </c>
      <c r="J214" s="9">
        <f t="shared" ca="1" si="20"/>
        <v>0</v>
      </c>
      <c r="K214" s="10"/>
      <c r="L214" s="10" t="str">
        <f t="shared" si="21"/>
        <v>Accepted</v>
      </c>
      <c r="M214" s="11">
        <v>0</v>
      </c>
      <c r="N214" s="10" t="s">
        <v>30</v>
      </c>
      <c r="O214" s="42">
        <f t="shared" si="22"/>
        <v>25000</v>
      </c>
      <c r="P214" s="10" t="s">
        <v>19</v>
      </c>
    </row>
    <row r="215" spans="1:16" s="22" customFormat="1" ht="14.25" customHeight="1" x14ac:dyDescent="0.25">
      <c r="A215" s="5" t="s">
        <v>375</v>
      </c>
      <c r="B215" s="22" t="s">
        <v>15</v>
      </c>
      <c r="C215" s="22" t="s">
        <v>373</v>
      </c>
      <c r="D215" s="23" t="s">
        <v>376</v>
      </c>
      <c r="E215" s="24" t="str">
        <f t="shared" si="18"/>
        <v>M2650261E005</v>
      </c>
      <c r="F215" s="13">
        <v>44232</v>
      </c>
      <c r="G215" s="13">
        <f t="shared" si="23"/>
        <v>44239</v>
      </c>
      <c r="H215" s="7">
        <f t="shared" ca="1" si="19"/>
        <v>-864</v>
      </c>
      <c r="I215" s="8">
        <v>44261</v>
      </c>
      <c r="J215" s="9">
        <f t="shared" ca="1" si="20"/>
        <v>0</v>
      </c>
      <c r="K215" s="10"/>
      <c r="L215" s="10" t="str">
        <f t="shared" si="21"/>
        <v>Accepted</v>
      </c>
      <c r="M215" s="11">
        <v>0</v>
      </c>
      <c r="N215" s="10" t="s">
        <v>18</v>
      </c>
      <c r="O215" s="42">
        <f t="shared" si="22"/>
        <v>20000</v>
      </c>
      <c r="P215" s="10" t="s">
        <v>19</v>
      </c>
    </row>
    <row r="216" spans="1:16" s="22" customFormat="1" ht="14.25" customHeight="1" x14ac:dyDescent="0.25">
      <c r="A216" s="5" t="s">
        <v>401</v>
      </c>
      <c r="B216" s="22" t="s">
        <v>15</v>
      </c>
      <c r="C216" s="22" t="s">
        <v>21</v>
      </c>
      <c r="D216" s="23" t="s">
        <v>402</v>
      </c>
      <c r="E216" s="24" t="str">
        <f t="shared" si="18"/>
        <v>M1800881E002</v>
      </c>
      <c r="F216" s="13">
        <v>44243</v>
      </c>
      <c r="G216" s="13">
        <f t="shared" si="23"/>
        <v>44250</v>
      </c>
      <c r="H216" s="7">
        <f t="shared" ca="1" si="19"/>
        <v>-853</v>
      </c>
      <c r="I216" s="8">
        <v>44261</v>
      </c>
      <c r="J216" s="9">
        <f t="shared" ca="1" si="20"/>
        <v>0</v>
      </c>
      <c r="K216" s="10"/>
      <c r="L216" s="10" t="str">
        <f t="shared" si="21"/>
        <v>Accepted</v>
      </c>
      <c r="M216" s="11">
        <v>0</v>
      </c>
      <c r="N216" s="10" t="s">
        <v>30</v>
      </c>
      <c r="O216" s="42">
        <f t="shared" si="22"/>
        <v>25000</v>
      </c>
      <c r="P216" s="10" t="s">
        <v>19</v>
      </c>
    </row>
    <row r="217" spans="1:16" s="22" customFormat="1" ht="14.25" customHeight="1" x14ac:dyDescent="0.25">
      <c r="A217" s="5" t="s">
        <v>409</v>
      </c>
      <c r="B217" s="22" t="s">
        <v>15</v>
      </c>
      <c r="C217" s="22" t="s">
        <v>358</v>
      </c>
      <c r="D217" s="23" t="s">
        <v>410</v>
      </c>
      <c r="E217" s="24" t="str">
        <f t="shared" si="18"/>
        <v>M1172291P012</v>
      </c>
      <c r="F217" s="13">
        <v>44243</v>
      </c>
      <c r="G217" s="13">
        <f t="shared" si="23"/>
        <v>44250</v>
      </c>
      <c r="H217" s="7">
        <f t="shared" ca="1" si="19"/>
        <v>-853</v>
      </c>
      <c r="I217" s="8">
        <v>44261</v>
      </c>
      <c r="J217" s="9">
        <f t="shared" ca="1" si="20"/>
        <v>0</v>
      </c>
      <c r="K217" s="10"/>
      <c r="L217" s="10" t="str">
        <f t="shared" si="21"/>
        <v>Accepted</v>
      </c>
      <c r="M217" s="11">
        <v>0</v>
      </c>
      <c r="N217" s="10" t="s">
        <v>30</v>
      </c>
      <c r="O217" s="42">
        <f t="shared" si="22"/>
        <v>25000</v>
      </c>
      <c r="P217" s="10" t="s">
        <v>19</v>
      </c>
    </row>
    <row r="218" spans="1:16" s="22" customFormat="1" ht="14.25" customHeight="1" x14ac:dyDescent="0.25">
      <c r="A218" s="5" t="s">
        <v>276</v>
      </c>
      <c r="B218" s="22" t="s">
        <v>28</v>
      </c>
      <c r="C218" s="22" t="s">
        <v>2466</v>
      </c>
      <c r="D218" s="23" t="s">
        <v>277</v>
      </c>
      <c r="E218" s="24" t="str">
        <f t="shared" si="18"/>
        <v>A0021114P023</v>
      </c>
      <c r="F218" s="13">
        <v>44216</v>
      </c>
      <c r="G218" s="13">
        <f t="shared" si="23"/>
        <v>44223</v>
      </c>
      <c r="H218" s="7">
        <f t="shared" ca="1" si="19"/>
        <v>-880</v>
      </c>
      <c r="I218" s="8">
        <v>44262</v>
      </c>
      <c r="J218" s="9">
        <f t="shared" ca="1" si="20"/>
        <v>0</v>
      </c>
      <c r="K218" s="10"/>
      <c r="L218" s="10" t="str">
        <f t="shared" si="21"/>
        <v>Accepted</v>
      </c>
      <c r="M218" s="11">
        <v>0</v>
      </c>
      <c r="N218" s="10" t="s">
        <v>18</v>
      </c>
      <c r="O218" s="42">
        <f t="shared" si="22"/>
        <v>15000</v>
      </c>
      <c r="P218" s="10" t="s">
        <v>19</v>
      </c>
    </row>
    <row r="219" spans="1:16" s="22" customFormat="1" ht="14.25" customHeight="1" x14ac:dyDescent="0.25">
      <c r="A219" s="5" t="s">
        <v>453</v>
      </c>
      <c r="B219" s="22" t="s">
        <v>15</v>
      </c>
      <c r="C219" s="22" t="s">
        <v>396</v>
      </c>
      <c r="D219" s="23" t="s">
        <v>454</v>
      </c>
      <c r="E219" s="24" t="str">
        <f t="shared" si="18"/>
        <v>B0032022E002</v>
      </c>
      <c r="F219" s="13">
        <v>44243</v>
      </c>
      <c r="G219" s="13">
        <f t="shared" si="23"/>
        <v>44250</v>
      </c>
      <c r="H219" s="7">
        <f t="shared" ca="1" si="19"/>
        <v>-853</v>
      </c>
      <c r="I219" s="8">
        <v>44262</v>
      </c>
      <c r="J219" s="9">
        <f t="shared" ca="1" si="20"/>
        <v>0</v>
      </c>
      <c r="K219" s="10"/>
      <c r="L219" s="10" t="str">
        <f t="shared" si="21"/>
        <v>Accepted</v>
      </c>
      <c r="M219" s="11">
        <v>0</v>
      </c>
      <c r="N219" s="10" t="s">
        <v>18</v>
      </c>
      <c r="O219" s="42">
        <f t="shared" si="22"/>
        <v>20000</v>
      </c>
      <c r="P219" s="10" t="s">
        <v>19</v>
      </c>
    </row>
    <row r="220" spans="1:16" s="22" customFormat="1" ht="14.25" customHeight="1" x14ac:dyDescent="0.25">
      <c r="A220" s="5" t="s">
        <v>463</v>
      </c>
      <c r="B220" s="22" t="s">
        <v>15</v>
      </c>
      <c r="C220" s="22" t="s">
        <v>396</v>
      </c>
      <c r="D220" s="23" t="s">
        <v>464</v>
      </c>
      <c r="E220" s="24" t="str">
        <f t="shared" si="18"/>
        <v>B0032212E001</v>
      </c>
      <c r="F220" s="13">
        <v>44243</v>
      </c>
      <c r="G220" s="13">
        <f t="shared" si="23"/>
        <v>44250</v>
      </c>
      <c r="H220" s="7">
        <f t="shared" ca="1" si="19"/>
        <v>-853</v>
      </c>
      <c r="I220" s="8">
        <v>44262</v>
      </c>
      <c r="J220" s="9">
        <f t="shared" ca="1" si="20"/>
        <v>0</v>
      </c>
      <c r="K220" s="10"/>
      <c r="L220" s="10" t="str">
        <f t="shared" si="21"/>
        <v>Accepted</v>
      </c>
      <c r="M220" s="11">
        <v>1</v>
      </c>
      <c r="N220" s="10" t="s">
        <v>30</v>
      </c>
      <c r="O220" s="42">
        <f t="shared" si="22"/>
        <v>25000</v>
      </c>
      <c r="P220" s="10" t="s">
        <v>19</v>
      </c>
    </row>
    <row r="221" spans="1:16" s="22" customFormat="1" ht="14.25" customHeight="1" x14ac:dyDescent="0.25">
      <c r="A221" s="5" t="s">
        <v>479</v>
      </c>
      <c r="B221" s="22" t="s">
        <v>15</v>
      </c>
      <c r="C221" s="22" t="s">
        <v>2467</v>
      </c>
      <c r="D221" s="23" t="s">
        <v>480</v>
      </c>
      <c r="E221" s="24" t="str">
        <f t="shared" si="18"/>
        <v>M3200121E003</v>
      </c>
      <c r="F221" s="13">
        <v>44250</v>
      </c>
      <c r="G221" s="13">
        <f t="shared" si="23"/>
        <v>44257</v>
      </c>
      <c r="H221" s="7">
        <f t="shared" ca="1" si="19"/>
        <v>-846</v>
      </c>
      <c r="I221" s="8">
        <v>44262</v>
      </c>
      <c r="J221" s="9">
        <f t="shared" ca="1" si="20"/>
        <v>0</v>
      </c>
      <c r="K221" s="10"/>
      <c r="L221" s="10" t="str">
        <f t="shared" si="21"/>
        <v>Accepted</v>
      </c>
      <c r="M221" s="11">
        <v>0</v>
      </c>
      <c r="N221" s="10" t="s">
        <v>18</v>
      </c>
      <c r="O221" s="42">
        <f t="shared" si="22"/>
        <v>20000</v>
      </c>
      <c r="P221" s="10" t="s">
        <v>19</v>
      </c>
    </row>
    <row r="222" spans="1:16" s="22" customFormat="1" ht="14.25" customHeight="1" x14ac:dyDescent="0.25">
      <c r="A222" s="5" t="s">
        <v>481</v>
      </c>
      <c r="B222" s="22" t="s">
        <v>15</v>
      </c>
      <c r="C222" s="22" t="s">
        <v>2467</v>
      </c>
      <c r="D222" s="23" t="s">
        <v>482</v>
      </c>
      <c r="E222" s="24" t="str">
        <f t="shared" si="18"/>
        <v>M3200121E004</v>
      </c>
      <c r="F222" s="13">
        <v>44250</v>
      </c>
      <c r="G222" s="13">
        <f t="shared" si="23"/>
        <v>44257</v>
      </c>
      <c r="H222" s="7">
        <f t="shared" ca="1" si="19"/>
        <v>-846</v>
      </c>
      <c r="I222" s="8">
        <v>44262</v>
      </c>
      <c r="J222" s="9">
        <f t="shared" ca="1" si="20"/>
        <v>0</v>
      </c>
      <c r="K222" s="10"/>
      <c r="L222" s="10" t="str">
        <f t="shared" si="21"/>
        <v>Accepted</v>
      </c>
      <c r="M222" s="11">
        <v>1</v>
      </c>
      <c r="N222" s="10" t="s">
        <v>18</v>
      </c>
      <c r="O222" s="42">
        <f t="shared" si="22"/>
        <v>20000</v>
      </c>
      <c r="P222" s="10" t="s">
        <v>19</v>
      </c>
    </row>
    <row r="223" spans="1:16" s="22" customFormat="1" ht="14.25" customHeight="1" x14ac:dyDescent="0.25">
      <c r="A223" s="16" t="s">
        <v>491</v>
      </c>
      <c r="B223" s="22" t="s">
        <v>15</v>
      </c>
      <c r="C223" s="22" t="s">
        <v>314</v>
      </c>
      <c r="D223" s="23" t="s">
        <v>492</v>
      </c>
      <c r="E223" s="24" t="str">
        <f t="shared" si="18"/>
        <v>A0030469E005</v>
      </c>
      <c r="F223" s="13">
        <v>44264</v>
      </c>
      <c r="G223" s="13">
        <f t="shared" si="23"/>
        <v>44271</v>
      </c>
      <c r="H223" s="7">
        <f t="shared" ca="1" si="19"/>
        <v>-832</v>
      </c>
      <c r="I223" s="8">
        <v>44268</v>
      </c>
      <c r="J223" s="9">
        <f t="shared" ca="1" si="20"/>
        <v>0</v>
      </c>
      <c r="K223" s="10"/>
      <c r="L223" s="10" t="str">
        <f t="shared" si="21"/>
        <v>Accepted</v>
      </c>
      <c r="M223" s="11">
        <v>0</v>
      </c>
      <c r="N223" s="10" t="s">
        <v>18</v>
      </c>
      <c r="O223" s="42">
        <f t="shared" si="22"/>
        <v>20000</v>
      </c>
      <c r="P223" s="10" t="s">
        <v>19</v>
      </c>
    </row>
    <row r="224" spans="1:16" s="22" customFormat="1" ht="14.25" customHeight="1" x14ac:dyDescent="0.25">
      <c r="A224" s="16" t="s">
        <v>493</v>
      </c>
      <c r="B224" s="22" t="s">
        <v>15</v>
      </c>
      <c r="C224" s="22" t="s">
        <v>396</v>
      </c>
      <c r="D224" s="23" t="s">
        <v>494</v>
      </c>
      <c r="E224" s="24" t="str">
        <f t="shared" si="18"/>
        <v>B0031712E001</v>
      </c>
      <c r="F224" s="13">
        <v>44264</v>
      </c>
      <c r="G224" s="13">
        <f t="shared" si="23"/>
        <v>44271</v>
      </c>
      <c r="H224" s="7">
        <f t="shared" ca="1" si="19"/>
        <v>-832</v>
      </c>
      <c r="I224" s="8">
        <v>44268</v>
      </c>
      <c r="J224" s="9">
        <f t="shared" ca="1" si="20"/>
        <v>0</v>
      </c>
      <c r="K224" s="10"/>
      <c r="L224" s="10" t="str">
        <f t="shared" si="21"/>
        <v>Accepted</v>
      </c>
      <c r="M224" s="11">
        <v>0</v>
      </c>
      <c r="N224" s="10" t="s">
        <v>18</v>
      </c>
      <c r="O224" s="42">
        <f t="shared" si="22"/>
        <v>20000</v>
      </c>
      <c r="P224" s="10" t="s">
        <v>19</v>
      </c>
    </row>
    <row r="225" spans="1:16" s="22" customFormat="1" ht="14.25" customHeight="1" x14ac:dyDescent="0.25">
      <c r="A225" s="16" t="s">
        <v>495</v>
      </c>
      <c r="B225" s="22" t="s">
        <v>15</v>
      </c>
      <c r="C225" s="22" t="s">
        <v>291</v>
      </c>
      <c r="D225" s="23" t="s">
        <v>496</v>
      </c>
      <c r="E225" s="24" t="str">
        <f t="shared" si="18"/>
        <v>M2904071P171</v>
      </c>
      <c r="F225" s="13">
        <v>44264</v>
      </c>
      <c r="G225" s="13">
        <f t="shared" si="23"/>
        <v>44271</v>
      </c>
      <c r="H225" s="7">
        <f t="shared" ca="1" si="19"/>
        <v>-832</v>
      </c>
      <c r="I225" s="8">
        <v>44268</v>
      </c>
      <c r="J225" s="9">
        <f t="shared" ca="1" si="20"/>
        <v>0</v>
      </c>
      <c r="K225" s="10"/>
      <c r="L225" s="10" t="str">
        <f t="shared" si="21"/>
        <v>Accepted</v>
      </c>
      <c r="M225" s="11">
        <v>0</v>
      </c>
      <c r="N225" s="10" t="s">
        <v>30</v>
      </c>
      <c r="O225" s="42">
        <f t="shared" si="22"/>
        <v>25000</v>
      </c>
      <c r="P225" s="10" t="s">
        <v>19</v>
      </c>
    </row>
    <row r="226" spans="1:16" s="22" customFormat="1" ht="14.25" customHeight="1" x14ac:dyDescent="0.25">
      <c r="A226" s="16" t="s">
        <v>497</v>
      </c>
      <c r="B226" s="22" t="s">
        <v>15</v>
      </c>
      <c r="C226" s="22" t="s">
        <v>498</v>
      </c>
      <c r="D226" s="23" t="s">
        <v>499</v>
      </c>
      <c r="E226" s="24" t="str">
        <f t="shared" si="18"/>
        <v>M2970451P006</v>
      </c>
      <c r="F226" s="13">
        <v>44264</v>
      </c>
      <c r="G226" s="13">
        <f t="shared" si="23"/>
        <v>44271</v>
      </c>
      <c r="H226" s="7">
        <f t="shared" ca="1" si="19"/>
        <v>-832</v>
      </c>
      <c r="I226" s="8">
        <v>44268</v>
      </c>
      <c r="J226" s="9">
        <f t="shared" ca="1" si="20"/>
        <v>0</v>
      </c>
      <c r="K226" s="10"/>
      <c r="L226" s="10" t="str">
        <f t="shared" si="21"/>
        <v>Accepted</v>
      </c>
      <c r="M226" s="11">
        <v>1</v>
      </c>
      <c r="N226" s="10" t="s">
        <v>30</v>
      </c>
      <c r="O226" s="42">
        <f t="shared" si="22"/>
        <v>25000</v>
      </c>
      <c r="P226" s="10" t="s">
        <v>19</v>
      </c>
    </row>
    <row r="227" spans="1:16" s="22" customFormat="1" ht="14.25" customHeight="1" x14ac:dyDescent="0.25">
      <c r="A227" s="5" t="s">
        <v>465</v>
      </c>
      <c r="B227" s="22" t="s">
        <v>15</v>
      </c>
      <c r="C227" s="22" t="s">
        <v>16</v>
      </c>
      <c r="D227" s="23" t="s">
        <v>466</v>
      </c>
      <c r="E227" s="24" t="str">
        <f t="shared" si="18"/>
        <v>B0032252E001</v>
      </c>
      <c r="F227" s="13">
        <v>44243</v>
      </c>
      <c r="G227" s="13">
        <f t="shared" si="23"/>
        <v>44250</v>
      </c>
      <c r="H227" s="7">
        <f t="shared" ca="1" si="19"/>
        <v>-853</v>
      </c>
      <c r="I227" s="8">
        <v>44269</v>
      </c>
      <c r="J227" s="9">
        <f t="shared" ca="1" si="20"/>
        <v>0</v>
      </c>
      <c r="K227" s="10"/>
      <c r="L227" s="10" t="str">
        <f t="shared" si="21"/>
        <v>Accepted</v>
      </c>
      <c r="M227" s="11">
        <v>0</v>
      </c>
      <c r="N227" s="10" t="s">
        <v>18</v>
      </c>
      <c r="O227" s="42">
        <f t="shared" si="22"/>
        <v>20000</v>
      </c>
      <c r="P227" s="10" t="s">
        <v>19</v>
      </c>
    </row>
    <row r="228" spans="1:16" s="22" customFormat="1" ht="14.25" customHeight="1" x14ac:dyDescent="0.25">
      <c r="A228" s="16" t="s">
        <v>487</v>
      </c>
      <c r="B228" s="22" t="s">
        <v>15</v>
      </c>
      <c r="C228" s="22" t="s">
        <v>53</v>
      </c>
      <c r="D228" s="23" t="s">
        <v>488</v>
      </c>
      <c r="E228" s="24" t="str">
        <f t="shared" si="18"/>
        <v>M2901871P094</v>
      </c>
      <c r="F228" s="13">
        <v>44264</v>
      </c>
      <c r="G228" s="13">
        <f t="shared" si="23"/>
        <v>44271</v>
      </c>
      <c r="H228" s="7">
        <f t="shared" ca="1" si="19"/>
        <v>-832</v>
      </c>
      <c r="I228" s="8">
        <v>44269</v>
      </c>
      <c r="J228" s="9">
        <f t="shared" ca="1" si="20"/>
        <v>0</v>
      </c>
      <c r="K228" s="10"/>
      <c r="L228" s="10" t="str">
        <f t="shared" si="21"/>
        <v>Accepted</v>
      </c>
      <c r="M228" s="11">
        <v>0</v>
      </c>
      <c r="N228" s="10" t="s">
        <v>18</v>
      </c>
      <c r="O228" s="42">
        <f t="shared" si="22"/>
        <v>20000</v>
      </c>
      <c r="P228" s="10" t="s">
        <v>19</v>
      </c>
    </row>
    <row r="229" spans="1:16" s="22" customFormat="1" ht="14.25" customHeight="1" x14ac:dyDescent="0.25">
      <c r="A229" s="16" t="s">
        <v>489</v>
      </c>
      <c r="B229" s="22" t="s">
        <v>15</v>
      </c>
      <c r="C229" s="22" t="s">
        <v>358</v>
      </c>
      <c r="D229" s="23" t="s">
        <v>490</v>
      </c>
      <c r="E229" s="24" t="str">
        <f t="shared" si="18"/>
        <v>M3010193E014</v>
      </c>
      <c r="F229" s="13">
        <v>44264</v>
      </c>
      <c r="G229" s="13">
        <f t="shared" si="23"/>
        <v>44271</v>
      </c>
      <c r="H229" s="7">
        <f t="shared" ca="1" si="19"/>
        <v>-832</v>
      </c>
      <c r="I229" s="8">
        <v>44269</v>
      </c>
      <c r="J229" s="9">
        <f t="shared" ca="1" si="20"/>
        <v>0</v>
      </c>
      <c r="K229" s="10"/>
      <c r="L229" s="10" t="str">
        <f t="shared" si="21"/>
        <v>Accepted</v>
      </c>
      <c r="M229" s="11">
        <v>0</v>
      </c>
      <c r="N229" s="10" t="s">
        <v>30</v>
      </c>
      <c r="O229" s="42">
        <f t="shared" si="22"/>
        <v>25000</v>
      </c>
      <c r="P229" s="10" t="s">
        <v>19</v>
      </c>
    </row>
    <row r="230" spans="1:16" s="22" customFormat="1" ht="14.25" customHeight="1" x14ac:dyDescent="0.25">
      <c r="A230" s="16" t="s">
        <v>500</v>
      </c>
      <c r="B230" s="22" t="s">
        <v>15</v>
      </c>
      <c r="C230" s="22" t="s">
        <v>160</v>
      </c>
      <c r="D230" s="23" t="s">
        <v>501</v>
      </c>
      <c r="E230" s="24" t="str">
        <f t="shared" si="18"/>
        <v>M1013933P003</v>
      </c>
      <c r="F230" s="13">
        <v>44264</v>
      </c>
      <c r="G230" s="13">
        <f t="shared" si="23"/>
        <v>44271</v>
      </c>
      <c r="H230" s="7">
        <f t="shared" ca="1" si="19"/>
        <v>-832</v>
      </c>
      <c r="I230" s="8">
        <v>44269</v>
      </c>
      <c r="J230" s="9">
        <f t="shared" ca="1" si="20"/>
        <v>0</v>
      </c>
      <c r="K230" s="10"/>
      <c r="L230" s="10" t="str">
        <f t="shared" si="21"/>
        <v>Accepted</v>
      </c>
      <c r="M230" s="11">
        <v>0</v>
      </c>
      <c r="N230" s="10" t="s">
        <v>30</v>
      </c>
      <c r="O230" s="42">
        <f t="shared" si="22"/>
        <v>25000</v>
      </c>
      <c r="P230" s="10" t="s">
        <v>19</v>
      </c>
    </row>
    <row r="231" spans="1:16" s="22" customFormat="1" ht="14.25" customHeight="1" x14ac:dyDescent="0.25">
      <c r="A231" s="5" t="s">
        <v>411</v>
      </c>
      <c r="B231" s="22" t="s">
        <v>15</v>
      </c>
      <c r="C231" s="22" t="s">
        <v>53</v>
      </c>
      <c r="D231" s="23" t="s">
        <v>412</v>
      </c>
      <c r="E231" s="24" t="str">
        <f t="shared" si="18"/>
        <v>M2942461P003</v>
      </c>
      <c r="F231" s="13">
        <v>44243</v>
      </c>
      <c r="G231" s="13">
        <f t="shared" si="23"/>
        <v>44250</v>
      </c>
      <c r="H231" s="7">
        <f t="shared" ca="1" si="19"/>
        <v>-853</v>
      </c>
      <c r="I231" s="8">
        <v>44273</v>
      </c>
      <c r="J231" s="9">
        <f t="shared" ca="1" si="20"/>
        <v>0</v>
      </c>
      <c r="K231" s="10"/>
      <c r="L231" s="10" t="str">
        <f t="shared" si="21"/>
        <v>Accepted</v>
      </c>
      <c r="M231" s="11">
        <v>0</v>
      </c>
      <c r="N231" s="10" t="s">
        <v>30</v>
      </c>
      <c r="O231" s="42">
        <f t="shared" si="22"/>
        <v>25000</v>
      </c>
      <c r="P231" s="10" t="s">
        <v>19</v>
      </c>
    </row>
    <row r="232" spans="1:16" s="22" customFormat="1" ht="14.25" customHeight="1" x14ac:dyDescent="0.25">
      <c r="A232" s="16" t="s">
        <v>505</v>
      </c>
      <c r="B232" s="22" t="s">
        <v>15</v>
      </c>
      <c r="C232" s="22" t="s">
        <v>262</v>
      </c>
      <c r="D232" s="23" t="s">
        <v>506</v>
      </c>
      <c r="E232" s="24" t="str">
        <f t="shared" si="18"/>
        <v>M2631351c001</v>
      </c>
      <c r="F232" s="13">
        <v>44271</v>
      </c>
      <c r="G232" s="13">
        <f t="shared" si="23"/>
        <v>44278</v>
      </c>
      <c r="H232" s="7">
        <f t="shared" ca="1" si="19"/>
        <v>-825</v>
      </c>
      <c r="I232" s="8">
        <v>44273</v>
      </c>
      <c r="J232" s="9">
        <f t="shared" ca="1" si="20"/>
        <v>0</v>
      </c>
      <c r="K232" s="10"/>
      <c r="L232" s="10" t="str">
        <f t="shared" si="21"/>
        <v>Accepted</v>
      </c>
      <c r="M232" s="11">
        <v>0</v>
      </c>
      <c r="N232" s="10" t="s">
        <v>30</v>
      </c>
      <c r="O232" s="42">
        <f t="shared" si="22"/>
        <v>25000</v>
      </c>
      <c r="P232" s="10" t="s">
        <v>19</v>
      </c>
    </row>
    <row r="233" spans="1:16" s="22" customFormat="1" ht="14.25" customHeight="1" x14ac:dyDescent="0.25">
      <c r="A233" s="5" t="s">
        <v>507</v>
      </c>
      <c r="B233" s="22" t="s">
        <v>15</v>
      </c>
      <c r="C233" s="22" t="s">
        <v>21</v>
      </c>
      <c r="D233" s="23" t="s">
        <v>508</v>
      </c>
      <c r="E233" s="24" t="str">
        <f t="shared" si="18"/>
        <v>B0113201E001</v>
      </c>
      <c r="F233" s="13">
        <v>44272</v>
      </c>
      <c r="G233" s="13">
        <f t="shared" si="23"/>
        <v>44279</v>
      </c>
      <c r="H233" s="7">
        <f t="shared" ca="1" si="19"/>
        <v>-824</v>
      </c>
      <c r="I233" s="8">
        <v>44273</v>
      </c>
      <c r="J233" s="9">
        <f t="shared" ca="1" si="20"/>
        <v>0</v>
      </c>
      <c r="K233" s="10"/>
      <c r="L233" s="10" t="str">
        <f t="shared" si="21"/>
        <v>Accepted</v>
      </c>
      <c r="M233" s="11">
        <v>0</v>
      </c>
      <c r="N233" s="10" t="s">
        <v>30</v>
      </c>
      <c r="O233" s="42">
        <f t="shared" si="22"/>
        <v>25000</v>
      </c>
      <c r="P233" s="10" t="s">
        <v>19</v>
      </c>
    </row>
    <row r="234" spans="1:16" s="22" customFormat="1" ht="14.25" customHeight="1" x14ac:dyDescent="0.25">
      <c r="A234" s="5" t="s">
        <v>509</v>
      </c>
      <c r="B234" s="22" t="s">
        <v>15</v>
      </c>
      <c r="C234" s="22" t="s">
        <v>21</v>
      </c>
      <c r="D234" s="23" t="s">
        <v>510</v>
      </c>
      <c r="E234" s="24" t="str">
        <f t="shared" si="18"/>
        <v>B0113211E001</v>
      </c>
      <c r="F234" s="13">
        <v>44272</v>
      </c>
      <c r="G234" s="13">
        <f t="shared" si="23"/>
        <v>44279</v>
      </c>
      <c r="H234" s="7">
        <f t="shared" ca="1" si="19"/>
        <v>-824</v>
      </c>
      <c r="I234" s="8">
        <v>44273</v>
      </c>
      <c r="J234" s="9">
        <f t="shared" ca="1" si="20"/>
        <v>0</v>
      </c>
      <c r="K234" s="10"/>
      <c r="L234" s="10" t="str">
        <f t="shared" si="21"/>
        <v>Accepted</v>
      </c>
      <c r="M234" s="11">
        <v>0</v>
      </c>
      <c r="N234" s="10" t="s">
        <v>18</v>
      </c>
      <c r="O234" s="42">
        <f t="shared" si="22"/>
        <v>20000</v>
      </c>
      <c r="P234" s="10" t="s">
        <v>19</v>
      </c>
    </row>
    <row r="235" spans="1:16" s="22" customFormat="1" ht="14.25" customHeight="1" x14ac:dyDescent="0.25">
      <c r="A235" s="5" t="s">
        <v>511</v>
      </c>
      <c r="B235" s="22" t="s">
        <v>15</v>
      </c>
      <c r="C235" s="22" t="s">
        <v>21</v>
      </c>
      <c r="D235" s="23" t="s">
        <v>512</v>
      </c>
      <c r="E235" s="24" t="str">
        <f t="shared" si="18"/>
        <v>B0113221E001</v>
      </c>
      <c r="F235" s="13">
        <v>44272</v>
      </c>
      <c r="G235" s="13">
        <f t="shared" si="23"/>
        <v>44279</v>
      </c>
      <c r="H235" s="7">
        <f t="shared" ca="1" si="19"/>
        <v>-824</v>
      </c>
      <c r="I235" s="8">
        <v>44273</v>
      </c>
      <c r="J235" s="9">
        <f t="shared" ca="1" si="20"/>
        <v>0</v>
      </c>
      <c r="K235" s="10"/>
      <c r="L235" s="10" t="str">
        <f t="shared" si="21"/>
        <v>Accepted</v>
      </c>
      <c r="M235" s="11">
        <v>0</v>
      </c>
      <c r="N235" s="10" t="s">
        <v>30</v>
      </c>
      <c r="O235" s="42">
        <f t="shared" si="22"/>
        <v>25000</v>
      </c>
      <c r="P235" s="10" t="s">
        <v>19</v>
      </c>
    </row>
    <row r="236" spans="1:16" s="22" customFormat="1" ht="14.25" customHeight="1" x14ac:dyDescent="0.25">
      <c r="A236" s="5" t="s">
        <v>513</v>
      </c>
      <c r="B236" s="22" t="s">
        <v>15</v>
      </c>
      <c r="C236" s="22" t="s">
        <v>21</v>
      </c>
      <c r="D236" s="23" t="s">
        <v>514</v>
      </c>
      <c r="E236" s="24" t="str">
        <f t="shared" si="18"/>
        <v>B0113241E034</v>
      </c>
      <c r="F236" s="13">
        <v>44272</v>
      </c>
      <c r="G236" s="13">
        <f t="shared" si="23"/>
        <v>44279</v>
      </c>
      <c r="H236" s="7">
        <f t="shared" ca="1" si="19"/>
        <v>-824</v>
      </c>
      <c r="I236" s="8">
        <v>44273</v>
      </c>
      <c r="J236" s="9">
        <f t="shared" ca="1" si="20"/>
        <v>0</v>
      </c>
      <c r="K236" s="10"/>
      <c r="L236" s="10" t="str">
        <f t="shared" si="21"/>
        <v>Accepted</v>
      </c>
      <c r="M236" s="11">
        <v>0</v>
      </c>
      <c r="N236" s="10" t="s">
        <v>18</v>
      </c>
      <c r="O236" s="42">
        <f t="shared" si="22"/>
        <v>20000</v>
      </c>
      <c r="P236" s="10" t="s">
        <v>19</v>
      </c>
    </row>
    <row r="237" spans="1:16" s="22" customFormat="1" ht="14.25" customHeight="1" x14ac:dyDescent="0.25">
      <c r="A237" s="5" t="s">
        <v>515</v>
      </c>
      <c r="B237" s="22" t="s">
        <v>15</v>
      </c>
      <c r="C237" s="22" t="s">
        <v>21</v>
      </c>
      <c r="D237" s="23" t="s">
        <v>516</v>
      </c>
      <c r="E237" s="24" t="str">
        <f t="shared" si="18"/>
        <v>B0113261E010</v>
      </c>
      <c r="F237" s="13">
        <v>44272</v>
      </c>
      <c r="G237" s="13">
        <f t="shared" si="23"/>
        <v>44279</v>
      </c>
      <c r="H237" s="7">
        <f t="shared" ca="1" si="19"/>
        <v>-824</v>
      </c>
      <c r="I237" s="8">
        <v>44273</v>
      </c>
      <c r="J237" s="9">
        <f t="shared" ca="1" si="20"/>
        <v>0</v>
      </c>
      <c r="K237" s="10"/>
      <c r="L237" s="10" t="str">
        <f t="shared" si="21"/>
        <v>Accepted</v>
      </c>
      <c r="M237" s="11">
        <v>0</v>
      </c>
      <c r="N237" s="10" t="s">
        <v>18</v>
      </c>
      <c r="O237" s="42">
        <f t="shared" si="22"/>
        <v>20000</v>
      </c>
      <c r="P237" s="10" t="s">
        <v>19</v>
      </c>
    </row>
    <row r="238" spans="1:16" s="22" customFormat="1" ht="14.25" customHeight="1" x14ac:dyDescent="0.25">
      <c r="A238" s="5" t="s">
        <v>517</v>
      </c>
      <c r="B238" s="22" t="s">
        <v>15</v>
      </c>
      <c r="C238" s="22" t="s">
        <v>518</v>
      </c>
      <c r="D238" s="23" t="s">
        <v>519</v>
      </c>
      <c r="E238" s="24" t="str">
        <f t="shared" si="18"/>
        <v>B0050771E001</v>
      </c>
      <c r="F238" s="13">
        <v>44273</v>
      </c>
      <c r="G238" s="13">
        <f t="shared" si="23"/>
        <v>44280</v>
      </c>
      <c r="H238" s="7">
        <f t="shared" ca="1" si="19"/>
        <v>-823</v>
      </c>
      <c r="I238" s="8">
        <v>44274</v>
      </c>
      <c r="J238" s="9">
        <f t="shared" ca="1" si="20"/>
        <v>0</v>
      </c>
      <c r="K238" s="10"/>
      <c r="L238" s="10" t="str">
        <f t="shared" si="21"/>
        <v>Accepted</v>
      </c>
      <c r="M238" s="11">
        <v>0</v>
      </c>
      <c r="N238" s="10" t="s">
        <v>30</v>
      </c>
      <c r="O238" s="42">
        <f t="shared" si="22"/>
        <v>25000</v>
      </c>
      <c r="P238" s="10" t="s">
        <v>19</v>
      </c>
    </row>
    <row r="239" spans="1:16" s="22" customFormat="1" ht="14.25" customHeight="1" x14ac:dyDescent="0.25">
      <c r="A239" s="5" t="s">
        <v>520</v>
      </c>
      <c r="B239" s="22" t="s">
        <v>15</v>
      </c>
      <c r="C239" s="22" t="s">
        <v>518</v>
      </c>
      <c r="D239" s="23" t="s">
        <v>521</v>
      </c>
      <c r="E239" s="24" t="str">
        <f t="shared" si="18"/>
        <v>B0050771E002</v>
      </c>
      <c r="F239" s="13">
        <v>44273</v>
      </c>
      <c r="G239" s="13">
        <f t="shared" si="23"/>
        <v>44280</v>
      </c>
      <c r="H239" s="7">
        <f t="shared" ca="1" si="19"/>
        <v>-823</v>
      </c>
      <c r="I239" s="8">
        <v>44274</v>
      </c>
      <c r="J239" s="9">
        <f t="shared" ca="1" si="20"/>
        <v>0</v>
      </c>
      <c r="K239" s="10"/>
      <c r="L239" s="10" t="str">
        <f t="shared" si="21"/>
        <v>Accepted</v>
      </c>
      <c r="M239" s="11">
        <v>0</v>
      </c>
      <c r="N239" s="10" t="s">
        <v>30</v>
      </c>
      <c r="O239" s="42">
        <f t="shared" si="22"/>
        <v>25000</v>
      </c>
      <c r="P239" s="10" t="s">
        <v>19</v>
      </c>
    </row>
    <row r="240" spans="1:16" s="22" customFormat="1" ht="14.25" customHeight="1" x14ac:dyDescent="0.25">
      <c r="A240" s="5" t="s">
        <v>522</v>
      </c>
      <c r="B240" s="22" t="s">
        <v>15</v>
      </c>
      <c r="C240" s="22" t="s">
        <v>518</v>
      </c>
      <c r="D240" s="23" t="s">
        <v>523</v>
      </c>
      <c r="E240" s="24" t="str">
        <f t="shared" si="18"/>
        <v>B0050771E003</v>
      </c>
      <c r="F240" s="13">
        <v>44273</v>
      </c>
      <c r="G240" s="13">
        <f t="shared" si="23"/>
        <v>44280</v>
      </c>
      <c r="H240" s="7">
        <f t="shared" ca="1" si="19"/>
        <v>-823</v>
      </c>
      <c r="I240" s="8">
        <v>44274</v>
      </c>
      <c r="J240" s="9">
        <f t="shared" ca="1" si="20"/>
        <v>0</v>
      </c>
      <c r="K240" s="10"/>
      <c r="L240" s="10" t="str">
        <f t="shared" si="21"/>
        <v>Accepted</v>
      </c>
      <c r="M240" s="11">
        <v>0</v>
      </c>
      <c r="N240" s="10" t="s">
        <v>30</v>
      </c>
      <c r="O240" s="42">
        <f t="shared" si="22"/>
        <v>25000</v>
      </c>
      <c r="P240" s="10" t="s">
        <v>19</v>
      </c>
    </row>
    <row r="241" spans="1:16" s="22" customFormat="1" ht="14.25" customHeight="1" x14ac:dyDescent="0.25">
      <c r="A241" s="5" t="s">
        <v>524</v>
      </c>
      <c r="B241" s="22" t="s">
        <v>15</v>
      </c>
      <c r="C241" s="22" t="s">
        <v>518</v>
      </c>
      <c r="D241" s="23" t="s">
        <v>525</v>
      </c>
      <c r="E241" s="24" t="str">
        <f t="shared" si="18"/>
        <v>B0050771E004</v>
      </c>
      <c r="F241" s="13">
        <v>44273</v>
      </c>
      <c r="G241" s="13">
        <f t="shared" si="23"/>
        <v>44280</v>
      </c>
      <c r="H241" s="7">
        <f t="shared" ca="1" si="19"/>
        <v>-823</v>
      </c>
      <c r="I241" s="8">
        <v>44274</v>
      </c>
      <c r="J241" s="9">
        <f t="shared" ca="1" si="20"/>
        <v>0</v>
      </c>
      <c r="K241" s="10"/>
      <c r="L241" s="10" t="str">
        <f t="shared" si="21"/>
        <v>Accepted</v>
      </c>
      <c r="M241" s="11">
        <v>2</v>
      </c>
      <c r="N241" s="10" t="s">
        <v>30</v>
      </c>
      <c r="O241" s="42">
        <f t="shared" si="22"/>
        <v>25000</v>
      </c>
      <c r="P241" s="10" t="s">
        <v>19</v>
      </c>
    </row>
    <row r="242" spans="1:16" s="22" customFormat="1" ht="14.25" customHeight="1" x14ac:dyDescent="0.25">
      <c r="A242" s="5" t="s">
        <v>526</v>
      </c>
      <c r="B242" s="22" t="s">
        <v>15</v>
      </c>
      <c r="C242" s="22" t="s">
        <v>518</v>
      </c>
      <c r="D242" s="23" t="s">
        <v>527</v>
      </c>
      <c r="E242" s="24" t="str">
        <f t="shared" si="18"/>
        <v>B0050771E005</v>
      </c>
      <c r="F242" s="13">
        <v>44273</v>
      </c>
      <c r="G242" s="13">
        <f t="shared" si="23"/>
        <v>44280</v>
      </c>
      <c r="H242" s="7">
        <f t="shared" ca="1" si="19"/>
        <v>-823</v>
      </c>
      <c r="I242" s="8">
        <v>44274</v>
      </c>
      <c r="J242" s="9">
        <f t="shared" ca="1" si="20"/>
        <v>0</v>
      </c>
      <c r="K242" s="10"/>
      <c r="L242" s="10" t="str">
        <f t="shared" si="21"/>
        <v>Accepted</v>
      </c>
      <c r="M242" s="11">
        <v>0</v>
      </c>
      <c r="N242" s="10" t="s">
        <v>18</v>
      </c>
      <c r="O242" s="42">
        <f t="shared" si="22"/>
        <v>20000</v>
      </c>
      <c r="P242" s="10" t="s">
        <v>19</v>
      </c>
    </row>
    <row r="243" spans="1:16" s="22" customFormat="1" ht="14.25" customHeight="1" x14ac:dyDescent="0.25">
      <c r="A243" s="5" t="s">
        <v>528</v>
      </c>
      <c r="B243" s="22" t="s">
        <v>15</v>
      </c>
      <c r="C243" s="22" t="s">
        <v>518</v>
      </c>
      <c r="D243" s="23" t="s">
        <v>529</v>
      </c>
      <c r="E243" s="24" t="str">
        <f t="shared" si="18"/>
        <v>B0050771E006</v>
      </c>
      <c r="F243" s="13">
        <v>44273</v>
      </c>
      <c r="G243" s="13">
        <f t="shared" si="23"/>
        <v>44280</v>
      </c>
      <c r="H243" s="7">
        <f t="shared" ca="1" si="19"/>
        <v>-823</v>
      </c>
      <c r="I243" s="8">
        <v>44274</v>
      </c>
      <c r="J243" s="9">
        <f t="shared" ca="1" si="20"/>
        <v>0</v>
      </c>
      <c r="K243" s="10"/>
      <c r="L243" s="10" t="str">
        <f t="shared" si="21"/>
        <v>Accepted</v>
      </c>
      <c r="M243" s="11">
        <v>0</v>
      </c>
      <c r="N243" s="10" t="s">
        <v>30</v>
      </c>
      <c r="O243" s="42">
        <f t="shared" si="22"/>
        <v>25000</v>
      </c>
      <c r="P243" s="10" t="s">
        <v>19</v>
      </c>
    </row>
    <row r="244" spans="1:16" s="22" customFormat="1" ht="14.25" customHeight="1" x14ac:dyDescent="0.25">
      <c r="A244" s="16" t="s">
        <v>530</v>
      </c>
      <c r="B244" s="22" t="s">
        <v>15</v>
      </c>
      <c r="C244" s="22" t="s">
        <v>337</v>
      </c>
      <c r="D244" s="23" t="s">
        <v>531</v>
      </c>
      <c r="E244" s="24" t="str">
        <f t="shared" si="18"/>
        <v>M3260171E003</v>
      </c>
      <c r="F244" s="13">
        <v>44278</v>
      </c>
      <c r="G244" s="13">
        <f t="shared" si="23"/>
        <v>44285</v>
      </c>
      <c r="H244" s="7">
        <f t="shared" ca="1" si="19"/>
        <v>-818</v>
      </c>
      <c r="I244" s="8">
        <v>44278</v>
      </c>
      <c r="J244" s="9">
        <f t="shared" ca="1" si="20"/>
        <v>0</v>
      </c>
      <c r="K244" s="10"/>
      <c r="L244" s="10" t="str">
        <f t="shared" si="21"/>
        <v>Accepted</v>
      </c>
      <c r="M244" s="11">
        <v>0</v>
      </c>
      <c r="N244" s="10" t="s">
        <v>30</v>
      </c>
      <c r="O244" s="42">
        <f t="shared" si="22"/>
        <v>25000</v>
      </c>
      <c r="P244" s="10" t="s">
        <v>19</v>
      </c>
    </row>
    <row r="245" spans="1:16" s="22" customFormat="1" ht="14.25" customHeight="1" x14ac:dyDescent="0.25">
      <c r="A245" s="16" t="s">
        <v>532</v>
      </c>
      <c r="B245" s="22" t="s">
        <v>15</v>
      </c>
      <c r="C245" s="22" t="s">
        <v>21</v>
      </c>
      <c r="D245" s="23" t="s">
        <v>533</v>
      </c>
      <c r="E245" s="24" t="str">
        <f t="shared" si="18"/>
        <v>B0112781P001</v>
      </c>
      <c r="F245" s="13">
        <v>44278</v>
      </c>
      <c r="G245" s="13">
        <f t="shared" si="23"/>
        <v>44285</v>
      </c>
      <c r="H245" s="7">
        <f t="shared" ca="1" si="19"/>
        <v>-818</v>
      </c>
      <c r="I245" s="8">
        <v>44278</v>
      </c>
      <c r="J245" s="9">
        <f t="shared" ca="1" si="20"/>
        <v>0</v>
      </c>
      <c r="K245" s="10"/>
      <c r="L245" s="10" t="str">
        <f t="shared" si="21"/>
        <v>Accepted</v>
      </c>
      <c r="M245" s="11">
        <v>0</v>
      </c>
      <c r="N245" s="10" t="s">
        <v>30</v>
      </c>
      <c r="O245" s="42">
        <f t="shared" si="22"/>
        <v>25000</v>
      </c>
      <c r="P245" s="10" t="s">
        <v>19</v>
      </c>
    </row>
    <row r="246" spans="1:16" s="22" customFormat="1" ht="14.25" customHeight="1" x14ac:dyDescent="0.25">
      <c r="A246" s="16" t="s">
        <v>534</v>
      </c>
      <c r="B246" s="22" t="s">
        <v>15</v>
      </c>
      <c r="C246" s="22" t="s">
        <v>238</v>
      </c>
      <c r="D246" s="23" t="s">
        <v>535</v>
      </c>
      <c r="E246" s="24" t="str">
        <f t="shared" si="18"/>
        <v>M3272721b002</v>
      </c>
      <c r="F246" s="13">
        <v>44278</v>
      </c>
      <c r="G246" s="13">
        <f t="shared" si="23"/>
        <v>44285</v>
      </c>
      <c r="H246" s="7">
        <f t="shared" ca="1" si="19"/>
        <v>-818</v>
      </c>
      <c r="I246" s="8">
        <v>44278</v>
      </c>
      <c r="J246" s="9">
        <f t="shared" ca="1" si="20"/>
        <v>0</v>
      </c>
      <c r="K246" s="10"/>
      <c r="L246" s="10" t="str">
        <f t="shared" si="21"/>
        <v>Accepted</v>
      </c>
      <c r="M246" s="11">
        <v>0</v>
      </c>
      <c r="N246" s="10" t="s">
        <v>18</v>
      </c>
      <c r="O246" s="42">
        <f t="shared" si="22"/>
        <v>20000</v>
      </c>
      <c r="P246" s="10" t="s">
        <v>19</v>
      </c>
    </row>
    <row r="247" spans="1:16" s="22" customFormat="1" ht="14.25" customHeight="1" x14ac:dyDescent="0.25">
      <c r="A247" s="16" t="s">
        <v>536</v>
      </c>
      <c r="B247" s="22" t="s">
        <v>15</v>
      </c>
      <c r="C247" s="22" t="s">
        <v>2458</v>
      </c>
      <c r="D247" s="23" t="s">
        <v>537</v>
      </c>
      <c r="E247" s="24" t="str">
        <f t="shared" si="18"/>
        <v>M3240701P030</v>
      </c>
      <c r="F247" s="13">
        <v>44279</v>
      </c>
      <c r="G247" s="13">
        <f t="shared" si="23"/>
        <v>44286</v>
      </c>
      <c r="H247" s="7">
        <f t="shared" ca="1" si="19"/>
        <v>-817</v>
      </c>
      <c r="I247" s="8">
        <v>44279</v>
      </c>
      <c r="J247" s="9">
        <f t="shared" ca="1" si="20"/>
        <v>0</v>
      </c>
      <c r="K247" s="10"/>
      <c r="L247" s="10" t="str">
        <f t="shared" si="21"/>
        <v>Accepted</v>
      </c>
      <c r="M247" s="11">
        <v>0</v>
      </c>
      <c r="N247" s="10" t="s">
        <v>18</v>
      </c>
      <c r="O247" s="42">
        <f t="shared" si="22"/>
        <v>20000</v>
      </c>
      <c r="P247" s="10" t="s">
        <v>19</v>
      </c>
    </row>
    <row r="248" spans="1:16" s="22" customFormat="1" ht="14.25" customHeight="1" x14ac:dyDescent="0.25">
      <c r="A248" s="16" t="s">
        <v>538</v>
      </c>
      <c r="B248" s="22" t="s">
        <v>15</v>
      </c>
      <c r="C248" s="22" t="s">
        <v>2458</v>
      </c>
      <c r="D248" s="23" t="s">
        <v>539</v>
      </c>
      <c r="E248" s="24" t="str">
        <f t="shared" si="18"/>
        <v>M3240711P032</v>
      </c>
      <c r="F248" s="13">
        <v>44279</v>
      </c>
      <c r="G248" s="13">
        <f t="shared" si="23"/>
        <v>44286</v>
      </c>
      <c r="H248" s="7">
        <f t="shared" ca="1" si="19"/>
        <v>-817</v>
      </c>
      <c r="I248" s="8">
        <v>44279</v>
      </c>
      <c r="J248" s="9">
        <f t="shared" ca="1" si="20"/>
        <v>0</v>
      </c>
      <c r="K248" s="10"/>
      <c r="L248" s="10" t="str">
        <f t="shared" si="21"/>
        <v>Accepted</v>
      </c>
      <c r="M248" s="11">
        <v>0</v>
      </c>
      <c r="N248" s="10" t="s">
        <v>30</v>
      </c>
      <c r="O248" s="42">
        <f t="shared" si="22"/>
        <v>25000</v>
      </c>
      <c r="P248" s="10" t="s">
        <v>19</v>
      </c>
    </row>
    <row r="249" spans="1:16" s="22" customFormat="1" ht="14.25" customHeight="1" x14ac:dyDescent="0.25">
      <c r="A249" s="16" t="s">
        <v>540</v>
      </c>
      <c r="B249" s="22" t="s">
        <v>15</v>
      </c>
      <c r="C249" s="22" t="s">
        <v>2458</v>
      </c>
      <c r="D249" s="23" t="s">
        <v>541</v>
      </c>
      <c r="E249" s="24" t="str">
        <f t="shared" si="18"/>
        <v>M3240711P034</v>
      </c>
      <c r="F249" s="13">
        <v>44279</v>
      </c>
      <c r="G249" s="13">
        <f t="shared" si="23"/>
        <v>44286</v>
      </c>
      <c r="H249" s="7">
        <f t="shared" ca="1" si="19"/>
        <v>-817</v>
      </c>
      <c r="I249" s="8">
        <v>44279</v>
      </c>
      <c r="J249" s="9">
        <f t="shared" ca="1" si="20"/>
        <v>0</v>
      </c>
      <c r="K249" s="10"/>
      <c r="L249" s="10" t="str">
        <f t="shared" si="21"/>
        <v>Accepted</v>
      </c>
      <c r="M249" s="11">
        <v>0</v>
      </c>
      <c r="N249" s="10" t="s">
        <v>18</v>
      </c>
      <c r="O249" s="42">
        <f t="shared" si="22"/>
        <v>20000</v>
      </c>
      <c r="P249" s="10" t="s">
        <v>19</v>
      </c>
    </row>
    <row r="250" spans="1:16" s="22" customFormat="1" ht="14.25" customHeight="1" x14ac:dyDescent="0.25">
      <c r="A250" s="16" t="s">
        <v>542</v>
      </c>
      <c r="B250" s="22" t="s">
        <v>15</v>
      </c>
      <c r="C250" s="22" t="s">
        <v>2458</v>
      </c>
      <c r="D250" s="23" t="s">
        <v>543</v>
      </c>
      <c r="E250" s="24" t="str">
        <f t="shared" si="18"/>
        <v>M3240711P035</v>
      </c>
      <c r="F250" s="13">
        <v>44279</v>
      </c>
      <c r="G250" s="13">
        <f t="shared" si="23"/>
        <v>44286</v>
      </c>
      <c r="H250" s="7">
        <f t="shared" ca="1" si="19"/>
        <v>-817</v>
      </c>
      <c r="I250" s="8">
        <v>44279</v>
      </c>
      <c r="J250" s="9">
        <f t="shared" ca="1" si="20"/>
        <v>0</v>
      </c>
      <c r="K250" s="10"/>
      <c r="L250" s="10" t="str">
        <f t="shared" si="21"/>
        <v>Accepted</v>
      </c>
      <c r="M250" s="11">
        <v>0</v>
      </c>
      <c r="N250" s="10" t="s">
        <v>30</v>
      </c>
      <c r="O250" s="42">
        <f t="shared" si="22"/>
        <v>25000</v>
      </c>
      <c r="P250" s="10" t="s">
        <v>19</v>
      </c>
    </row>
    <row r="251" spans="1:16" s="22" customFormat="1" ht="14.25" customHeight="1" x14ac:dyDescent="0.25">
      <c r="A251" s="16" t="s">
        <v>544</v>
      </c>
      <c r="B251" s="22" t="s">
        <v>15</v>
      </c>
      <c r="C251" s="22" t="s">
        <v>2458</v>
      </c>
      <c r="D251" s="23" t="s">
        <v>545</v>
      </c>
      <c r="E251" s="24" t="str">
        <f t="shared" si="18"/>
        <v>M3240711P036</v>
      </c>
      <c r="F251" s="13">
        <v>44279</v>
      </c>
      <c r="G251" s="13">
        <f t="shared" si="23"/>
        <v>44286</v>
      </c>
      <c r="H251" s="7">
        <f t="shared" ca="1" si="19"/>
        <v>-817</v>
      </c>
      <c r="I251" s="8">
        <v>44279</v>
      </c>
      <c r="J251" s="9">
        <f t="shared" ca="1" si="20"/>
        <v>0</v>
      </c>
      <c r="K251" s="10"/>
      <c r="L251" s="10" t="str">
        <f t="shared" si="21"/>
        <v>Accepted</v>
      </c>
      <c r="M251" s="11">
        <v>1</v>
      </c>
      <c r="N251" s="10" t="s">
        <v>18</v>
      </c>
      <c r="O251" s="42">
        <f t="shared" si="22"/>
        <v>20000</v>
      </c>
      <c r="P251" s="10" t="s">
        <v>19</v>
      </c>
    </row>
    <row r="252" spans="1:16" s="22" customFormat="1" ht="14.25" customHeight="1" x14ac:dyDescent="0.25">
      <c r="A252" s="5" t="s">
        <v>546</v>
      </c>
      <c r="B252" s="22" t="s">
        <v>15</v>
      </c>
      <c r="C252" s="22" t="s">
        <v>330</v>
      </c>
      <c r="D252" s="23" t="s">
        <v>547</v>
      </c>
      <c r="E252" s="24" t="str">
        <f t="shared" si="18"/>
        <v>M3322701P022</v>
      </c>
      <c r="F252" s="13">
        <v>44279</v>
      </c>
      <c r="G252" s="13">
        <f t="shared" si="23"/>
        <v>44286</v>
      </c>
      <c r="H252" s="7">
        <f t="shared" ca="1" si="19"/>
        <v>-817</v>
      </c>
      <c r="I252" s="8">
        <v>44282</v>
      </c>
      <c r="J252" s="9">
        <f t="shared" ca="1" si="20"/>
        <v>0</v>
      </c>
      <c r="K252" s="10"/>
      <c r="L252" s="10" t="str">
        <f t="shared" si="21"/>
        <v>Accepted</v>
      </c>
      <c r="M252" s="11">
        <v>0</v>
      </c>
      <c r="N252" s="10" t="s">
        <v>18</v>
      </c>
      <c r="O252" s="42">
        <f t="shared" si="22"/>
        <v>20000</v>
      </c>
      <c r="P252" s="10" t="s">
        <v>19</v>
      </c>
    </row>
    <row r="253" spans="1:16" s="22" customFormat="1" ht="14.25" customHeight="1" x14ac:dyDescent="0.25">
      <c r="A253" s="5" t="s">
        <v>548</v>
      </c>
      <c r="B253" s="22" t="s">
        <v>15</v>
      </c>
      <c r="C253" s="22" t="s">
        <v>330</v>
      </c>
      <c r="D253" s="23" t="s">
        <v>549</v>
      </c>
      <c r="E253" s="24" t="str">
        <f t="shared" si="18"/>
        <v>M3322701P023</v>
      </c>
      <c r="F253" s="13">
        <v>44279</v>
      </c>
      <c r="G253" s="13">
        <f t="shared" si="23"/>
        <v>44286</v>
      </c>
      <c r="H253" s="7">
        <f t="shared" ca="1" si="19"/>
        <v>-817</v>
      </c>
      <c r="I253" s="8">
        <v>44282</v>
      </c>
      <c r="J253" s="9">
        <f t="shared" ca="1" si="20"/>
        <v>0</v>
      </c>
      <c r="K253" s="10"/>
      <c r="L253" s="10" t="str">
        <f t="shared" si="21"/>
        <v>Accepted</v>
      </c>
      <c r="M253" s="11">
        <v>0</v>
      </c>
      <c r="N253" s="10" t="s">
        <v>30</v>
      </c>
      <c r="O253" s="42">
        <f t="shared" si="22"/>
        <v>25000</v>
      </c>
      <c r="P253" s="10" t="s">
        <v>19</v>
      </c>
    </row>
    <row r="254" spans="1:16" s="22" customFormat="1" ht="14.25" customHeight="1" x14ac:dyDescent="0.25">
      <c r="A254" s="5" t="s">
        <v>552</v>
      </c>
      <c r="B254" s="22" t="s">
        <v>15</v>
      </c>
      <c r="C254" s="22" t="s">
        <v>498</v>
      </c>
      <c r="D254" s="23" t="s">
        <v>553</v>
      </c>
      <c r="E254" s="24" t="str">
        <f t="shared" si="18"/>
        <v>M3322712E031</v>
      </c>
      <c r="F254" s="13">
        <v>44279</v>
      </c>
      <c r="G254" s="13">
        <f t="shared" si="23"/>
        <v>44286</v>
      </c>
      <c r="H254" s="7">
        <f t="shared" ca="1" si="19"/>
        <v>-817</v>
      </c>
      <c r="I254" s="8">
        <v>44282</v>
      </c>
      <c r="J254" s="9">
        <f t="shared" ca="1" si="20"/>
        <v>0</v>
      </c>
      <c r="K254" s="10"/>
      <c r="L254" s="10" t="str">
        <f t="shared" si="21"/>
        <v>Accepted</v>
      </c>
      <c r="M254" s="11">
        <v>0</v>
      </c>
      <c r="N254" s="10" t="s">
        <v>18</v>
      </c>
      <c r="O254" s="42">
        <f t="shared" si="22"/>
        <v>20000</v>
      </c>
      <c r="P254" s="10" t="s">
        <v>19</v>
      </c>
    </row>
    <row r="255" spans="1:16" s="22" customFormat="1" ht="14.25" customHeight="1" x14ac:dyDescent="0.25">
      <c r="A255" s="5" t="s">
        <v>550</v>
      </c>
      <c r="B255" s="22" t="s">
        <v>15</v>
      </c>
      <c r="C255" s="22" t="s">
        <v>46</v>
      </c>
      <c r="D255" s="23" t="s">
        <v>551</v>
      </c>
      <c r="E255" s="24" t="str">
        <f t="shared" si="18"/>
        <v>M3322711P028</v>
      </c>
      <c r="F255" s="13">
        <v>44279</v>
      </c>
      <c r="G255" s="13">
        <f t="shared" si="23"/>
        <v>44286</v>
      </c>
      <c r="H255" s="7">
        <f t="shared" ca="1" si="19"/>
        <v>-817</v>
      </c>
      <c r="I255" s="8">
        <v>44283</v>
      </c>
      <c r="J255" s="9">
        <f t="shared" ca="1" si="20"/>
        <v>0</v>
      </c>
      <c r="K255" s="10"/>
      <c r="L255" s="10" t="str">
        <f t="shared" si="21"/>
        <v>Accepted</v>
      </c>
      <c r="M255" s="11">
        <v>0</v>
      </c>
      <c r="N255" s="10" t="s">
        <v>18</v>
      </c>
      <c r="O255" s="42">
        <f t="shared" si="22"/>
        <v>20000</v>
      </c>
      <c r="P255" s="10" t="s">
        <v>19</v>
      </c>
    </row>
    <row r="256" spans="1:16" s="22" customFormat="1" ht="14.25" customHeight="1" x14ac:dyDescent="0.25">
      <c r="A256" s="16" t="s">
        <v>554</v>
      </c>
      <c r="B256" s="22" t="s">
        <v>15</v>
      </c>
      <c r="C256" s="22" t="s">
        <v>160</v>
      </c>
      <c r="D256" s="23" t="s">
        <v>555</v>
      </c>
      <c r="E256" s="24" t="str">
        <f t="shared" si="18"/>
        <v>M0233251E001</v>
      </c>
      <c r="F256" s="13">
        <v>44282</v>
      </c>
      <c r="G256" s="13">
        <f t="shared" si="23"/>
        <v>44289</v>
      </c>
      <c r="H256" s="7">
        <f t="shared" ca="1" si="19"/>
        <v>-814</v>
      </c>
      <c r="I256" s="8">
        <v>44293</v>
      </c>
      <c r="J256" s="9">
        <f t="shared" ca="1" si="20"/>
        <v>0</v>
      </c>
      <c r="K256" s="10"/>
      <c r="L256" s="10" t="str">
        <f t="shared" si="21"/>
        <v>Accepted</v>
      </c>
      <c r="M256" s="11">
        <v>1</v>
      </c>
      <c r="N256" s="10" t="s">
        <v>18</v>
      </c>
      <c r="O256" s="42">
        <f t="shared" si="22"/>
        <v>20000</v>
      </c>
      <c r="P256" s="10" t="s">
        <v>19</v>
      </c>
    </row>
    <row r="257" spans="1:16" s="22" customFormat="1" ht="14.25" customHeight="1" x14ac:dyDescent="0.25">
      <c r="A257" s="16" t="s">
        <v>556</v>
      </c>
      <c r="B257" s="22" t="s">
        <v>15</v>
      </c>
      <c r="C257" s="22" t="s">
        <v>160</v>
      </c>
      <c r="D257" s="23" t="s">
        <v>557</v>
      </c>
      <c r="E257" s="24" t="str">
        <f t="shared" si="18"/>
        <v>M0233251E003</v>
      </c>
      <c r="F257" s="13">
        <v>44282</v>
      </c>
      <c r="G257" s="13">
        <f t="shared" si="23"/>
        <v>44289</v>
      </c>
      <c r="H257" s="7">
        <f t="shared" ca="1" si="19"/>
        <v>-814</v>
      </c>
      <c r="I257" s="8">
        <v>44293</v>
      </c>
      <c r="J257" s="9">
        <f t="shared" ca="1" si="20"/>
        <v>0</v>
      </c>
      <c r="K257" s="10"/>
      <c r="L257" s="10" t="str">
        <f t="shared" si="21"/>
        <v>Accepted</v>
      </c>
      <c r="M257" s="11">
        <v>0</v>
      </c>
      <c r="N257" s="10" t="s">
        <v>18</v>
      </c>
      <c r="O257" s="42">
        <f t="shared" si="22"/>
        <v>20000</v>
      </c>
      <c r="P257" s="10" t="s">
        <v>19</v>
      </c>
    </row>
    <row r="258" spans="1:16" s="22" customFormat="1" ht="14.25" customHeight="1" x14ac:dyDescent="0.25">
      <c r="A258" s="16" t="s">
        <v>564</v>
      </c>
      <c r="B258" s="22" t="s">
        <v>15</v>
      </c>
      <c r="C258" s="22" t="s">
        <v>314</v>
      </c>
      <c r="D258" s="23" t="s">
        <v>565</v>
      </c>
      <c r="E258" s="24" t="str">
        <f t="shared" ref="E258:E321" si="24">HYPERLINK(D258,A258)</f>
        <v>C0231722E001</v>
      </c>
      <c r="F258" s="13">
        <v>44291</v>
      </c>
      <c r="G258" s="13">
        <f t="shared" si="23"/>
        <v>44298</v>
      </c>
      <c r="H258" s="7">
        <f t="shared" ref="H258:H321" ca="1" si="25">G258-TODAY()</f>
        <v>-805</v>
      </c>
      <c r="I258" s="8">
        <v>44293</v>
      </c>
      <c r="J258" s="9">
        <f t="shared" ref="J258:J321" ca="1" si="26">IF(L258="Accepted",0,TODAY()-F258)</f>
        <v>0</v>
      </c>
      <c r="K258" s="10"/>
      <c r="L258" s="10" t="str">
        <f t="shared" ref="L258:L321" si="27">IF(AND(NOT(ISBLANK(I258)), ISBLANK(K258)),"Accepted", IF(AND(ISBLANK(I258),ISBLANK(K258)),"Not Submitted", "Rejected"))</f>
        <v>Accepted</v>
      </c>
      <c r="M258" s="11">
        <v>0</v>
      </c>
      <c r="N258" s="10" t="s">
        <v>18</v>
      </c>
      <c r="O258" s="42">
        <f t="shared" ref="O258:O321" si="28">IF(AND(L258="Accepted",B258="SMA",N258="no"),20000,
IF(AND(L258="Accepted",OR(B258="SMP",B258="SD"),N258="no"),15000,
IF(AND(L258="Accepted",B258="SMA",N258="yes"),25000,
IF(AND(L258="Accepted",OR(B258="SMP",B258="SD"),N258="yes"),18000,
0))))</f>
        <v>20000</v>
      </c>
      <c r="P258" s="10" t="s">
        <v>19</v>
      </c>
    </row>
    <row r="259" spans="1:16" s="22" customFormat="1" ht="14.25" customHeight="1" x14ac:dyDescent="0.25">
      <c r="A259" s="16" t="s">
        <v>566</v>
      </c>
      <c r="B259" s="22" t="s">
        <v>15</v>
      </c>
      <c r="C259" s="22" t="s">
        <v>53</v>
      </c>
      <c r="D259" s="23" t="s">
        <v>567</v>
      </c>
      <c r="E259" s="24" t="str">
        <f t="shared" si="24"/>
        <v>C0630211b001</v>
      </c>
      <c r="F259" s="13">
        <v>44291</v>
      </c>
      <c r="G259" s="13">
        <f t="shared" si="23"/>
        <v>44298</v>
      </c>
      <c r="H259" s="7">
        <f t="shared" ca="1" si="25"/>
        <v>-805</v>
      </c>
      <c r="I259" s="8">
        <v>44293</v>
      </c>
      <c r="J259" s="9">
        <f t="shared" ca="1" si="26"/>
        <v>0</v>
      </c>
      <c r="K259" s="10"/>
      <c r="L259" s="10" t="str">
        <f t="shared" si="27"/>
        <v>Accepted</v>
      </c>
      <c r="M259" s="11">
        <v>0</v>
      </c>
      <c r="N259" s="10" t="s">
        <v>18</v>
      </c>
      <c r="O259" s="42">
        <f t="shared" si="28"/>
        <v>20000</v>
      </c>
      <c r="P259" s="10" t="s">
        <v>19</v>
      </c>
    </row>
    <row r="260" spans="1:16" s="22" customFormat="1" ht="14.25" customHeight="1" x14ac:dyDescent="0.25">
      <c r="A260" s="5" t="s">
        <v>568</v>
      </c>
      <c r="B260" s="22" t="s">
        <v>15</v>
      </c>
      <c r="C260" s="22" t="s">
        <v>569</v>
      </c>
      <c r="D260" s="23" t="s">
        <v>570</v>
      </c>
      <c r="E260" s="24" t="str">
        <f t="shared" si="24"/>
        <v>M3060462E001</v>
      </c>
      <c r="F260" s="13">
        <v>44293</v>
      </c>
      <c r="G260" s="13">
        <f t="shared" si="23"/>
        <v>44300</v>
      </c>
      <c r="H260" s="7">
        <f t="shared" ca="1" si="25"/>
        <v>-803</v>
      </c>
      <c r="I260" s="8">
        <v>44294</v>
      </c>
      <c r="J260" s="9">
        <f t="shared" ca="1" si="26"/>
        <v>0</v>
      </c>
      <c r="K260" s="10"/>
      <c r="L260" s="10" t="str">
        <f t="shared" si="27"/>
        <v>Accepted</v>
      </c>
      <c r="M260" s="11">
        <v>1</v>
      </c>
      <c r="N260" s="10" t="s">
        <v>30</v>
      </c>
      <c r="O260" s="42">
        <f t="shared" si="28"/>
        <v>25000</v>
      </c>
      <c r="P260" s="10" t="s">
        <v>19</v>
      </c>
    </row>
    <row r="261" spans="1:16" s="22" customFormat="1" ht="14.25" customHeight="1" x14ac:dyDescent="0.25">
      <c r="A261" s="5" t="s">
        <v>571</v>
      </c>
      <c r="B261" s="22" t="s">
        <v>15</v>
      </c>
      <c r="C261" s="22" t="s">
        <v>569</v>
      </c>
      <c r="D261" s="23" t="s">
        <v>572</v>
      </c>
      <c r="E261" s="24" t="str">
        <f t="shared" si="24"/>
        <v>M3060462E002</v>
      </c>
      <c r="F261" s="13">
        <v>44293</v>
      </c>
      <c r="G261" s="13">
        <f t="shared" ref="G261:G324" si="29">F261+7</f>
        <v>44300</v>
      </c>
      <c r="H261" s="7">
        <f t="shared" ca="1" si="25"/>
        <v>-803</v>
      </c>
      <c r="I261" s="8">
        <v>44294</v>
      </c>
      <c r="J261" s="9">
        <f t="shared" ca="1" si="26"/>
        <v>0</v>
      </c>
      <c r="K261" s="10"/>
      <c r="L261" s="10" t="str">
        <f t="shared" si="27"/>
        <v>Accepted</v>
      </c>
      <c r="M261" s="11">
        <v>0</v>
      </c>
      <c r="N261" s="10" t="s">
        <v>30</v>
      </c>
      <c r="O261" s="42">
        <f t="shared" si="28"/>
        <v>25000</v>
      </c>
      <c r="P261" s="10" t="s">
        <v>19</v>
      </c>
    </row>
    <row r="262" spans="1:16" s="22" customFormat="1" ht="14.25" customHeight="1" x14ac:dyDescent="0.25">
      <c r="A262" s="5" t="s">
        <v>573</v>
      </c>
      <c r="B262" s="22" t="s">
        <v>15</v>
      </c>
      <c r="C262" s="22" t="s">
        <v>569</v>
      </c>
      <c r="D262" s="23" t="s">
        <v>574</v>
      </c>
      <c r="E262" s="24" t="str">
        <f t="shared" si="24"/>
        <v>M3060471E002</v>
      </c>
      <c r="F262" s="13">
        <v>44293</v>
      </c>
      <c r="G262" s="13">
        <f t="shared" si="29"/>
        <v>44300</v>
      </c>
      <c r="H262" s="7">
        <f t="shared" ca="1" si="25"/>
        <v>-803</v>
      </c>
      <c r="I262" s="8">
        <v>44294</v>
      </c>
      <c r="J262" s="9">
        <f t="shared" ca="1" si="26"/>
        <v>0</v>
      </c>
      <c r="K262" s="10"/>
      <c r="L262" s="10" t="str">
        <f t="shared" si="27"/>
        <v>Accepted</v>
      </c>
      <c r="M262" s="11">
        <v>0</v>
      </c>
      <c r="N262" s="10" t="s">
        <v>18</v>
      </c>
      <c r="O262" s="42">
        <f t="shared" si="28"/>
        <v>20000</v>
      </c>
      <c r="P262" s="10" t="s">
        <v>19</v>
      </c>
    </row>
    <row r="263" spans="1:16" s="22" customFormat="1" ht="14.25" customHeight="1" x14ac:dyDescent="0.25">
      <c r="A263" s="5" t="s">
        <v>575</v>
      </c>
      <c r="B263" s="22" t="s">
        <v>15</v>
      </c>
      <c r="C263" s="22" t="s">
        <v>569</v>
      </c>
      <c r="D263" s="23" t="s">
        <v>576</v>
      </c>
      <c r="E263" s="24" t="str">
        <f t="shared" si="24"/>
        <v>M3060471E003</v>
      </c>
      <c r="F263" s="13">
        <v>44293</v>
      </c>
      <c r="G263" s="13">
        <f t="shared" si="29"/>
        <v>44300</v>
      </c>
      <c r="H263" s="7">
        <f t="shared" ca="1" si="25"/>
        <v>-803</v>
      </c>
      <c r="I263" s="8">
        <v>44294</v>
      </c>
      <c r="J263" s="9">
        <f t="shared" ca="1" si="26"/>
        <v>0</v>
      </c>
      <c r="K263" s="10"/>
      <c r="L263" s="10" t="str">
        <f t="shared" si="27"/>
        <v>Accepted</v>
      </c>
      <c r="M263" s="11">
        <v>0</v>
      </c>
      <c r="N263" s="10" t="s">
        <v>30</v>
      </c>
      <c r="O263" s="42">
        <f t="shared" si="28"/>
        <v>25000</v>
      </c>
      <c r="P263" s="10" t="s">
        <v>19</v>
      </c>
    </row>
    <row r="264" spans="1:16" s="22" customFormat="1" ht="14.25" customHeight="1" x14ac:dyDescent="0.25">
      <c r="A264" s="5" t="s">
        <v>577</v>
      </c>
      <c r="B264" s="22" t="s">
        <v>15</v>
      </c>
      <c r="C264" s="22" t="s">
        <v>569</v>
      </c>
      <c r="D264" s="23" t="s">
        <v>578</v>
      </c>
      <c r="E264" s="24" t="str">
        <f t="shared" si="24"/>
        <v>M3060471E004</v>
      </c>
      <c r="F264" s="13">
        <v>44293</v>
      </c>
      <c r="G264" s="13">
        <f t="shared" si="29"/>
        <v>44300</v>
      </c>
      <c r="H264" s="7">
        <f t="shared" ca="1" si="25"/>
        <v>-803</v>
      </c>
      <c r="I264" s="8">
        <v>44294</v>
      </c>
      <c r="J264" s="9">
        <f t="shared" ca="1" si="26"/>
        <v>0</v>
      </c>
      <c r="K264" s="10"/>
      <c r="L264" s="10" t="str">
        <f t="shared" si="27"/>
        <v>Accepted</v>
      </c>
      <c r="M264" s="11">
        <v>0</v>
      </c>
      <c r="N264" s="10" t="s">
        <v>30</v>
      </c>
      <c r="O264" s="42">
        <f t="shared" si="28"/>
        <v>25000</v>
      </c>
      <c r="P264" s="10" t="s">
        <v>19</v>
      </c>
    </row>
    <row r="265" spans="1:16" s="22" customFormat="1" ht="14.25" customHeight="1" x14ac:dyDescent="0.25">
      <c r="A265" s="5" t="s">
        <v>581</v>
      </c>
      <c r="B265" s="22" t="s">
        <v>15</v>
      </c>
      <c r="C265" s="22" t="s">
        <v>2458</v>
      </c>
      <c r="D265" s="23" t="s">
        <v>582</v>
      </c>
      <c r="E265" s="24" t="str">
        <f t="shared" si="24"/>
        <v>M3070642a003</v>
      </c>
      <c r="F265" s="13">
        <v>44294</v>
      </c>
      <c r="G265" s="13">
        <f t="shared" si="29"/>
        <v>44301</v>
      </c>
      <c r="H265" s="7">
        <f t="shared" ca="1" si="25"/>
        <v>-802</v>
      </c>
      <c r="I265" s="8">
        <v>44295</v>
      </c>
      <c r="J265" s="9">
        <f t="shared" ca="1" si="26"/>
        <v>0</v>
      </c>
      <c r="K265" s="10"/>
      <c r="L265" s="10" t="str">
        <f t="shared" si="27"/>
        <v>Accepted</v>
      </c>
      <c r="M265" s="11">
        <v>0</v>
      </c>
      <c r="N265" s="10" t="s">
        <v>18</v>
      </c>
      <c r="O265" s="42">
        <f t="shared" si="28"/>
        <v>20000</v>
      </c>
      <c r="P265" s="10" t="s">
        <v>19</v>
      </c>
    </row>
    <row r="266" spans="1:16" s="22" customFormat="1" ht="14.25" customHeight="1" x14ac:dyDescent="0.25">
      <c r="A266" s="5" t="s">
        <v>583</v>
      </c>
      <c r="B266" s="22" t="s">
        <v>15</v>
      </c>
      <c r="C266" s="22" t="s">
        <v>2458</v>
      </c>
      <c r="D266" s="23" t="s">
        <v>584</v>
      </c>
      <c r="E266" s="24" t="str">
        <f t="shared" si="24"/>
        <v>M3070642b003</v>
      </c>
      <c r="F266" s="13">
        <v>44294</v>
      </c>
      <c r="G266" s="13">
        <f t="shared" si="29"/>
        <v>44301</v>
      </c>
      <c r="H266" s="7">
        <f t="shared" ca="1" si="25"/>
        <v>-802</v>
      </c>
      <c r="I266" s="8">
        <v>44295</v>
      </c>
      <c r="J266" s="9">
        <f t="shared" ca="1" si="26"/>
        <v>0</v>
      </c>
      <c r="K266" s="10"/>
      <c r="L266" s="10" t="str">
        <f t="shared" si="27"/>
        <v>Accepted</v>
      </c>
      <c r="M266" s="11">
        <v>0</v>
      </c>
      <c r="N266" s="10" t="s">
        <v>30</v>
      </c>
      <c r="O266" s="42">
        <f t="shared" si="28"/>
        <v>25000</v>
      </c>
      <c r="P266" s="10" t="s">
        <v>19</v>
      </c>
    </row>
    <row r="267" spans="1:16" s="22" customFormat="1" ht="14.25" customHeight="1" x14ac:dyDescent="0.25">
      <c r="A267" s="5" t="s">
        <v>585</v>
      </c>
      <c r="B267" s="22" t="s">
        <v>15</v>
      </c>
      <c r="C267" s="22" t="s">
        <v>2458</v>
      </c>
      <c r="D267" s="23" t="s">
        <v>586</v>
      </c>
      <c r="E267" s="24" t="str">
        <f t="shared" si="24"/>
        <v>M3070642E002</v>
      </c>
      <c r="F267" s="13">
        <v>44294</v>
      </c>
      <c r="G267" s="13">
        <f t="shared" si="29"/>
        <v>44301</v>
      </c>
      <c r="H267" s="7">
        <f t="shared" ca="1" si="25"/>
        <v>-802</v>
      </c>
      <c r="I267" s="8">
        <v>44295</v>
      </c>
      <c r="J267" s="9">
        <f t="shared" ca="1" si="26"/>
        <v>0</v>
      </c>
      <c r="K267" s="10"/>
      <c r="L267" s="10" t="str">
        <f t="shared" si="27"/>
        <v>Accepted</v>
      </c>
      <c r="M267" s="11">
        <v>0</v>
      </c>
      <c r="N267" s="10" t="s">
        <v>18</v>
      </c>
      <c r="O267" s="42">
        <f t="shared" si="28"/>
        <v>20000</v>
      </c>
      <c r="P267" s="10" t="s">
        <v>19</v>
      </c>
    </row>
    <row r="268" spans="1:16" s="22" customFormat="1" ht="14.25" customHeight="1" x14ac:dyDescent="0.25">
      <c r="A268" s="5" t="s">
        <v>587</v>
      </c>
      <c r="B268" s="22" t="s">
        <v>15</v>
      </c>
      <c r="C268" s="22" t="s">
        <v>2458</v>
      </c>
      <c r="D268" s="23" t="s">
        <v>588</v>
      </c>
      <c r="E268" s="24" t="str">
        <f t="shared" si="24"/>
        <v>M3070651a001</v>
      </c>
      <c r="F268" s="13">
        <v>44294</v>
      </c>
      <c r="G268" s="13">
        <f t="shared" si="29"/>
        <v>44301</v>
      </c>
      <c r="H268" s="7">
        <f t="shared" ca="1" si="25"/>
        <v>-802</v>
      </c>
      <c r="I268" s="8">
        <v>44295</v>
      </c>
      <c r="J268" s="9">
        <f t="shared" ca="1" si="26"/>
        <v>0</v>
      </c>
      <c r="K268" s="10"/>
      <c r="L268" s="10" t="str">
        <f t="shared" si="27"/>
        <v>Accepted</v>
      </c>
      <c r="M268" s="11">
        <v>0</v>
      </c>
      <c r="N268" s="10" t="s">
        <v>18</v>
      </c>
      <c r="O268" s="42">
        <f t="shared" si="28"/>
        <v>20000</v>
      </c>
      <c r="P268" s="10" t="s">
        <v>19</v>
      </c>
    </row>
    <row r="269" spans="1:16" s="22" customFormat="1" ht="14.25" customHeight="1" x14ac:dyDescent="0.25">
      <c r="A269" s="5" t="s">
        <v>589</v>
      </c>
      <c r="B269" s="22" t="s">
        <v>15</v>
      </c>
      <c r="C269" s="22" t="s">
        <v>2458</v>
      </c>
      <c r="D269" s="23" t="s">
        <v>590</v>
      </c>
      <c r="E269" s="24" t="str">
        <f t="shared" si="24"/>
        <v>M3070651b001</v>
      </c>
      <c r="F269" s="13">
        <v>44294</v>
      </c>
      <c r="G269" s="13">
        <f t="shared" si="29"/>
        <v>44301</v>
      </c>
      <c r="H269" s="7">
        <f t="shared" ca="1" si="25"/>
        <v>-802</v>
      </c>
      <c r="I269" s="8">
        <v>44295</v>
      </c>
      <c r="J269" s="9">
        <f t="shared" ca="1" si="26"/>
        <v>0</v>
      </c>
      <c r="K269" s="10"/>
      <c r="L269" s="10" t="str">
        <f t="shared" si="27"/>
        <v>Accepted</v>
      </c>
      <c r="M269" s="11">
        <v>0</v>
      </c>
      <c r="N269" s="10" t="s">
        <v>30</v>
      </c>
      <c r="O269" s="42">
        <f t="shared" si="28"/>
        <v>25000</v>
      </c>
      <c r="P269" s="10" t="s">
        <v>19</v>
      </c>
    </row>
    <row r="270" spans="1:16" s="22" customFormat="1" ht="14.25" customHeight="1" x14ac:dyDescent="0.25">
      <c r="A270" s="5" t="s">
        <v>591</v>
      </c>
      <c r="B270" s="22" t="s">
        <v>15</v>
      </c>
      <c r="C270" s="22" t="s">
        <v>2458</v>
      </c>
      <c r="D270" s="23" t="s">
        <v>592</v>
      </c>
      <c r="E270" s="24" t="str">
        <f t="shared" si="24"/>
        <v>M3070652E004</v>
      </c>
      <c r="F270" s="13">
        <v>44294</v>
      </c>
      <c r="G270" s="13">
        <f t="shared" si="29"/>
        <v>44301</v>
      </c>
      <c r="H270" s="7">
        <f t="shared" ca="1" si="25"/>
        <v>-802</v>
      </c>
      <c r="I270" s="8">
        <v>44295</v>
      </c>
      <c r="J270" s="9">
        <f t="shared" ca="1" si="26"/>
        <v>0</v>
      </c>
      <c r="K270" s="10"/>
      <c r="L270" s="10" t="str">
        <f t="shared" si="27"/>
        <v>Accepted</v>
      </c>
      <c r="M270" s="11">
        <v>0</v>
      </c>
      <c r="N270" s="10" t="s">
        <v>18</v>
      </c>
      <c r="O270" s="42">
        <f t="shared" si="28"/>
        <v>20000</v>
      </c>
      <c r="P270" s="10" t="s">
        <v>19</v>
      </c>
    </row>
    <row r="271" spans="1:16" s="22" customFormat="1" ht="14.25" customHeight="1" x14ac:dyDescent="0.25">
      <c r="A271" s="5" t="s">
        <v>593</v>
      </c>
      <c r="B271" s="22" t="s">
        <v>15</v>
      </c>
      <c r="C271" s="22" t="s">
        <v>2458</v>
      </c>
      <c r="D271" s="23" t="s">
        <v>594</v>
      </c>
      <c r="E271" s="24" t="str">
        <f t="shared" si="24"/>
        <v>M3070661a002</v>
      </c>
      <c r="F271" s="13">
        <v>44294</v>
      </c>
      <c r="G271" s="13">
        <f t="shared" si="29"/>
        <v>44301</v>
      </c>
      <c r="H271" s="7">
        <f t="shared" ca="1" si="25"/>
        <v>-802</v>
      </c>
      <c r="I271" s="8">
        <v>44295</v>
      </c>
      <c r="J271" s="9">
        <f t="shared" ca="1" si="26"/>
        <v>0</v>
      </c>
      <c r="K271" s="10"/>
      <c r="L271" s="10" t="str">
        <f t="shared" si="27"/>
        <v>Accepted</v>
      </c>
      <c r="M271" s="11">
        <v>0</v>
      </c>
      <c r="N271" s="10" t="s">
        <v>18</v>
      </c>
      <c r="O271" s="42">
        <f t="shared" si="28"/>
        <v>20000</v>
      </c>
      <c r="P271" s="10" t="s">
        <v>19</v>
      </c>
    </row>
    <row r="272" spans="1:16" s="22" customFormat="1" ht="14.25" customHeight="1" x14ac:dyDescent="0.25">
      <c r="A272" s="16" t="s">
        <v>560</v>
      </c>
      <c r="B272" s="22" t="s">
        <v>15</v>
      </c>
      <c r="C272" s="22" t="s">
        <v>2464</v>
      </c>
      <c r="D272" s="23" t="s">
        <v>561</v>
      </c>
      <c r="E272" s="24" t="str">
        <f t="shared" si="24"/>
        <v>B0102091E004</v>
      </c>
      <c r="F272" s="13">
        <v>44291</v>
      </c>
      <c r="G272" s="13">
        <f t="shared" si="29"/>
        <v>44298</v>
      </c>
      <c r="H272" s="7">
        <f t="shared" ca="1" si="25"/>
        <v>-805</v>
      </c>
      <c r="I272" s="8">
        <v>44297</v>
      </c>
      <c r="J272" s="9">
        <f t="shared" ca="1" si="26"/>
        <v>0</v>
      </c>
      <c r="K272" s="10"/>
      <c r="L272" s="10" t="str">
        <f t="shared" si="27"/>
        <v>Accepted</v>
      </c>
      <c r="M272" s="11">
        <v>0</v>
      </c>
      <c r="N272" s="10" t="s">
        <v>30</v>
      </c>
      <c r="O272" s="42">
        <f t="shared" si="28"/>
        <v>25000</v>
      </c>
      <c r="P272" s="10" t="s">
        <v>19</v>
      </c>
    </row>
    <row r="273" spans="1:16" s="22" customFormat="1" ht="14.25" customHeight="1" x14ac:dyDescent="0.25">
      <c r="A273" s="5" t="s">
        <v>595</v>
      </c>
      <c r="B273" s="22" t="s">
        <v>15</v>
      </c>
      <c r="C273" s="22" t="s">
        <v>314</v>
      </c>
      <c r="D273" s="23" t="s">
        <v>596</v>
      </c>
      <c r="E273" s="24" t="str">
        <f t="shared" si="24"/>
        <v>C0371981P025</v>
      </c>
      <c r="F273" s="13">
        <v>44298</v>
      </c>
      <c r="G273" s="13">
        <f t="shared" si="29"/>
        <v>44305</v>
      </c>
      <c r="H273" s="7">
        <f t="shared" ca="1" si="25"/>
        <v>-798</v>
      </c>
      <c r="I273" s="8">
        <v>44301</v>
      </c>
      <c r="J273" s="9">
        <f t="shared" ca="1" si="26"/>
        <v>0</v>
      </c>
      <c r="K273" s="10"/>
      <c r="L273" s="10" t="str">
        <f t="shared" si="27"/>
        <v>Accepted</v>
      </c>
      <c r="M273" s="11">
        <v>0</v>
      </c>
      <c r="N273" s="10" t="s">
        <v>18</v>
      </c>
      <c r="O273" s="42">
        <f t="shared" si="28"/>
        <v>20000</v>
      </c>
      <c r="P273" s="10" t="s">
        <v>19</v>
      </c>
    </row>
    <row r="274" spans="1:16" s="22" customFormat="1" ht="14.25" customHeight="1" x14ac:dyDescent="0.25">
      <c r="A274" s="5" t="s">
        <v>597</v>
      </c>
      <c r="B274" s="22" t="s">
        <v>15</v>
      </c>
      <c r="C274" s="22" t="s">
        <v>396</v>
      </c>
      <c r="D274" s="23" t="s">
        <v>598</v>
      </c>
      <c r="E274" s="24" t="str">
        <f t="shared" si="24"/>
        <v>C0630562E009</v>
      </c>
      <c r="F274" s="13">
        <v>44298</v>
      </c>
      <c r="G274" s="13">
        <f t="shared" si="29"/>
        <v>44305</v>
      </c>
      <c r="H274" s="7">
        <f t="shared" ca="1" si="25"/>
        <v>-798</v>
      </c>
      <c r="I274" s="8">
        <v>44301</v>
      </c>
      <c r="J274" s="9">
        <f t="shared" ca="1" si="26"/>
        <v>0</v>
      </c>
      <c r="K274" s="10"/>
      <c r="L274" s="10" t="str">
        <f t="shared" si="27"/>
        <v>Accepted</v>
      </c>
      <c r="M274" s="11">
        <v>0</v>
      </c>
      <c r="N274" s="10" t="s">
        <v>18</v>
      </c>
      <c r="O274" s="42">
        <f t="shared" si="28"/>
        <v>20000</v>
      </c>
      <c r="P274" s="10" t="s">
        <v>19</v>
      </c>
    </row>
    <row r="275" spans="1:16" s="22" customFormat="1" ht="14.25" customHeight="1" x14ac:dyDescent="0.25">
      <c r="A275" s="5" t="s">
        <v>599</v>
      </c>
      <c r="B275" s="22" t="s">
        <v>15</v>
      </c>
      <c r="C275" s="22" t="s">
        <v>518</v>
      </c>
      <c r="D275" s="23" t="s">
        <v>600</v>
      </c>
      <c r="E275" s="24" t="str">
        <f t="shared" si="24"/>
        <v>M3060411P008</v>
      </c>
      <c r="F275" s="13">
        <v>44298</v>
      </c>
      <c r="G275" s="13">
        <f t="shared" si="29"/>
        <v>44305</v>
      </c>
      <c r="H275" s="7">
        <f t="shared" ca="1" si="25"/>
        <v>-798</v>
      </c>
      <c r="I275" s="8">
        <v>44301</v>
      </c>
      <c r="J275" s="9">
        <f t="shared" ca="1" si="26"/>
        <v>0</v>
      </c>
      <c r="K275" s="10"/>
      <c r="L275" s="10" t="str">
        <f t="shared" si="27"/>
        <v>Accepted</v>
      </c>
      <c r="M275" s="11">
        <v>0</v>
      </c>
      <c r="N275" s="10" t="s">
        <v>18</v>
      </c>
      <c r="O275" s="42">
        <f t="shared" si="28"/>
        <v>20000</v>
      </c>
      <c r="P275" s="10" t="s">
        <v>19</v>
      </c>
    </row>
    <row r="276" spans="1:16" s="22" customFormat="1" ht="14.25" customHeight="1" x14ac:dyDescent="0.25">
      <c r="A276" s="5" t="s">
        <v>601</v>
      </c>
      <c r="B276" s="22" t="s">
        <v>15</v>
      </c>
      <c r="C276" s="22" t="s">
        <v>321</v>
      </c>
      <c r="D276" s="23" t="s">
        <v>602</v>
      </c>
      <c r="E276" s="24" t="str">
        <f t="shared" si="24"/>
        <v>M3443282e002</v>
      </c>
      <c r="F276" s="13">
        <v>44298</v>
      </c>
      <c r="G276" s="13">
        <f t="shared" si="29"/>
        <v>44305</v>
      </c>
      <c r="H276" s="7">
        <f t="shared" ca="1" si="25"/>
        <v>-798</v>
      </c>
      <c r="I276" s="8">
        <v>44301</v>
      </c>
      <c r="J276" s="9">
        <f t="shared" ca="1" si="26"/>
        <v>0</v>
      </c>
      <c r="K276" s="10"/>
      <c r="L276" s="10" t="str">
        <f t="shared" si="27"/>
        <v>Accepted</v>
      </c>
      <c r="M276" s="11">
        <v>1</v>
      </c>
      <c r="N276" s="10" t="s">
        <v>18</v>
      </c>
      <c r="O276" s="42">
        <f t="shared" si="28"/>
        <v>20000</v>
      </c>
      <c r="P276" s="10" t="s">
        <v>19</v>
      </c>
    </row>
    <row r="277" spans="1:16" s="22" customFormat="1" ht="14.25" customHeight="1" x14ac:dyDescent="0.25">
      <c r="A277" s="5" t="s">
        <v>603</v>
      </c>
      <c r="B277" s="22" t="s">
        <v>15</v>
      </c>
      <c r="C277" s="22" t="s">
        <v>330</v>
      </c>
      <c r="D277" s="23" t="s">
        <v>604</v>
      </c>
      <c r="E277" s="24" t="str">
        <f t="shared" si="24"/>
        <v>M0960791E004</v>
      </c>
      <c r="F277" s="13">
        <v>44298</v>
      </c>
      <c r="G277" s="13">
        <f t="shared" si="29"/>
        <v>44305</v>
      </c>
      <c r="H277" s="7">
        <f t="shared" ca="1" si="25"/>
        <v>-798</v>
      </c>
      <c r="I277" s="8">
        <v>44301</v>
      </c>
      <c r="J277" s="9">
        <f t="shared" ca="1" si="26"/>
        <v>0</v>
      </c>
      <c r="K277" s="10"/>
      <c r="L277" s="10" t="str">
        <f t="shared" si="27"/>
        <v>Accepted</v>
      </c>
      <c r="M277" s="11">
        <v>0</v>
      </c>
      <c r="N277" s="10" t="s">
        <v>18</v>
      </c>
      <c r="O277" s="42">
        <f t="shared" si="28"/>
        <v>20000</v>
      </c>
      <c r="P277" s="10" t="s">
        <v>19</v>
      </c>
    </row>
    <row r="278" spans="1:16" s="22" customFormat="1" ht="14.25" customHeight="1" x14ac:dyDescent="0.25">
      <c r="A278" s="5" t="s">
        <v>605</v>
      </c>
      <c r="B278" s="22" t="s">
        <v>15</v>
      </c>
      <c r="C278" s="22" t="s">
        <v>2469</v>
      </c>
      <c r="D278" s="23" t="s">
        <v>606</v>
      </c>
      <c r="E278" s="24" t="str">
        <f t="shared" si="24"/>
        <v>M3160382E005</v>
      </c>
      <c r="F278" s="13">
        <v>44298</v>
      </c>
      <c r="G278" s="13">
        <f t="shared" si="29"/>
        <v>44305</v>
      </c>
      <c r="H278" s="7">
        <f t="shared" ca="1" si="25"/>
        <v>-798</v>
      </c>
      <c r="I278" s="8">
        <v>44301</v>
      </c>
      <c r="J278" s="9">
        <f t="shared" ca="1" si="26"/>
        <v>0</v>
      </c>
      <c r="K278" s="10"/>
      <c r="L278" s="10" t="str">
        <f t="shared" si="27"/>
        <v>Accepted</v>
      </c>
      <c r="M278" s="11">
        <v>0</v>
      </c>
      <c r="N278" s="10" t="s">
        <v>18</v>
      </c>
      <c r="O278" s="42">
        <f t="shared" si="28"/>
        <v>20000</v>
      </c>
      <c r="P278" s="10" t="s">
        <v>19</v>
      </c>
    </row>
    <row r="279" spans="1:16" s="22" customFormat="1" ht="14.25" customHeight="1" x14ac:dyDescent="0.25">
      <c r="A279" s="5" t="s">
        <v>607</v>
      </c>
      <c r="B279" s="22" t="s">
        <v>15</v>
      </c>
      <c r="C279" s="22" t="s">
        <v>2458</v>
      </c>
      <c r="D279" s="23" t="s">
        <v>608</v>
      </c>
      <c r="E279" s="24" t="str">
        <f t="shared" si="24"/>
        <v>M3240722E002</v>
      </c>
      <c r="F279" s="13">
        <v>44298</v>
      </c>
      <c r="G279" s="13">
        <f t="shared" si="29"/>
        <v>44305</v>
      </c>
      <c r="H279" s="7">
        <f t="shared" ca="1" si="25"/>
        <v>-798</v>
      </c>
      <c r="I279" s="8">
        <v>44301</v>
      </c>
      <c r="J279" s="9">
        <f t="shared" ca="1" si="26"/>
        <v>0</v>
      </c>
      <c r="K279" s="10"/>
      <c r="L279" s="10" t="str">
        <f t="shared" si="27"/>
        <v>Accepted</v>
      </c>
      <c r="M279" s="11">
        <v>0</v>
      </c>
      <c r="N279" s="10" t="s">
        <v>18</v>
      </c>
      <c r="O279" s="42">
        <f t="shared" si="28"/>
        <v>20000</v>
      </c>
      <c r="P279" s="10" t="s">
        <v>19</v>
      </c>
    </row>
    <row r="280" spans="1:16" s="22" customFormat="1" ht="14.25" customHeight="1" x14ac:dyDescent="0.25">
      <c r="A280" s="5" t="s">
        <v>623</v>
      </c>
      <c r="B280" s="22" t="s">
        <v>15</v>
      </c>
      <c r="C280" s="22" t="s">
        <v>53</v>
      </c>
      <c r="D280" s="23" t="s">
        <v>624</v>
      </c>
      <c r="E280" s="24" t="str">
        <f t="shared" si="24"/>
        <v>A014V701E001</v>
      </c>
      <c r="F280" s="13">
        <v>44301</v>
      </c>
      <c r="G280" s="13">
        <f t="shared" si="29"/>
        <v>44308</v>
      </c>
      <c r="H280" s="7">
        <f t="shared" ca="1" si="25"/>
        <v>-795</v>
      </c>
      <c r="I280" s="8">
        <v>44304</v>
      </c>
      <c r="J280" s="9">
        <f t="shared" ca="1" si="26"/>
        <v>0</v>
      </c>
      <c r="K280" s="10"/>
      <c r="L280" s="10" t="str">
        <f t="shared" si="27"/>
        <v>Accepted</v>
      </c>
      <c r="M280" s="11">
        <v>0</v>
      </c>
      <c r="N280" s="10" t="s">
        <v>30</v>
      </c>
      <c r="O280" s="42">
        <f t="shared" si="28"/>
        <v>25000</v>
      </c>
      <c r="P280" s="10" t="s">
        <v>19</v>
      </c>
    </row>
    <row r="281" spans="1:16" s="22" customFormat="1" ht="14.25" customHeight="1" x14ac:dyDescent="0.25">
      <c r="A281" s="5" t="s">
        <v>625</v>
      </c>
      <c r="B281" s="22" t="s">
        <v>15</v>
      </c>
      <c r="C281" s="22" t="s">
        <v>53</v>
      </c>
      <c r="D281" s="23" t="s">
        <v>626</v>
      </c>
      <c r="E281" s="24" t="str">
        <f t="shared" si="24"/>
        <v>A014V901E001</v>
      </c>
      <c r="F281" s="13">
        <v>44301</v>
      </c>
      <c r="G281" s="13">
        <f t="shared" si="29"/>
        <v>44308</v>
      </c>
      <c r="H281" s="7">
        <f t="shared" ca="1" si="25"/>
        <v>-795</v>
      </c>
      <c r="I281" s="8">
        <v>44304</v>
      </c>
      <c r="J281" s="9">
        <f t="shared" ca="1" si="26"/>
        <v>0</v>
      </c>
      <c r="K281" s="10"/>
      <c r="L281" s="10" t="str">
        <f t="shared" si="27"/>
        <v>Accepted</v>
      </c>
      <c r="M281" s="11">
        <v>0</v>
      </c>
      <c r="N281" s="10" t="s">
        <v>18</v>
      </c>
      <c r="O281" s="42">
        <f t="shared" si="28"/>
        <v>20000</v>
      </c>
      <c r="P281" s="10" t="s">
        <v>19</v>
      </c>
    </row>
    <row r="282" spans="1:16" s="22" customFormat="1" ht="14.25" customHeight="1" x14ac:dyDescent="0.25">
      <c r="A282" s="5" t="s">
        <v>627</v>
      </c>
      <c r="B282" s="22" t="s">
        <v>15</v>
      </c>
      <c r="C282" s="22" t="s">
        <v>53</v>
      </c>
      <c r="D282" s="23" t="s">
        <v>628</v>
      </c>
      <c r="E282" s="24" t="str">
        <f t="shared" si="24"/>
        <v>C0200621P132</v>
      </c>
      <c r="F282" s="13">
        <v>44301</v>
      </c>
      <c r="G282" s="13">
        <f t="shared" si="29"/>
        <v>44308</v>
      </c>
      <c r="H282" s="7">
        <f t="shared" ca="1" si="25"/>
        <v>-795</v>
      </c>
      <c r="I282" s="8">
        <v>44304</v>
      </c>
      <c r="J282" s="9">
        <f t="shared" ca="1" si="26"/>
        <v>0</v>
      </c>
      <c r="K282" s="10"/>
      <c r="L282" s="10" t="str">
        <f t="shared" si="27"/>
        <v>Accepted</v>
      </c>
      <c r="M282" s="11">
        <v>0</v>
      </c>
      <c r="N282" s="10" t="s">
        <v>18</v>
      </c>
      <c r="O282" s="42">
        <f t="shared" si="28"/>
        <v>20000</v>
      </c>
      <c r="P282" s="10" t="s">
        <v>19</v>
      </c>
    </row>
    <row r="283" spans="1:16" s="22" customFormat="1" ht="14.25" customHeight="1" x14ac:dyDescent="0.25">
      <c r="A283" s="5" t="s">
        <v>629</v>
      </c>
      <c r="B283" s="22" t="s">
        <v>15</v>
      </c>
      <c r="C283" s="22" t="s">
        <v>53</v>
      </c>
      <c r="D283" s="23" t="s">
        <v>630</v>
      </c>
      <c r="E283" s="24" t="str">
        <f t="shared" si="24"/>
        <v>C0401241P009</v>
      </c>
      <c r="F283" s="13">
        <v>44301</v>
      </c>
      <c r="G283" s="13">
        <f t="shared" si="29"/>
        <v>44308</v>
      </c>
      <c r="H283" s="7">
        <f t="shared" ca="1" si="25"/>
        <v>-795</v>
      </c>
      <c r="I283" s="8">
        <v>44304</v>
      </c>
      <c r="J283" s="9">
        <f t="shared" ca="1" si="26"/>
        <v>0</v>
      </c>
      <c r="K283" s="10"/>
      <c r="L283" s="10" t="str">
        <f t="shared" si="27"/>
        <v>Accepted</v>
      </c>
      <c r="M283" s="11">
        <v>0</v>
      </c>
      <c r="N283" s="10" t="s">
        <v>30</v>
      </c>
      <c r="O283" s="42">
        <f t="shared" si="28"/>
        <v>25000</v>
      </c>
      <c r="P283" s="10" t="s">
        <v>19</v>
      </c>
    </row>
    <row r="284" spans="1:16" s="22" customFormat="1" ht="14.25" customHeight="1" x14ac:dyDescent="0.25">
      <c r="A284" s="5" t="s">
        <v>631</v>
      </c>
      <c r="B284" s="22" t="s">
        <v>15</v>
      </c>
      <c r="C284" s="22" t="s">
        <v>53</v>
      </c>
      <c r="D284" s="23" t="s">
        <v>632</v>
      </c>
      <c r="E284" s="24" t="str">
        <f t="shared" si="24"/>
        <v>C0401241P010</v>
      </c>
      <c r="F284" s="13">
        <v>44301</v>
      </c>
      <c r="G284" s="13">
        <f t="shared" si="29"/>
        <v>44308</v>
      </c>
      <c r="H284" s="7">
        <f t="shared" ca="1" si="25"/>
        <v>-795</v>
      </c>
      <c r="I284" s="8">
        <v>44304</v>
      </c>
      <c r="J284" s="9">
        <f t="shared" ca="1" si="26"/>
        <v>0</v>
      </c>
      <c r="K284" s="10"/>
      <c r="L284" s="10" t="str">
        <f t="shared" si="27"/>
        <v>Accepted</v>
      </c>
      <c r="M284" s="11">
        <v>0</v>
      </c>
      <c r="N284" s="10" t="s">
        <v>30</v>
      </c>
      <c r="O284" s="42">
        <f t="shared" si="28"/>
        <v>25000</v>
      </c>
      <c r="P284" s="10" t="s">
        <v>19</v>
      </c>
    </row>
    <row r="285" spans="1:16" s="22" customFormat="1" ht="14.25" customHeight="1" x14ac:dyDescent="0.25">
      <c r="A285" s="5" t="s">
        <v>633</v>
      </c>
      <c r="B285" s="22" t="s">
        <v>15</v>
      </c>
      <c r="C285" s="22" t="s">
        <v>53</v>
      </c>
      <c r="D285" s="23" t="s">
        <v>634</v>
      </c>
      <c r="E285" s="24" t="str">
        <f t="shared" si="24"/>
        <v>C0550761P001</v>
      </c>
      <c r="F285" s="13">
        <v>44301</v>
      </c>
      <c r="G285" s="13">
        <f t="shared" si="29"/>
        <v>44308</v>
      </c>
      <c r="H285" s="7">
        <f t="shared" ca="1" si="25"/>
        <v>-795</v>
      </c>
      <c r="I285" s="8">
        <v>44304</v>
      </c>
      <c r="J285" s="9">
        <f t="shared" ca="1" si="26"/>
        <v>0</v>
      </c>
      <c r="K285" s="10"/>
      <c r="L285" s="10" t="str">
        <f t="shared" si="27"/>
        <v>Accepted</v>
      </c>
      <c r="M285" s="11">
        <v>0</v>
      </c>
      <c r="N285" s="10" t="s">
        <v>18</v>
      </c>
      <c r="O285" s="42">
        <f t="shared" si="28"/>
        <v>20000</v>
      </c>
      <c r="P285" s="10" t="s">
        <v>19</v>
      </c>
    </row>
    <row r="286" spans="1:16" s="22" customFormat="1" ht="14.25" customHeight="1" x14ac:dyDescent="0.25">
      <c r="A286" s="5" t="s">
        <v>609</v>
      </c>
      <c r="B286" s="22" t="s">
        <v>15</v>
      </c>
      <c r="C286" s="22" t="s">
        <v>2458</v>
      </c>
      <c r="D286" s="23" t="s">
        <v>610</v>
      </c>
      <c r="E286" s="24" t="str">
        <f t="shared" si="24"/>
        <v>M3392681a013</v>
      </c>
      <c r="F286" s="13">
        <v>44301</v>
      </c>
      <c r="G286" s="13">
        <f t="shared" si="29"/>
        <v>44308</v>
      </c>
      <c r="H286" s="7">
        <f t="shared" ca="1" si="25"/>
        <v>-795</v>
      </c>
      <c r="I286" s="8">
        <v>44306</v>
      </c>
      <c r="J286" s="9">
        <f t="shared" ca="1" si="26"/>
        <v>0</v>
      </c>
      <c r="K286" s="10"/>
      <c r="L286" s="10" t="str">
        <f t="shared" si="27"/>
        <v>Accepted</v>
      </c>
      <c r="M286" s="11">
        <v>1</v>
      </c>
      <c r="N286" s="10" t="s">
        <v>30</v>
      </c>
      <c r="O286" s="42">
        <f t="shared" si="28"/>
        <v>25000</v>
      </c>
      <c r="P286" s="10" t="s">
        <v>19</v>
      </c>
    </row>
    <row r="287" spans="1:16" s="22" customFormat="1" ht="14.25" customHeight="1" x14ac:dyDescent="0.25">
      <c r="A287" s="5" t="s">
        <v>611</v>
      </c>
      <c r="B287" s="22" t="s">
        <v>15</v>
      </c>
      <c r="C287" s="22" t="s">
        <v>2458</v>
      </c>
      <c r="D287" s="23" t="s">
        <v>612</v>
      </c>
      <c r="E287" s="24" t="str">
        <f t="shared" si="24"/>
        <v>M3392681b012</v>
      </c>
      <c r="F287" s="13">
        <v>44301</v>
      </c>
      <c r="G287" s="13">
        <f t="shared" si="29"/>
        <v>44308</v>
      </c>
      <c r="H287" s="7">
        <f t="shared" ca="1" si="25"/>
        <v>-795</v>
      </c>
      <c r="I287" s="8">
        <v>44306</v>
      </c>
      <c r="J287" s="9">
        <f t="shared" ca="1" si="26"/>
        <v>0</v>
      </c>
      <c r="K287" s="10"/>
      <c r="L287" s="10" t="str">
        <f t="shared" si="27"/>
        <v>Accepted</v>
      </c>
      <c r="M287" s="11">
        <v>0</v>
      </c>
      <c r="N287" s="10" t="s">
        <v>18</v>
      </c>
      <c r="O287" s="42">
        <f t="shared" si="28"/>
        <v>20000</v>
      </c>
      <c r="P287" s="10" t="s">
        <v>19</v>
      </c>
    </row>
    <row r="288" spans="1:16" s="22" customFormat="1" ht="14.25" customHeight="1" x14ac:dyDescent="0.25">
      <c r="A288" s="5" t="s">
        <v>613</v>
      </c>
      <c r="B288" s="22" t="s">
        <v>15</v>
      </c>
      <c r="C288" s="22" t="s">
        <v>2458</v>
      </c>
      <c r="D288" s="23" t="s">
        <v>614</v>
      </c>
      <c r="E288" s="24" t="str">
        <f t="shared" si="24"/>
        <v>M3392681b013</v>
      </c>
      <c r="F288" s="13">
        <v>44301</v>
      </c>
      <c r="G288" s="13">
        <f t="shared" si="29"/>
        <v>44308</v>
      </c>
      <c r="H288" s="7">
        <f t="shared" ca="1" si="25"/>
        <v>-795</v>
      </c>
      <c r="I288" s="8">
        <v>44306</v>
      </c>
      <c r="J288" s="9">
        <f t="shared" ca="1" si="26"/>
        <v>0</v>
      </c>
      <c r="K288" s="10"/>
      <c r="L288" s="10" t="str">
        <f t="shared" si="27"/>
        <v>Accepted</v>
      </c>
      <c r="M288" s="11">
        <v>0</v>
      </c>
      <c r="N288" s="10" t="s">
        <v>18</v>
      </c>
      <c r="O288" s="42">
        <f t="shared" si="28"/>
        <v>20000</v>
      </c>
      <c r="P288" s="10" t="s">
        <v>19</v>
      </c>
    </row>
    <row r="289" spans="1:16" s="22" customFormat="1" ht="14.25" customHeight="1" x14ac:dyDescent="0.25">
      <c r="A289" s="5" t="s">
        <v>615</v>
      </c>
      <c r="B289" s="22" t="s">
        <v>15</v>
      </c>
      <c r="C289" s="22" t="s">
        <v>2458</v>
      </c>
      <c r="D289" s="23" t="s">
        <v>616</v>
      </c>
      <c r="E289" s="24" t="str">
        <f t="shared" si="24"/>
        <v>M3392691a014</v>
      </c>
      <c r="F289" s="13">
        <v>44301</v>
      </c>
      <c r="G289" s="13">
        <f t="shared" si="29"/>
        <v>44308</v>
      </c>
      <c r="H289" s="7">
        <f t="shared" ca="1" si="25"/>
        <v>-795</v>
      </c>
      <c r="I289" s="8">
        <v>44306</v>
      </c>
      <c r="J289" s="9">
        <f t="shared" ca="1" si="26"/>
        <v>0</v>
      </c>
      <c r="K289" s="10"/>
      <c r="L289" s="10" t="str">
        <f t="shared" si="27"/>
        <v>Accepted</v>
      </c>
      <c r="M289" s="11">
        <v>1</v>
      </c>
      <c r="N289" s="10" t="s">
        <v>30</v>
      </c>
      <c r="O289" s="42">
        <f t="shared" si="28"/>
        <v>25000</v>
      </c>
      <c r="P289" s="10" t="s">
        <v>19</v>
      </c>
    </row>
    <row r="290" spans="1:16" s="22" customFormat="1" ht="14.25" customHeight="1" x14ac:dyDescent="0.25">
      <c r="A290" s="5" t="s">
        <v>617</v>
      </c>
      <c r="B290" s="22" t="s">
        <v>15</v>
      </c>
      <c r="C290" s="22" t="s">
        <v>2458</v>
      </c>
      <c r="D290" s="23" t="s">
        <v>618</v>
      </c>
      <c r="E290" s="24" t="str">
        <f t="shared" si="24"/>
        <v>M3392711a019</v>
      </c>
      <c r="F290" s="13">
        <v>44301</v>
      </c>
      <c r="G290" s="13">
        <f t="shared" si="29"/>
        <v>44308</v>
      </c>
      <c r="H290" s="7">
        <f t="shared" ca="1" si="25"/>
        <v>-795</v>
      </c>
      <c r="I290" s="8">
        <v>44306</v>
      </c>
      <c r="J290" s="9">
        <f t="shared" ca="1" si="26"/>
        <v>0</v>
      </c>
      <c r="K290" s="10"/>
      <c r="L290" s="10" t="str">
        <f t="shared" si="27"/>
        <v>Accepted</v>
      </c>
      <c r="M290" s="11">
        <v>0</v>
      </c>
      <c r="N290" s="10" t="s">
        <v>30</v>
      </c>
      <c r="O290" s="42">
        <f t="shared" si="28"/>
        <v>25000</v>
      </c>
      <c r="P290" s="10" t="s">
        <v>19</v>
      </c>
    </row>
    <row r="291" spans="1:16" s="22" customFormat="1" ht="14.25" customHeight="1" x14ac:dyDescent="0.25">
      <c r="A291" s="5" t="s">
        <v>619</v>
      </c>
      <c r="B291" s="22" t="s">
        <v>15</v>
      </c>
      <c r="C291" s="22" t="s">
        <v>2458</v>
      </c>
      <c r="D291" s="23" t="s">
        <v>620</v>
      </c>
      <c r="E291" s="24" t="str">
        <f t="shared" si="24"/>
        <v>M3392711b019</v>
      </c>
      <c r="F291" s="13">
        <v>44301</v>
      </c>
      <c r="G291" s="13">
        <f t="shared" si="29"/>
        <v>44308</v>
      </c>
      <c r="H291" s="7">
        <f t="shared" ca="1" si="25"/>
        <v>-795</v>
      </c>
      <c r="I291" s="8">
        <v>44306</v>
      </c>
      <c r="J291" s="9">
        <f t="shared" ca="1" si="26"/>
        <v>0</v>
      </c>
      <c r="K291" s="10"/>
      <c r="L291" s="10" t="str">
        <f t="shared" si="27"/>
        <v>Accepted</v>
      </c>
      <c r="M291" s="11">
        <v>0</v>
      </c>
      <c r="N291" s="10" t="s">
        <v>18</v>
      </c>
      <c r="O291" s="42">
        <f t="shared" si="28"/>
        <v>20000</v>
      </c>
      <c r="P291" s="10" t="s">
        <v>19</v>
      </c>
    </row>
    <row r="292" spans="1:16" s="22" customFormat="1" ht="14.25" customHeight="1" x14ac:dyDescent="0.25">
      <c r="A292" s="5" t="s">
        <v>621</v>
      </c>
      <c r="B292" s="22" t="s">
        <v>15</v>
      </c>
      <c r="C292" s="22" t="s">
        <v>2458</v>
      </c>
      <c r="D292" s="23" t="s">
        <v>622</v>
      </c>
      <c r="E292" s="24" t="str">
        <f t="shared" si="24"/>
        <v>M3392711E018</v>
      </c>
      <c r="F292" s="13">
        <v>44301</v>
      </c>
      <c r="G292" s="13">
        <f t="shared" si="29"/>
        <v>44308</v>
      </c>
      <c r="H292" s="7">
        <f t="shared" ca="1" si="25"/>
        <v>-795</v>
      </c>
      <c r="I292" s="8">
        <v>44306</v>
      </c>
      <c r="J292" s="9">
        <f t="shared" ca="1" si="26"/>
        <v>0</v>
      </c>
      <c r="K292" s="10"/>
      <c r="L292" s="10" t="str">
        <f t="shared" si="27"/>
        <v>Accepted</v>
      </c>
      <c r="M292" s="11">
        <v>0</v>
      </c>
      <c r="N292" s="10" t="s">
        <v>18</v>
      </c>
      <c r="O292" s="42">
        <f t="shared" si="28"/>
        <v>20000</v>
      </c>
      <c r="P292" s="10" t="s">
        <v>19</v>
      </c>
    </row>
    <row r="293" spans="1:16" s="22" customFormat="1" ht="14.25" customHeight="1" x14ac:dyDescent="0.25">
      <c r="A293" s="5" t="s">
        <v>635</v>
      </c>
      <c r="B293" s="22" t="s">
        <v>15</v>
      </c>
      <c r="C293" s="22" t="s">
        <v>53</v>
      </c>
      <c r="D293" s="23" t="s">
        <v>636</v>
      </c>
      <c r="E293" s="24" t="str">
        <f t="shared" si="24"/>
        <v>C0550761P002</v>
      </c>
      <c r="F293" s="13">
        <v>44301</v>
      </c>
      <c r="G293" s="13">
        <f t="shared" si="29"/>
        <v>44308</v>
      </c>
      <c r="H293" s="7">
        <f t="shared" ca="1" si="25"/>
        <v>-795</v>
      </c>
      <c r="I293" s="8">
        <v>44306</v>
      </c>
      <c r="J293" s="9">
        <f t="shared" ca="1" si="26"/>
        <v>0</v>
      </c>
      <c r="K293" s="10"/>
      <c r="L293" s="10" t="str">
        <f t="shared" si="27"/>
        <v>Accepted</v>
      </c>
      <c r="M293" s="11">
        <v>0</v>
      </c>
      <c r="N293" s="10" t="s">
        <v>30</v>
      </c>
      <c r="O293" s="42">
        <f t="shared" si="28"/>
        <v>25000</v>
      </c>
      <c r="P293" s="10" t="s">
        <v>19</v>
      </c>
    </row>
    <row r="294" spans="1:16" s="22" customFormat="1" ht="14.25" customHeight="1" x14ac:dyDescent="0.25">
      <c r="A294" s="5" t="s">
        <v>637</v>
      </c>
      <c r="B294" s="22" t="s">
        <v>15</v>
      </c>
      <c r="C294" s="22" t="s">
        <v>53</v>
      </c>
      <c r="D294" s="23" t="s">
        <v>638</v>
      </c>
      <c r="E294" s="24" t="str">
        <f t="shared" si="24"/>
        <v>C0550761P003</v>
      </c>
      <c r="F294" s="13">
        <v>44301</v>
      </c>
      <c r="G294" s="13">
        <f t="shared" si="29"/>
        <v>44308</v>
      </c>
      <c r="H294" s="7">
        <f t="shared" ca="1" si="25"/>
        <v>-795</v>
      </c>
      <c r="I294" s="8">
        <v>44306</v>
      </c>
      <c r="J294" s="9">
        <f t="shared" ca="1" si="26"/>
        <v>0</v>
      </c>
      <c r="K294" s="10"/>
      <c r="L294" s="10" t="str">
        <f t="shared" si="27"/>
        <v>Accepted</v>
      </c>
      <c r="M294" s="11">
        <v>0</v>
      </c>
      <c r="N294" s="10" t="s">
        <v>30</v>
      </c>
      <c r="O294" s="42">
        <f t="shared" si="28"/>
        <v>25000</v>
      </c>
      <c r="P294" s="10" t="s">
        <v>19</v>
      </c>
    </row>
    <row r="295" spans="1:16" s="22" customFormat="1" ht="14.25" customHeight="1" x14ac:dyDescent="0.25">
      <c r="A295" s="5" t="s">
        <v>639</v>
      </c>
      <c r="B295" s="22" t="s">
        <v>15</v>
      </c>
      <c r="C295" s="22" t="s">
        <v>337</v>
      </c>
      <c r="D295" s="23" t="s">
        <v>640</v>
      </c>
      <c r="E295" s="24" t="str">
        <f t="shared" si="24"/>
        <v>C0400741b001</v>
      </c>
      <c r="F295" s="13">
        <v>44305</v>
      </c>
      <c r="G295" s="13">
        <f t="shared" si="29"/>
        <v>44312</v>
      </c>
      <c r="H295" s="7">
        <f t="shared" ca="1" si="25"/>
        <v>-791</v>
      </c>
      <c r="I295" s="8">
        <v>44308</v>
      </c>
      <c r="J295" s="9">
        <f t="shared" ca="1" si="26"/>
        <v>0</v>
      </c>
      <c r="K295" s="10"/>
      <c r="L295" s="10" t="str">
        <f t="shared" si="27"/>
        <v>Accepted</v>
      </c>
      <c r="M295" s="11">
        <v>0</v>
      </c>
      <c r="N295" s="10" t="s">
        <v>18</v>
      </c>
      <c r="O295" s="42">
        <f t="shared" si="28"/>
        <v>20000</v>
      </c>
      <c r="P295" s="10" t="s">
        <v>19</v>
      </c>
    </row>
    <row r="296" spans="1:16" s="22" customFormat="1" ht="14.25" customHeight="1" x14ac:dyDescent="0.25">
      <c r="A296" s="5" t="s">
        <v>641</v>
      </c>
      <c r="B296" s="22" t="s">
        <v>15</v>
      </c>
      <c r="C296" s="22" t="s">
        <v>337</v>
      </c>
      <c r="D296" s="23" t="s">
        <v>642</v>
      </c>
      <c r="E296" s="24" t="str">
        <f t="shared" si="24"/>
        <v>C0400741c001</v>
      </c>
      <c r="F296" s="13">
        <v>44305</v>
      </c>
      <c r="G296" s="13">
        <f t="shared" si="29"/>
        <v>44312</v>
      </c>
      <c r="H296" s="7">
        <f t="shared" ca="1" si="25"/>
        <v>-791</v>
      </c>
      <c r="I296" s="8">
        <v>44308</v>
      </c>
      <c r="J296" s="9">
        <f t="shared" ca="1" si="26"/>
        <v>0</v>
      </c>
      <c r="K296" s="10"/>
      <c r="L296" s="10" t="str">
        <f t="shared" si="27"/>
        <v>Accepted</v>
      </c>
      <c r="M296" s="11">
        <v>0</v>
      </c>
      <c r="N296" s="10" t="s">
        <v>18</v>
      </c>
      <c r="O296" s="42">
        <f t="shared" si="28"/>
        <v>20000</v>
      </c>
      <c r="P296" s="10" t="s">
        <v>19</v>
      </c>
    </row>
    <row r="297" spans="1:16" s="22" customFormat="1" ht="14.25" customHeight="1" x14ac:dyDescent="0.25">
      <c r="A297" s="5" t="s">
        <v>643</v>
      </c>
      <c r="B297" s="22" t="s">
        <v>15</v>
      </c>
      <c r="C297" s="22" t="s">
        <v>337</v>
      </c>
      <c r="D297" s="23" t="s">
        <v>644</v>
      </c>
      <c r="E297" s="24" t="str">
        <f t="shared" si="24"/>
        <v>C0400751P001</v>
      </c>
      <c r="F297" s="13">
        <v>44305</v>
      </c>
      <c r="G297" s="13">
        <f t="shared" si="29"/>
        <v>44312</v>
      </c>
      <c r="H297" s="7">
        <f t="shared" ca="1" si="25"/>
        <v>-791</v>
      </c>
      <c r="I297" s="8">
        <v>44308</v>
      </c>
      <c r="J297" s="9">
        <f t="shared" ca="1" si="26"/>
        <v>0</v>
      </c>
      <c r="K297" s="10"/>
      <c r="L297" s="10" t="str">
        <f t="shared" si="27"/>
        <v>Accepted</v>
      </c>
      <c r="M297" s="11">
        <v>0</v>
      </c>
      <c r="N297" s="10" t="s">
        <v>30</v>
      </c>
      <c r="O297" s="42">
        <f t="shared" si="28"/>
        <v>25000</v>
      </c>
      <c r="P297" s="10" t="s">
        <v>19</v>
      </c>
    </row>
    <row r="298" spans="1:16" s="22" customFormat="1" ht="14.25" customHeight="1" x14ac:dyDescent="0.25">
      <c r="A298" s="5" t="s">
        <v>645</v>
      </c>
      <c r="B298" s="22" t="s">
        <v>15</v>
      </c>
      <c r="C298" s="22" t="s">
        <v>337</v>
      </c>
      <c r="D298" s="23" t="s">
        <v>646</v>
      </c>
      <c r="E298" s="24" t="str">
        <f t="shared" si="24"/>
        <v>C0401161P029</v>
      </c>
      <c r="F298" s="13">
        <v>44305</v>
      </c>
      <c r="G298" s="13">
        <f t="shared" si="29"/>
        <v>44312</v>
      </c>
      <c r="H298" s="7">
        <f t="shared" ca="1" si="25"/>
        <v>-791</v>
      </c>
      <c r="I298" s="8">
        <v>44308</v>
      </c>
      <c r="J298" s="9">
        <f t="shared" ca="1" si="26"/>
        <v>0</v>
      </c>
      <c r="K298" s="10"/>
      <c r="L298" s="10" t="str">
        <f t="shared" si="27"/>
        <v>Accepted</v>
      </c>
      <c r="M298" s="11">
        <v>0</v>
      </c>
      <c r="N298" s="10" t="s">
        <v>18</v>
      </c>
      <c r="O298" s="42">
        <f t="shared" si="28"/>
        <v>20000</v>
      </c>
      <c r="P298" s="10" t="s">
        <v>19</v>
      </c>
    </row>
    <row r="299" spans="1:16" s="22" customFormat="1" ht="14.25" customHeight="1" x14ac:dyDescent="0.25">
      <c r="A299" s="5" t="s">
        <v>649</v>
      </c>
      <c r="B299" s="22" t="s">
        <v>15</v>
      </c>
      <c r="C299" s="22" t="s">
        <v>337</v>
      </c>
      <c r="D299" s="23" t="s">
        <v>650</v>
      </c>
      <c r="E299" s="24" t="str">
        <f t="shared" si="24"/>
        <v>C0401271P029</v>
      </c>
      <c r="F299" s="13">
        <v>44305</v>
      </c>
      <c r="G299" s="13">
        <f t="shared" si="29"/>
        <v>44312</v>
      </c>
      <c r="H299" s="7">
        <f t="shared" ca="1" si="25"/>
        <v>-791</v>
      </c>
      <c r="I299" s="8">
        <v>44308</v>
      </c>
      <c r="J299" s="9">
        <f t="shared" ca="1" si="26"/>
        <v>0</v>
      </c>
      <c r="K299" s="10"/>
      <c r="L299" s="10" t="str">
        <f t="shared" si="27"/>
        <v>Accepted</v>
      </c>
      <c r="M299" s="11">
        <v>0</v>
      </c>
      <c r="N299" s="10" t="s">
        <v>18</v>
      </c>
      <c r="O299" s="42">
        <f t="shared" si="28"/>
        <v>20000</v>
      </c>
      <c r="P299" s="10" t="s">
        <v>19</v>
      </c>
    </row>
    <row r="300" spans="1:16" s="22" customFormat="1" ht="14.25" customHeight="1" x14ac:dyDescent="0.25">
      <c r="A300" s="5" t="s">
        <v>651</v>
      </c>
      <c r="B300" s="22" t="s">
        <v>15</v>
      </c>
      <c r="C300" s="22" t="s">
        <v>337</v>
      </c>
      <c r="D300" s="23" t="s">
        <v>652</v>
      </c>
      <c r="E300" s="24" t="str">
        <f t="shared" si="24"/>
        <v>C0401271P030</v>
      </c>
      <c r="F300" s="13">
        <v>44305</v>
      </c>
      <c r="G300" s="13">
        <f t="shared" si="29"/>
        <v>44312</v>
      </c>
      <c r="H300" s="7">
        <f t="shared" ca="1" si="25"/>
        <v>-791</v>
      </c>
      <c r="I300" s="8">
        <v>44308</v>
      </c>
      <c r="J300" s="9">
        <f t="shared" ca="1" si="26"/>
        <v>0</v>
      </c>
      <c r="K300" s="10"/>
      <c r="L300" s="10" t="str">
        <f t="shared" si="27"/>
        <v>Accepted</v>
      </c>
      <c r="M300" s="11">
        <v>0</v>
      </c>
      <c r="N300" s="10" t="s">
        <v>18</v>
      </c>
      <c r="O300" s="42">
        <f t="shared" si="28"/>
        <v>20000</v>
      </c>
      <c r="P300" s="10" t="s">
        <v>19</v>
      </c>
    </row>
    <row r="301" spans="1:16" s="22" customFormat="1" ht="14.25" customHeight="1" x14ac:dyDescent="0.25">
      <c r="A301" s="5" t="s">
        <v>653</v>
      </c>
      <c r="B301" s="22" t="s">
        <v>15</v>
      </c>
      <c r="C301" s="22" t="s">
        <v>337</v>
      </c>
      <c r="D301" s="23" t="s">
        <v>654</v>
      </c>
      <c r="E301" s="24" t="str">
        <f t="shared" si="24"/>
        <v>C0401321P030</v>
      </c>
      <c r="F301" s="13">
        <v>44305</v>
      </c>
      <c r="G301" s="13">
        <f t="shared" si="29"/>
        <v>44312</v>
      </c>
      <c r="H301" s="7">
        <f t="shared" ca="1" si="25"/>
        <v>-791</v>
      </c>
      <c r="I301" s="8">
        <v>44308</v>
      </c>
      <c r="J301" s="9">
        <f t="shared" ca="1" si="26"/>
        <v>0</v>
      </c>
      <c r="K301" s="10"/>
      <c r="L301" s="10" t="str">
        <f t="shared" si="27"/>
        <v>Accepted</v>
      </c>
      <c r="M301" s="11">
        <v>0</v>
      </c>
      <c r="N301" s="10" t="s">
        <v>30</v>
      </c>
      <c r="O301" s="42">
        <f t="shared" si="28"/>
        <v>25000</v>
      </c>
      <c r="P301" s="10" t="s">
        <v>19</v>
      </c>
    </row>
    <row r="302" spans="1:16" s="22" customFormat="1" ht="14.25" customHeight="1" x14ac:dyDescent="0.25">
      <c r="A302" s="5" t="s">
        <v>655</v>
      </c>
      <c r="B302" s="22" t="s">
        <v>15</v>
      </c>
      <c r="C302" s="22" t="s">
        <v>337</v>
      </c>
      <c r="D302" s="23" t="s">
        <v>656</v>
      </c>
      <c r="E302" s="24" t="str">
        <f t="shared" si="24"/>
        <v>C0590531E001</v>
      </c>
      <c r="F302" s="13">
        <v>44305</v>
      </c>
      <c r="G302" s="13">
        <f t="shared" si="29"/>
        <v>44312</v>
      </c>
      <c r="H302" s="7">
        <f t="shared" ca="1" si="25"/>
        <v>-791</v>
      </c>
      <c r="I302" s="8">
        <v>44308</v>
      </c>
      <c r="J302" s="9">
        <f t="shared" ca="1" si="26"/>
        <v>0</v>
      </c>
      <c r="K302" s="10"/>
      <c r="L302" s="10" t="str">
        <f t="shared" si="27"/>
        <v>Accepted</v>
      </c>
      <c r="M302" s="11">
        <v>0</v>
      </c>
      <c r="N302" s="10" t="s">
        <v>30</v>
      </c>
      <c r="O302" s="42">
        <f t="shared" si="28"/>
        <v>25000</v>
      </c>
      <c r="P302" s="10" t="s">
        <v>19</v>
      </c>
    </row>
    <row r="303" spans="1:16" s="22" customFormat="1" ht="14.25" customHeight="1" x14ac:dyDescent="0.25">
      <c r="A303" s="5" t="s">
        <v>657</v>
      </c>
      <c r="B303" s="22" t="s">
        <v>15</v>
      </c>
      <c r="C303" s="22" t="s">
        <v>337</v>
      </c>
      <c r="D303" s="23" t="s">
        <v>658</v>
      </c>
      <c r="E303" s="24" t="str">
        <f t="shared" si="24"/>
        <v>C0590541E001</v>
      </c>
      <c r="F303" s="13">
        <v>44305</v>
      </c>
      <c r="G303" s="13">
        <f t="shared" si="29"/>
        <v>44312</v>
      </c>
      <c r="H303" s="7">
        <f t="shared" ca="1" si="25"/>
        <v>-791</v>
      </c>
      <c r="I303" s="8">
        <v>44308</v>
      </c>
      <c r="J303" s="9">
        <f t="shared" ca="1" si="26"/>
        <v>0</v>
      </c>
      <c r="K303" s="10"/>
      <c r="L303" s="10" t="str">
        <f t="shared" si="27"/>
        <v>Accepted</v>
      </c>
      <c r="M303" s="11">
        <v>0</v>
      </c>
      <c r="N303" s="10" t="s">
        <v>18</v>
      </c>
      <c r="O303" s="42">
        <f t="shared" si="28"/>
        <v>20000</v>
      </c>
      <c r="P303" s="10" t="s">
        <v>19</v>
      </c>
    </row>
    <row r="304" spans="1:16" s="22" customFormat="1" ht="14.25" customHeight="1" x14ac:dyDescent="0.25">
      <c r="A304" s="16" t="s">
        <v>558</v>
      </c>
      <c r="B304" s="22" t="s">
        <v>15</v>
      </c>
      <c r="C304" s="22" t="s">
        <v>160</v>
      </c>
      <c r="D304" s="23" t="s">
        <v>559</v>
      </c>
      <c r="E304" s="24" t="str">
        <f t="shared" si="24"/>
        <v>M0233251E004</v>
      </c>
      <c r="F304" s="13">
        <v>44282</v>
      </c>
      <c r="G304" s="13">
        <f t="shared" si="29"/>
        <v>44289</v>
      </c>
      <c r="H304" s="7">
        <f t="shared" ca="1" si="25"/>
        <v>-814</v>
      </c>
      <c r="I304" s="8">
        <v>44311</v>
      </c>
      <c r="J304" s="9">
        <f t="shared" ca="1" si="26"/>
        <v>0</v>
      </c>
      <c r="K304" s="10"/>
      <c r="L304" s="10" t="str">
        <f t="shared" si="27"/>
        <v>Accepted</v>
      </c>
      <c r="M304" s="11">
        <v>0</v>
      </c>
      <c r="N304" s="10" t="s">
        <v>18</v>
      </c>
      <c r="O304" s="42">
        <f t="shared" si="28"/>
        <v>20000</v>
      </c>
      <c r="P304" s="10" t="s">
        <v>19</v>
      </c>
    </row>
    <row r="305" spans="1:16" s="22" customFormat="1" ht="14.25" customHeight="1" x14ac:dyDescent="0.25">
      <c r="A305" s="16" t="s">
        <v>562</v>
      </c>
      <c r="B305" s="22" t="s">
        <v>15</v>
      </c>
      <c r="C305" s="22" t="s">
        <v>2465</v>
      </c>
      <c r="D305" s="23" t="s">
        <v>563</v>
      </c>
      <c r="E305" s="24" t="str">
        <f t="shared" si="24"/>
        <v>C0201541P089</v>
      </c>
      <c r="F305" s="13">
        <v>44291</v>
      </c>
      <c r="G305" s="13">
        <f t="shared" si="29"/>
        <v>44298</v>
      </c>
      <c r="H305" s="7">
        <f t="shared" ca="1" si="25"/>
        <v>-805</v>
      </c>
      <c r="I305" s="8">
        <v>44311</v>
      </c>
      <c r="J305" s="9">
        <f t="shared" ca="1" si="26"/>
        <v>0</v>
      </c>
      <c r="K305" s="10"/>
      <c r="L305" s="10" t="str">
        <f t="shared" si="27"/>
        <v>Accepted</v>
      </c>
      <c r="M305" s="11">
        <v>0</v>
      </c>
      <c r="N305" s="10" t="s">
        <v>30</v>
      </c>
      <c r="O305" s="42">
        <f t="shared" si="28"/>
        <v>25000</v>
      </c>
      <c r="P305" s="10" t="s">
        <v>19</v>
      </c>
    </row>
    <row r="306" spans="1:16" s="22" customFormat="1" ht="14.25" customHeight="1" x14ac:dyDescent="0.25">
      <c r="A306" s="5" t="s">
        <v>579</v>
      </c>
      <c r="B306" s="22" t="s">
        <v>15</v>
      </c>
      <c r="C306" s="22" t="s">
        <v>2458</v>
      </c>
      <c r="D306" s="23" t="s">
        <v>580</v>
      </c>
      <c r="E306" s="24" t="str">
        <f t="shared" si="24"/>
        <v>M3070632b001</v>
      </c>
      <c r="F306" s="13">
        <v>44294</v>
      </c>
      <c r="G306" s="13">
        <f t="shared" si="29"/>
        <v>44301</v>
      </c>
      <c r="H306" s="7">
        <f t="shared" ca="1" si="25"/>
        <v>-802</v>
      </c>
      <c r="I306" s="8">
        <v>44311</v>
      </c>
      <c r="J306" s="9">
        <f t="shared" ca="1" si="26"/>
        <v>0</v>
      </c>
      <c r="K306" s="10"/>
      <c r="L306" s="10" t="str">
        <f t="shared" si="27"/>
        <v>Accepted</v>
      </c>
      <c r="M306" s="11">
        <v>1</v>
      </c>
      <c r="N306" s="10" t="s">
        <v>30</v>
      </c>
      <c r="O306" s="42">
        <f t="shared" si="28"/>
        <v>25000</v>
      </c>
      <c r="P306" s="10" t="s">
        <v>19</v>
      </c>
    </row>
    <row r="307" spans="1:16" s="22" customFormat="1" ht="14.25" customHeight="1" x14ac:dyDescent="0.25">
      <c r="A307" s="5" t="s">
        <v>647</v>
      </c>
      <c r="B307" s="22" t="s">
        <v>15</v>
      </c>
      <c r="C307" s="22" t="s">
        <v>337</v>
      </c>
      <c r="D307" s="23" t="s">
        <v>648</v>
      </c>
      <c r="E307" s="24" t="str">
        <f t="shared" si="24"/>
        <v>C0401211P029</v>
      </c>
      <c r="F307" s="13">
        <v>44305</v>
      </c>
      <c r="G307" s="13">
        <f t="shared" si="29"/>
        <v>44312</v>
      </c>
      <c r="H307" s="7">
        <f t="shared" ca="1" si="25"/>
        <v>-791</v>
      </c>
      <c r="I307" s="8">
        <v>44311</v>
      </c>
      <c r="J307" s="9">
        <f t="shared" ca="1" si="26"/>
        <v>0</v>
      </c>
      <c r="K307" s="10"/>
      <c r="L307" s="10" t="str">
        <f t="shared" si="27"/>
        <v>Accepted</v>
      </c>
      <c r="M307" s="11">
        <v>0</v>
      </c>
      <c r="N307" s="10" t="s">
        <v>18</v>
      </c>
      <c r="O307" s="42">
        <f t="shared" si="28"/>
        <v>20000</v>
      </c>
      <c r="P307" s="10" t="s">
        <v>19</v>
      </c>
    </row>
    <row r="308" spans="1:16" s="22" customFormat="1" ht="14.25" customHeight="1" x14ac:dyDescent="0.25">
      <c r="A308" s="5" t="s">
        <v>659</v>
      </c>
      <c r="B308" s="22" t="s">
        <v>15</v>
      </c>
      <c r="C308" s="22" t="s">
        <v>291</v>
      </c>
      <c r="D308" s="23" t="s">
        <v>660</v>
      </c>
      <c r="E308" s="24" t="str">
        <f t="shared" si="24"/>
        <v>M3440652P009</v>
      </c>
      <c r="F308" s="13">
        <v>44312</v>
      </c>
      <c r="G308" s="13">
        <f t="shared" si="29"/>
        <v>44319</v>
      </c>
      <c r="H308" s="7">
        <f t="shared" ca="1" si="25"/>
        <v>-784</v>
      </c>
      <c r="I308" s="8">
        <v>44318</v>
      </c>
      <c r="J308" s="9">
        <f t="shared" ca="1" si="26"/>
        <v>0</v>
      </c>
      <c r="K308" s="10"/>
      <c r="L308" s="10" t="str">
        <f t="shared" si="27"/>
        <v>Accepted</v>
      </c>
      <c r="M308" s="11">
        <v>2</v>
      </c>
      <c r="N308" s="10" t="s">
        <v>18</v>
      </c>
      <c r="O308" s="42">
        <f t="shared" si="28"/>
        <v>20000</v>
      </c>
      <c r="P308" s="10" t="s">
        <v>19</v>
      </c>
    </row>
    <row r="309" spans="1:16" s="22" customFormat="1" ht="14.25" customHeight="1" x14ac:dyDescent="0.25">
      <c r="A309" s="5" t="s">
        <v>661</v>
      </c>
      <c r="B309" s="22" t="s">
        <v>15</v>
      </c>
      <c r="C309" s="22" t="s">
        <v>291</v>
      </c>
      <c r="D309" s="23" t="s">
        <v>662</v>
      </c>
      <c r="E309" s="24" t="str">
        <f t="shared" si="24"/>
        <v>M3440662P012</v>
      </c>
      <c r="F309" s="13">
        <v>44312</v>
      </c>
      <c r="G309" s="13">
        <f t="shared" si="29"/>
        <v>44319</v>
      </c>
      <c r="H309" s="7">
        <f t="shared" ca="1" si="25"/>
        <v>-784</v>
      </c>
      <c r="I309" s="8">
        <v>44318</v>
      </c>
      <c r="J309" s="9">
        <f t="shared" ca="1" si="26"/>
        <v>791</v>
      </c>
      <c r="K309" s="10" t="s">
        <v>663</v>
      </c>
      <c r="L309" s="10" t="str">
        <f t="shared" si="27"/>
        <v>Rejected</v>
      </c>
      <c r="M309" s="11">
        <v>1</v>
      </c>
      <c r="N309" s="10" t="s">
        <v>30</v>
      </c>
      <c r="O309" s="42">
        <f t="shared" si="28"/>
        <v>0</v>
      </c>
      <c r="P309" s="10" t="s">
        <v>2485</v>
      </c>
    </row>
    <row r="310" spans="1:16" s="22" customFormat="1" ht="14.25" customHeight="1" x14ac:dyDescent="0.25">
      <c r="A310" s="5" t="s">
        <v>664</v>
      </c>
      <c r="B310" s="22" t="s">
        <v>15</v>
      </c>
      <c r="C310" s="22" t="s">
        <v>291</v>
      </c>
      <c r="D310" s="23" t="s">
        <v>665</v>
      </c>
      <c r="E310" s="24" t="str">
        <f t="shared" si="24"/>
        <v>M3440662P013</v>
      </c>
      <c r="F310" s="13">
        <v>44312</v>
      </c>
      <c r="G310" s="13">
        <f t="shared" si="29"/>
        <v>44319</v>
      </c>
      <c r="H310" s="7">
        <f t="shared" ca="1" si="25"/>
        <v>-784</v>
      </c>
      <c r="I310" s="8">
        <v>44318</v>
      </c>
      <c r="J310" s="9">
        <f t="shared" ca="1" si="26"/>
        <v>0</v>
      </c>
      <c r="K310" s="10"/>
      <c r="L310" s="10" t="str">
        <f t="shared" si="27"/>
        <v>Accepted</v>
      </c>
      <c r="M310" s="11">
        <v>0</v>
      </c>
      <c r="N310" s="10" t="s">
        <v>30</v>
      </c>
      <c r="O310" s="42">
        <f t="shared" si="28"/>
        <v>25000</v>
      </c>
      <c r="P310" s="10" t="s">
        <v>19</v>
      </c>
    </row>
    <row r="311" spans="1:16" s="22" customFormat="1" ht="14.25" customHeight="1" x14ac:dyDescent="0.25">
      <c r="A311" s="5" t="s">
        <v>666</v>
      </c>
      <c r="B311" s="22" t="s">
        <v>15</v>
      </c>
      <c r="C311" s="22" t="s">
        <v>291</v>
      </c>
      <c r="D311" s="23" t="s">
        <v>667</v>
      </c>
      <c r="E311" s="24" t="str">
        <f t="shared" si="24"/>
        <v>M3440662P019</v>
      </c>
      <c r="F311" s="13">
        <v>44312</v>
      </c>
      <c r="G311" s="13">
        <f t="shared" si="29"/>
        <v>44319</v>
      </c>
      <c r="H311" s="7">
        <f t="shared" ca="1" si="25"/>
        <v>-784</v>
      </c>
      <c r="I311" s="8">
        <v>44318</v>
      </c>
      <c r="J311" s="9">
        <f t="shared" ca="1" si="26"/>
        <v>791</v>
      </c>
      <c r="K311" s="10" t="s">
        <v>663</v>
      </c>
      <c r="L311" s="10" t="str">
        <f t="shared" si="27"/>
        <v>Rejected</v>
      </c>
      <c r="M311" s="11">
        <v>1</v>
      </c>
      <c r="N311" s="10" t="s">
        <v>30</v>
      </c>
      <c r="O311" s="42">
        <f t="shared" si="28"/>
        <v>0</v>
      </c>
      <c r="P311" s="10" t="s">
        <v>2485</v>
      </c>
    </row>
    <row r="312" spans="1:16" s="22" customFormat="1" ht="14.25" customHeight="1" x14ac:dyDescent="0.25">
      <c r="A312" s="5" t="s">
        <v>668</v>
      </c>
      <c r="B312" s="22" t="s">
        <v>15</v>
      </c>
      <c r="C312" s="22" t="s">
        <v>291</v>
      </c>
      <c r="D312" s="23" t="s">
        <v>669</v>
      </c>
      <c r="E312" s="24" t="str">
        <f t="shared" si="24"/>
        <v>M3440672P020</v>
      </c>
      <c r="F312" s="13">
        <v>44312</v>
      </c>
      <c r="G312" s="13">
        <f t="shared" si="29"/>
        <v>44319</v>
      </c>
      <c r="H312" s="7">
        <f t="shared" ca="1" si="25"/>
        <v>-784</v>
      </c>
      <c r="I312" s="8">
        <v>44318</v>
      </c>
      <c r="J312" s="9">
        <f t="shared" ca="1" si="26"/>
        <v>791</v>
      </c>
      <c r="K312" s="10" t="s">
        <v>663</v>
      </c>
      <c r="L312" s="10" t="str">
        <f t="shared" si="27"/>
        <v>Rejected</v>
      </c>
      <c r="M312" s="11">
        <v>1</v>
      </c>
      <c r="N312" s="10" t="s">
        <v>18</v>
      </c>
      <c r="O312" s="42">
        <f t="shared" si="28"/>
        <v>0</v>
      </c>
      <c r="P312" s="10" t="s">
        <v>2485</v>
      </c>
    </row>
    <row r="313" spans="1:16" s="22" customFormat="1" ht="14.25" customHeight="1" x14ac:dyDescent="0.25">
      <c r="A313" s="5" t="s">
        <v>670</v>
      </c>
      <c r="B313" s="22" t="s">
        <v>15</v>
      </c>
      <c r="C313" s="22" t="s">
        <v>291</v>
      </c>
      <c r="D313" s="23" t="s">
        <v>671</v>
      </c>
      <c r="E313" s="24" t="str">
        <f t="shared" si="24"/>
        <v>M3440672P021</v>
      </c>
      <c r="F313" s="13">
        <v>44312</v>
      </c>
      <c r="G313" s="13">
        <f t="shared" si="29"/>
        <v>44319</v>
      </c>
      <c r="H313" s="7">
        <f t="shared" ca="1" si="25"/>
        <v>-784</v>
      </c>
      <c r="I313" s="8">
        <v>44318</v>
      </c>
      <c r="J313" s="9">
        <f t="shared" ca="1" si="26"/>
        <v>791</v>
      </c>
      <c r="K313" s="10" t="s">
        <v>663</v>
      </c>
      <c r="L313" s="10" t="str">
        <f t="shared" si="27"/>
        <v>Rejected</v>
      </c>
      <c r="M313" s="11">
        <v>1</v>
      </c>
      <c r="N313" s="10" t="s">
        <v>30</v>
      </c>
      <c r="O313" s="42">
        <f t="shared" si="28"/>
        <v>0</v>
      </c>
      <c r="P313" s="10" t="s">
        <v>2485</v>
      </c>
    </row>
    <row r="314" spans="1:16" s="22" customFormat="1" ht="14.25" customHeight="1" x14ac:dyDescent="0.25">
      <c r="A314" s="5" t="s">
        <v>672</v>
      </c>
      <c r="B314" s="22" t="s">
        <v>15</v>
      </c>
      <c r="C314" s="22" t="s">
        <v>291</v>
      </c>
      <c r="D314" s="23" t="s">
        <v>673</v>
      </c>
      <c r="E314" s="24" t="str">
        <f t="shared" si="24"/>
        <v>M3440672P023</v>
      </c>
      <c r="F314" s="13">
        <v>44312</v>
      </c>
      <c r="G314" s="13">
        <f t="shared" si="29"/>
        <v>44319</v>
      </c>
      <c r="H314" s="7">
        <f t="shared" ca="1" si="25"/>
        <v>-784</v>
      </c>
      <c r="I314" s="8">
        <v>44318</v>
      </c>
      <c r="J314" s="9">
        <f t="shared" ca="1" si="26"/>
        <v>0</v>
      </c>
      <c r="K314" s="10"/>
      <c r="L314" s="10" t="str">
        <f t="shared" si="27"/>
        <v>Accepted</v>
      </c>
      <c r="M314" s="11">
        <v>0</v>
      </c>
      <c r="N314" s="10" t="s">
        <v>18</v>
      </c>
      <c r="O314" s="42">
        <f t="shared" si="28"/>
        <v>20000</v>
      </c>
      <c r="P314" s="10" t="s">
        <v>19</v>
      </c>
    </row>
    <row r="315" spans="1:16" s="22" customFormat="1" ht="14.25" customHeight="1" x14ac:dyDescent="0.25">
      <c r="A315" s="5" t="s">
        <v>674</v>
      </c>
      <c r="B315" s="22" t="s">
        <v>15</v>
      </c>
      <c r="C315" s="22" t="s">
        <v>291</v>
      </c>
      <c r="D315" s="23" t="s">
        <v>675</v>
      </c>
      <c r="E315" s="24" t="str">
        <f t="shared" si="24"/>
        <v>M3440672P024</v>
      </c>
      <c r="F315" s="13">
        <v>44312</v>
      </c>
      <c r="G315" s="13">
        <f t="shared" si="29"/>
        <v>44319</v>
      </c>
      <c r="H315" s="7">
        <f t="shared" ca="1" si="25"/>
        <v>-784</v>
      </c>
      <c r="I315" s="8">
        <v>44318</v>
      </c>
      <c r="J315" s="9">
        <f t="shared" ca="1" si="26"/>
        <v>0</v>
      </c>
      <c r="K315" s="10"/>
      <c r="L315" s="10" t="str">
        <f t="shared" si="27"/>
        <v>Accepted</v>
      </c>
      <c r="M315" s="11">
        <v>1</v>
      </c>
      <c r="N315" s="10" t="s">
        <v>18</v>
      </c>
      <c r="O315" s="42">
        <f t="shared" si="28"/>
        <v>20000</v>
      </c>
      <c r="P315" s="10" t="s">
        <v>19</v>
      </c>
    </row>
    <row r="316" spans="1:16" s="22" customFormat="1" ht="14.25" customHeight="1" x14ac:dyDescent="0.25">
      <c r="A316" s="5" t="s">
        <v>676</v>
      </c>
      <c r="B316" s="22" t="s">
        <v>15</v>
      </c>
      <c r="C316" s="22" t="s">
        <v>291</v>
      </c>
      <c r="D316" s="23" t="s">
        <v>677</v>
      </c>
      <c r="E316" s="24" t="str">
        <f t="shared" si="24"/>
        <v>M3440682P025</v>
      </c>
      <c r="F316" s="13">
        <v>44312</v>
      </c>
      <c r="G316" s="13">
        <f t="shared" si="29"/>
        <v>44319</v>
      </c>
      <c r="H316" s="7">
        <f t="shared" ca="1" si="25"/>
        <v>-784</v>
      </c>
      <c r="I316" s="8">
        <v>44318</v>
      </c>
      <c r="J316" s="9">
        <f t="shared" ca="1" si="26"/>
        <v>791</v>
      </c>
      <c r="K316" s="10" t="s">
        <v>663</v>
      </c>
      <c r="L316" s="10" t="str">
        <f t="shared" si="27"/>
        <v>Rejected</v>
      </c>
      <c r="M316" s="11">
        <v>1</v>
      </c>
      <c r="N316" s="10" t="s">
        <v>18</v>
      </c>
      <c r="O316" s="42">
        <f t="shared" si="28"/>
        <v>0</v>
      </c>
      <c r="P316" s="10" t="s">
        <v>2485</v>
      </c>
    </row>
    <row r="317" spans="1:16" s="22" customFormat="1" ht="14.25" customHeight="1" x14ac:dyDescent="0.25">
      <c r="A317" s="5" t="s">
        <v>678</v>
      </c>
      <c r="B317" s="22" t="s">
        <v>15</v>
      </c>
      <c r="C317" s="22" t="s">
        <v>291</v>
      </c>
      <c r="D317" s="23" t="s">
        <v>679</v>
      </c>
      <c r="E317" s="24" t="str">
        <f t="shared" si="24"/>
        <v>M3440682P026</v>
      </c>
      <c r="F317" s="13">
        <v>44312</v>
      </c>
      <c r="G317" s="13">
        <f t="shared" si="29"/>
        <v>44319</v>
      </c>
      <c r="H317" s="7">
        <f t="shared" ca="1" si="25"/>
        <v>-784</v>
      </c>
      <c r="I317" s="8">
        <v>44318</v>
      </c>
      <c r="J317" s="9">
        <f t="shared" ca="1" si="26"/>
        <v>791</v>
      </c>
      <c r="K317" s="10" t="s">
        <v>663</v>
      </c>
      <c r="L317" s="10" t="str">
        <f t="shared" si="27"/>
        <v>Rejected</v>
      </c>
      <c r="M317" s="11">
        <v>1</v>
      </c>
      <c r="N317" s="10" t="s">
        <v>30</v>
      </c>
      <c r="O317" s="42">
        <f t="shared" si="28"/>
        <v>0</v>
      </c>
      <c r="P317" s="10" t="s">
        <v>2485</v>
      </c>
    </row>
    <row r="318" spans="1:16" s="22" customFormat="1" ht="14.25" customHeight="1" x14ac:dyDescent="0.25">
      <c r="A318" s="5" t="s">
        <v>680</v>
      </c>
      <c r="B318" s="22" t="s">
        <v>15</v>
      </c>
      <c r="C318" s="22" t="s">
        <v>46</v>
      </c>
      <c r="D318" s="23" t="s">
        <v>681</v>
      </c>
      <c r="E318" s="24" t="str">
        <f t="shared" si="24"/>
        <v>C0630733E004</v>
      </c>
      <c r="F318" s="13">
        <v>44312</v>
      </c>
      <c r="G318" s="13">
        <f t="shared" si="29"/>
        <v>44319</v>
      </c>
      <c r="H318" s="7">
        <f t="shared" ca="1" si="25"/>
        <v>-784</v>
      </c>
      <c r="I318" s="8">
        <v>44318</v>
      </c>
      <c r="J318" s="9">
        <f t="shared" ca="1" si="26"/>
        <v>0</v>
      </c>
      <c r="K318" s="10"/>
      <c r="L318" s="10" t="str">
        <f t="shared" si="27"/>
        <v>Accepted</v>
      </c>
      <c r="M318" s="11">
        <v>0</v>
      </c>
      <c r="N318" s="10" t="s">
        <v>30</v>
      </c>
      <c r="O318" s="42">
        <f t="shared" si="28"/>
        <v>25000</v>
      </c>
      <c r="P318" s="10" t="s">
        <v>19</v>
      </c>
    </row>
    <row r="319" spans="1:16" s="22" customFormat="1" ht="14.25" customHeight="1" x14ac:dyDescent="0.25">
      <c r="A319" s="5" t="s">
        <v>682</v>
      </c>
      <c r="B319" s="22" t="s">
        <v>15</v>
      </c>
      <c r="C319" s="22" t="s">
        <v>238</v>
      </c>
      <c r="D319" s="23" t="s">
        <v>683</v>
      </c>
      <c r="E319" s="24" t="str">
        <f t="shared" si="24"/>
        <v>B0097681E001</v>
      </c>
      <c r="F319" s="13">
        <v>44320</v>
      </c>
      <c r="G319" s="13">
        <f t="shared" si="29"/>
        <v>44327</v>
      </c>
      <c r="H319" s="7">
        <f t="shared" ca="1" si="25"/>
        <v>-776</v>
      </c>
      <c r="I319" s="8">
        <v>44322</v>
      </c>
      <c r="J319" s="9">
        <f t="shared" ca="1" si="26"/>
        <v>0</v>
      </c>
      <c r="K319" s="10"/>
      <c r="L319" s="10" t="str">
        <f t="shared" si="27"/>
        <v>Accepted</v>
      </c>
      <c r="M319" s="11">
        <v>0</v>
      </c>
      <c r="N319" s="10" t="s">
        <v>18</v>
      </c>
      <c r="O319" s="42">
        <f t="shared" si="28"/>
        <v>20000</v>
      </c>
      <c r="P319" s="10" t="s">
        <v>19</v>
      </c>
    </row>
    <row r="320" spans="1:16" s="22" customFormat="1" ht="14.25" customHeight="1" x14ac:dyDescent="0.25">
      <c r="A320" s="5" t="s">
        <v>684</v>
      </c>
      <c r="B320" s="22" t="s">
        <v>15</v>
      </c>
      <c r="C320" s="22" t="s">
        <v>238</v>
      </c>
      <c r="D320" s="23" t="s">
        <v>685</v>
      </c>
      <c r="E320" s="24" t="str">
        <f t="shared" si="24"/>
        <v>B0097701E001</v>
      </c>
      <c r="F320" s="13">
        <v>44320</v>
      </c>
      <c r="G320" s="13">
        <f t="shared" si="29"/>
        <v>44327</v>
      </c>
      <c r="H320" s="7">
        <f t="shared" ca="1" si="25"/>
        <v>-776</v>
      </c>
      <c r="I320" s="8">
        <v>44322</v>
      </c>
      <c r="J320" s="9">
        <f t="shared" ca="1" si="26"/>
        <v>0</v>
      </c>
      <c r="K320" s="10"/>
      <c r="L320" s="10" t="str">
        <f t="shared" si="27"/>
        <v>Accepted</v>
      </c>
      <c r="M320" s="11">
        <v>0</v>
      </c>
      <c r="N320" s="10" t="s">
        <v>30</v>
      </c>
      <c r="O320" s="42">
        <f t="shared" si="28"/>
        <v>25000</v>
      </c>
      <c r="P320" s="10" t="s">
        <v>19</v>
      </c>
    </row>
    <row r="321" spans="1:16" s="22" customFormat="1" ht="14.25" customHeight="1" x14ac:dyDescent="0.25">
      <c r="A321" s="5" t="s">
        <v>686</v>
      </c>
      <c r="B321" s="22" t="s">
        <v>15</v>
      </c>
      <c r="C321" s="22" t="s">
        <v>238</v>
      </c>
      <c r="D321" s="23" t="s">
        <v>687</v>
      </c>
      <c r="E321" s="24" t="str">
        <f t="shared" si="24"/>
        <v>B0097711P001</v>
      </c>
      <c r="F321" s="13">
        <v>44320</v>
      </c>
      <c r="G321" s="13">
        <f t="shared" si="29"/>
        <v>44327</v>
      </c>
      <c r="H321" s="7">
        <f t="shared" ca="1" si="25"/>
        <v>-776</v>
      </c>
      <c r="I321" s="8">
        <v>44322</v>
      </c>
      <c r="J321" s="9">
        <f t="shared" ca="1" si="26"/>
        <v>0</v>
      </c>
      <c r="K321" s="10"/>
      <c r="L321" s="10" t="str">
        <f t="shared" si="27"/>
        <v>Accepted</v>
      </c>
      <c r="M321" s="11">
        <v>0</v>
      </c>
      <c r="N321" s="10" t="s">
        <v>18</v>
      </c>
      <c r="O321" s="42">
        <f t="shared" si="28"/>
        <v>20000</v>
      </c>
      <c r="P321" s="10" t="s">
        <v>19</v>
      </c>
    </row>
    <row r="322" spans="1:16" s="22" customFormat="1" ht="14.25" customHeight="1" x14ac:dyDescent="0.25">
      <c r="A322" s="5" t="s">
        <v>688</v>
      </c>
      <c r="B322" s="22" t="s">
        <v>15</v>
      </c>
      <c r="C322" s="22" t="s">
        <v>238</v>
      </c>
      <c r="D322" s="23" t="s">
        <v>689</v>
      </c>
      <c r="E322" s="24" t="str">
        <f t="shared" ref="E322:E385" si="30">HYPERLINK(D322,A322)</f>
        <v>B0097751E003</v>
      </c>
      <c r="F322" s="13">
        <v>44320</v>
      </c>
      <c r="G322" s="13">
        <f t="shared" si="29"/>
        <v>44327</v>
      </c>
      <c r="H322" s="7">
        <f t="shared" ref="H322:H385" ca="1" si="31">G322-TODAY()</f>
        <v>-776</v>
      </c>
      <c r="I322" s="8">
        <v>44322</v>
      </c>
      <c r="J322" s="9">
        <f t="shared" ref="J322:J385" ca="1" si="32">IF(L322="Accepted",0,TODAY()-F322)</f>
        <v>0</v>
      </c>
      <c r="K322" s="10"/>
      <c r="L322" s="10" t="str">
        <f t="shared" ref="L322:L385" si="33">IF(AND(NOT(ISBLANK(I322)), ISBLANK(K322)),"Accepted", IF(AND(ISBLANK(I322),ISBLANK(K322)),"Not Submitted", "Rejected"))</f>
        <v>Accepted</v>
      </c>
      <c r="M322" s="11">
        <v>0</v>
      </c>
      <c r="N322" s="10" t="s">
        <v>18</v>
      </c>
      <c r="O322" s="42">
        <f t="shared" ref="O322:O385" si="34">IF(AND(L322="Accepted",B322="SMA",N322="no"),20000,
IF(AND(L322="Accepted",OR(B322="SMP",B322="SD"),N322="no"),15000,
IF(AND(L322="Accepted",B322="SMA",N322="yes"),25000,
IF(AND(L322="Accepted",OR(B322="SMP",B322="SD"),N322="yes"),18000,
0))))</f>
        <v>20000</v>
      </c>
      <c r="P322" s="10" t="s">
        <v>19</v>
      </c>
    </row>
    <row r="323" spans="1:16" s="22" customFormat="1" ht="14.25" customHeight="1" x14ac:dyDescent="0.25">
      <c r="A323" s="5" t="s">
        <v>690</v>
      </c>
      <c r="B323" s="22" t="s">
        <v>15</v>
      </c>
      <c r="C323" s="22" t="s">
        <v>238</v>
      </c>
      <c r="D323" s="23" t="s">
        <v>691</v>
      </c>
      <c r="E323" s="24" t="str">
        <f t="shared" si="30"/>
        <v>B0097951E009</v>
      </c>
      <c r="F323" s="13">
        <v>44320</v>
      </c>
      <c r="G323" s="13">
        <f t="shared" si="29"/>
        <v>44327</v>
      </c>
      <c r="H323" s="7">
        <f t="shared" ca="1" si="31"/>
        <v>-776</v>
      </c>
      <c r="I323" s="8">
        <v>44322</v>
      </c>
      <c r="J323" s="9">
        <f t="shared" ca="1" si="32"/>
        <v>0</v>
      </c>
      <c r="K323" s="10"/>
      <c r="L323" s="10" t="str">
        <f t="shared" si="33"/>
        <v>Accepted</v>
      </c>
      <c r="M323" s="11">
        <v>0</v>
      </c>
      <c r="N323" s="10" t="s">
        <v>18</v>
      </c>
      <c r="O323" s="42">
        <f t="shared" si="34"/>
        <v>20000</v>
      </c>
      <c r="P323" s="10" t="s">
        <v>19</v>
      </c>
    </row>
    <row r="324" spans="1:16" s="22" customFormat="1" ht="14.25" customHeight="1" x14ac:dyDescent="0.25">
      <c r="A324" s="5" t="s">
        <v>692</v>
      </c>
      <c r="B324" s="22" t="s">
        <v>15</v>
      </c>
      <c r="C324" s="22" t="s">
        <v>238</v>
      </c>
      <c r="D324" s="23" t="s">
        <v>693</v>
      </c>
      <c r="E324" s="24" t="str">
        <f t="shared" si="30"/>
        <v>B0097971P001</v>
      </c>
      <c r="F324" s="13">
        <v>44320</v>
      </c>
      <c r="G324" s="13">
        <f t="shared" si="29"/>
        <v>44327</v>
      </c>
      <c r="H324" s="7">
        <f t="shared" ca="1" si="31"/>
        <v>-776</v>
      </c>
      <c r="I324" s="8">
        <v>44322</v>
      </c>
      <c r="J324" s="9">
        <f t="shared" ca="1" si="32"/>
        <v>0</v>
      </c>
      <c r="K324" s="10"/>
      <c r="L324" s="10" t="str">
        <f t="shared" si="33"/>
        <v>Accepted</v>
      </c>
      <c r="M324" s="11">
        <v>0</v>
      </c>
      <c r="N324" s="10" t="s">
        <v>18</v>
      </c>
      <c r="O324" s="42">
        <f t="shared" si="34"/>
        <v>20000</v>
      </c>
      <c r="P324" s="10" t="s">
        <v>19</v>
      </c>
    </row>
    <row r="325" spans="1:16" s="22" customFormat="1" ht="14.25" customHeight="1" x14ac:dyDescent="0.25">
      <c r="A325" s="5" t="s">
        <v>694</v>
      </c>
      <c r="B325" s="22" t="s">
        <v>15</v>
      </c>
      <c r="C325" s="22" t="s">
        <v>238</v>
      </c>
      <c r="D325" s="23" t="s">
        <v>695</v>
      </c>
      <c r="E325" s="24" t="str">
        <f t="shared" si="30"/>
        <v>B0098051P018</v>
      </c>
      <c r="F325" s="13">
        <v>44320</v>
      </c>
      <c r="G325" s="13">
        <f t="shared" ref="G325:G332" si="35">F325+7</f>
        <v>44327</v>
      </c>
      <c r="H325" s="7">
        <f t="shared" ca="1" si="31"/>
        <v>-776</v>
      </c>
      <c r="I325" s="8">
        <v>44322</v>
      </c>
      <c r="J325" s="9">
        <f t="shared" ca="1" si="32"/>
        <v>0</v>
      </c>
      <c r="K325" s="10"/>
      <c r="L325" s="10" t="str">
        <f t="shared" si="33"/>
        <v>Accepted</v>
      </c>
      <c r="M325" s="11">
        <v>0</v>
      </c>
      <c r="N325" s="10" t="s">
        <v>18</v>
      </c>
      <c r="O325" s="42">
        <f t="shared" si="34"/>
        <v>20000</v>
      </c>
      <c r="P325" s="10" t="s">
        <v>19</v>
      </c>
    </row>
    <row r="326" spans="1:16" s="22" customFormat="1" ht="14.25" customHeight="1" x14ac:dyDescent="0.25">
      <c r="A326" s="5" t="s">
        <v>696</v>
      </c>
      <c r="B326" s="22" t="s">
        <v>15</v>
      </c>
      <c r="C326" s="22" t="s">
        <v>238</v>
      </c>
      <c r="D326" s="23" t="s">
        <v>697</v>
      </c>
      <c r="E326" s="24" t="str">
        <f t="shared" si="30"/>
        <v>B0098071E001</v>
      </c>
      <c r="F326" s="13">
        <v>44320</v>
      </c>
      <c r="G326" s="13">
        <f t="shared" si="35"/>
        <v>44327</v>
      </c>
      <c r="H326" s="7">
        <f t="shared" ca="1" si="31"/>
        <v>-776</v>
      </c>
      <c r="I326" s="8">
        <v>44322</v>
      </c>
      <c r="J326" s="9">
        <f t="shared" ca="1" si="32"/>
        <v>0</v>
      </c>
      <c r="K326" s="10"/>
      <c r="L326" s="10" t="str">
        <f t="shared" si="33"/>
        <v>Accepted</v>
      </c>
      <c r="M326" s="11">
        <v>0</v>
      </c>
      <c r="N326" s="10" t="s">
        <v>18</v>
      </c>
      <c r="O326" s="42">
        <f t="shared" si="34"/>
        <v>20000</v>
      </c>
      <c r="P326" s="10" t="s">
        <v>19</v>
      </c>
    </row>
    <row r="327" spans="1:16" s="22" customFormat="1" ht="14.25" customHeight="1" x14ac:dyDescent="0.25">
      <c r="A327" s="5" t="s">
        <v>700</v>
      </c>
      <c r="B327" s="22" t="s">
        <v>15</v>
      </c>
      <c r="C327" s="22" t="s">
        <v>238</v>
      </c>
      <c r="D327" s="23" t="s">
        <v>701</v>
      </c>
      <c r="E327" s="24" t="str">
        <f t="shared" si="30"/>
        <v>B0098181E001</v>
      </c>
      <c r="F327" s="13">
        <v>44320</v>
      </c>
      <c r="G327" s="13">
        <f t="shared" si="35"/>
        <v>44327</v>
      </c>
      <c r="H327" s="7">
        <f t="shared" ca="1" si="31"/>
        <v>-776</v>
      </c>
      <c r="I327" s="8">
        <v>44322</v>
      </c>
      <c r="J327" s="9">
        <f t="shared" ca="1" si="32"/>
        <v>0</v>
      </c>
      <c r="K327" s="10"/>
      <c r="L327" s="10" t="str">
        <f t="shared" si="33"/>
        <v>Accepted</v>
      </c>
      <c r="M327" s="11">
        <v>0</v>
      </c>
      <c r="N327" s="10" t="s">
        <v>18</v>
      </c>
      <c r="O327" s="42">
        <f t="shared" si="34"/>
        <v>20000</v>
      </c>
      <c r="P327" s="10" t="s">
        <v>19</v>
      </c>
    </row>
    <row r="328" spans="1:16" s="22" customFormat="1" ht="14.25" customHeight="1" x14ac:dyDescent="0.25">
      <c r="A328" s="5" t="s">
        <v>702</v>
      </c>
      <c r="B328" s="22" t="s">
        <v>15</v>
      </c>
      <c r="C328" s="22" t="s">
        <v>238</v>
      </c>
      <c r="D328" s="23" t="s">
        <v>703</v>
      </c>
      <c r="E328" s="24" t="str">
        <f t="shared" si="30"/>
        <v>B0098291P021</v>
      </c>
      <c r="F328" s="13">
        <v>44320</v>
      </c>
      <c r="G328" s="13">
        <f t="shared" si="35"/>
        <v>44327</v>
      </c>
      <c r="H328" s="7">
        <f t="shared" ca="1" si="31"/>
        <v>-776</v>
      </c>
      <c r="I328" s="8">
        <v>44322</v>
      </c>
      <c r="J328" s="9">
        <f t="shared" ca="1" si="32"/>
        <v>0</v>
      </c>
      <c r="K328" s="10"/>
      <c r="L328" s="10" t="str">
        <f t="shared" si="33"/>
        <v>Accepted</v>
      </c>
      <c r="M328" s="11">
        <v>0</v>
      </c>
      <c r="N328" s="10" t="s">
        <v>18</v>
      </c>
      <c r="O328" s="42">
        <f t="shared" si="34"/>
        <v>20000</v>
      </c>
      <c r="P328" s="10" t="s">
        <v>19</v>
      </c>
    </row>
    <row r="329" spans="1:16" s="22" customFormat="1" ht="14.25" customHeight="1" x14ac:dyDescent="0.25">
      <c r="A329" s="5" t="s">
        <v>704</v>
      </c>
      <c r="B329" s="22" t="s">
        <v>15</v>
      </c>
      <c r="C329" s="22" t="s">
        <v>238</v>
      </c>
      <c r="D329" s="23" t="s">
        <v>705</v>
      </c>
      <c r="E329" s="24" t="str">
        <f t="shared" si="30"/>
        <v>B0098311P027</v>
      </c>
      <c r="F329" s="13">
        <v>44320</v>
      </c>
      <c r="G329" s="13">
        <f t="shared" si="35"/>
        <v>44327</v>
      </c>
      <c r="H329" s="7">
        <f t="shared" ca="1" si="31"/>
        <v>-776</v>
      </c>
      <c r="I329" s="8">
        <v>44322</v>
      </c>
      <c r="J329" s="9">
        <f t="shared" ca="1" si="32"/>
        <v>0</v>
      </c>
      <c r="K329" s="10"/>
      <c r="L329" s="10" t="str">
        <f t="shared" si="33"/>
        <v>Accepted</v>
      </c>
      <c r="M329" s="11">
        <v>0</v>
      </c>
      <c r="N329" s="10" t="s">
        <v>18</v>
      </c>
      <c r="O329" s="42">
        <f t="shared" si="34"/>
        <v>20000</v>
      </c>
      <c r="P329" s="10" t="s">
        <v>19</v>
      </c>
    </row>
    <row r="330" spans="1:16" s="22" customFormat="1" ht="14.25" customHeight="1" x14ac:dyDescent="0.25">
      <c r="A330" s="5" t="s">
        <v>708</v>
      </c>
      <c r="B330" s="22" t="s">
        <v>15</v>
      </c>
      <c r="C330" s="22" t="s">
        <v>2458</v>
      </c>
      <c r="D330" s="23" t="s">
        <v>709</v>
      </c>
      <c r="E330" s="24" t="str">
        <f t="shared" si="30"/>
        <v>M3392691b014</v>
      </c>
      <c r="F330" s="13">
        <v>44326</v>
      </c>
      <c r="G330" s="13">
        <f t="shared" si="35"/>
        <v>44333</v>
      </c>
      <c r="H330" s="7">
        <f t="shared" ca="1" si="31"/>
        <v>-770</v>
      </c>
      <c r="I330" s="13">
        <v>44331</v>
      </c>
      <c r="J330" s="9">
        <f t="shared" ca="1" si="32"/>
        <v>777</v>
      </c>
      <c r="K330" s="10" t="s">
        <v>663</v>
      </c>
      <c r="L330" s="10" t="str">
        <f t="shared" si="33"/>
        <v>Rejected</v>
      </c>
      <c r="M330" s="11">
        <v>1</v>
      </c>
      <c r="N330" s="10" t="s">
        <v>18</v>
      </c>
      <c r="O330" s="42">
        <f t="shared" si="34"/>
        <v>0</v>
      </c>
      <c r="P330" s="10" t="s">
        <v>2485</v>
      </c>
    </row>
    <row r="331" spans="1:16" s="22" customFormat="1" ht="14.25" customHeight="1" x14ac:dyDescent="0.25">
      <c r="A331" s="5" t="s">
        <v>706</v>
      </c>
      <c r="B331" s="22" t="s">
        <v>15</v>
      </c>
      <c r="C331" s="22" t="s">
        <v>238</v>
      </c>
      <c r="D331" s="23" t="s">
        <v>707</v>
      </c>
      <c r="E331" s="24" t="str">
        <f t="shared" si="30"/>
        <v>B0098021E001</v>
      </c>
      <c r="F331" s="13">
        <v>44326</v>
      </c>
      <c r="G331" s="13">
        <f t="shared" si="35"/>
        <v>44333</v>
      </c>
      <c r="H331" s="7">
        <f t="shared" ca="1" si="31"/>
        <v>-770</v>
      </c>
      <c r="I331" s="8">
        <v>44332</v>
      </c>
      <c r="J331" s="9">
        <f t="shared" ca="1" si="32"/>
        <v>0</v>
      </c>
      <c r="K331" s="10"/>
      <c r="L331" s="10" t="str">
        <f t="shared" si="33"/>
        <v>Accepted</v>
      </c>
      <c r="M331" s="11">
        <v>0</v>
      </c>
      <c r="N331" s="10" t="s">
        <v>30</v>
      </c>
      <c r="O331" s="42">
        <f t="shared" si="34"/>
        <v>25000</v>
      </c>
      <c r="P331" s="10" t="s">
        <v>19</v>
      </c>
    </row>
    <row r="332" spans="1:16" s="22" customFormat="1" ht="14.25" customHeight="1" x14ac:dyDescent="0.25">
      <c r="A332" s="5" t="s">
        <v>698</v>
      </c>
      <c r="B332" s="22" t="s">
        <v>15</v>
      </c>
      <c r="C332" s="22" t="s">
        <v>238</v>
      </c>
      <c r="D332" s="23" t="s">
        <v>699</v>
      </c>
      <c r="E332" s="24" t="str">
        <f t="shared" si="30"/>
        <v>B0098111E001</v>
      </c>
      <c r="F332" s="13">
        <v>44320</v>
      </c>
      <c r="G332" s="13">
        <f t="shared" si="35"/>
        <v>44327</v>
      </c>
      <c r="H332" s="7">
        <f t="shared" ca="1" si="31"/>
        <v>-776</v>
      </c>
      <c r="I332" s="8">
        <v>44339</v>
      </c>
      <c r="J332" s="9">
        <f t="shared" ca="1" si="32"/>
        <v>0</v>
      </c>
      <c r="K332" s="10"/>
      <c r="L332" s="10" t="str">
        <f t="shared" si="33"/>
        <v>Accepted</v>
      </c>
      <c r="M332" s="11">
        <v>0</v>
      </c>
      <c r="N332" s="10" t="s">
        <v>18</v>
      </c>
      <c r="O332" s="42">
        <f t="shared" si="34"/>
        <v>20000</v>
      </c>
      <c r="P332" s="10" t="s">
        <v>19</v>
      </c>
    </row>
    <row r="333" spans="1:16" s="22" customFormat="1" ht="14.25" customHeight="1" x14ac:dyDescent="0.25">
      <c r="A333" s="5" t="s">
        <v>715</v>
      </c>
      <c r="B333" s="22" t="s">
        <v>716</v>
      </c>
      <c r="C333" s="22" t="s">
        <v>2470</v>
      </c>
      <c r="D333" s="18" t="s">
        <v>717</v>
      </c>
      <c r="E333" s="24" t="str">
        <f t="shared" si="30"/>
        <v>S0220202a002</v>
      </c>
      <c r="F333" s="13">
        <v>44354</v>
      </c>
      <c r="G333" s="13">
        <f t="shared" ref="G333:G396" si="36">F333+6</f>
        <v>44360</v>
      </c>
      <c r="H333" s="7">
        <f t="shared" ca="1" si="31"/>
        <v>-743</v>
      </c>
      <c r="I333" s="13">
        <v>44357</v>
      </c>
      <c r="J333" s="9">
        <f t="shared" ca="1" si="32"/>
        <v>0</v>
      </c>
      <c r="K333" s="10"/>
      <c r="L333" s="10" t="str">
        <f t="shared" si="33"/>
        <v>Accepted</v>
      </c>
      <c r="M333" s="11">
        <v>0</v>
      </c>
      <c r="N333" s="10" t="s">
        <v>18</v>
      </c>
      <c r="O333" s="42">
        <f t="shared" si="34"/>
        <v>15000</v>
      </c>
      <c r="P333" s="10" t="s">
        <v>19</v>
      </c>
    </row>
    <row r="334" spans="1:16" s="22" customFormat="1" ht="14.25" customHeight="1" x14ac:dyDescent="0.25">
      <c r="A334" s="5" t="s">
        <v>718</v>
      </c>
      <c r="B334" s="22" t="s">
        <v>716</v>
      </c>
      <c r="C334" s="22" t="s">
        <v>2470</v>
      </c>
      <c r="D334" s="18" t="s">
        <v>719</v>
      </c>
      <c r="E334" s="24" t="str">
        <f t="shared" si="30"/>
        <v>S0220202b002</v>
      </c>
      <c r="F334" s="13">
        <v>44354</v>
      </c>
      <c r="G334" s="13">
        <f t="shared" si="36"/>
        <v>44360</v>
      </c>
      <c r="H334" s="7">
        <f t="shared" ca="1" si="31"/>
        <v>-743</v>
      </c>
      <c r="I334" s="13">
        <v>44357</v>
      </c>
      <c r="J334" s="9">
        <f t="shared" ca="1" si="32"/>
        <v>0</v>
      </c>
      <c r="K334" s="10"/>
      <c r="L334" s="10" t="str">
        <f t="shared" si="33"/>
        <v>Accepted</v>
      </c>
      <c r="M334" s="11">
        <v>0</v>
      </c>
      <c r="N334" s="10" t="s">
        <v>18</v>
      </c>
      <c r="O334" s="42">
        <f t="shared" si="34"/>
        <v>15000</v>
      </c>
      <c r="P334" s="10" t="s">
        <v>19</v>
      </c>
    </row>
    <row r="335" spans="1:16" s="22" customFormat="1" ht="14.25" customHeight="1" x14ac:dyDescent="0.25">
      <c r="A335" s="5" t="s">
        <v>720</v>
      </c>
      <c r="B335" s="22" t="s">
        <v>716</v>
      </c>
      <c r="C335" s="22" t="s">
        <v>2470</v>
      </c>
      <c r="D335" s="18" t="s">
        <v>721</v>
      </c>
      <c r="E335" s="24" t="str">
        <f t="shared" si="30"/>
        <v>S0220202c002</v>
      </c>
      <c r="F335" s="13">
        <v>44354</v>
      </c>
      <c r="G335" s="13">
        <f t="shared" si="36"/>
        <v>44360</v>
      </c>
      <c r="H335" s="7">
        <f t="shared" ca="1" si="31"/>
        <v>-743</v>
      </c>
      <c r="I335" s="13">
        <v>44357</v>
      </c>
      <c r="J335" s="9">
        <f t="shared" ca="1" si="32"/>
        <v>0</v>
      </c>
      <c r="K335" s="10"/>
      <c r="L335" s="10" t="str">
        <f t="shared" si="33"/>
        <v>Accepted</v>
      </c>
      <c r="M335" s="11">
        <v>0</v>
      </c>
      <c r="N335" s="10" t="s">
        <v>18</v>
      </c>
      <c r="O335" s="42">
        <f t="shared" si="34"/>
        <v>15000</v>
      </c>
      <c r="P335" s="10" t="s">
        <v>19</v>
      </c>
    </row>
    <row r="336" spans="1:16" s="22" customFormat="1" ht="14.25" customHeight="1" x14ac:dyDescent="0.25">
      <c r="A336" s="5" t="s">
        <v>724</v>
      </c>
      <c r="B336" s="22" t="s">
        <v>716</v>
      </c>
      <c r="C336" s="22" t="s">
        <v>2470</v>
      </c>
      <c r="D336" s="18" t="s">
        <v>725</v>
      </c>
      <c r="E336" s="24" t="str">
        <f t="shared" si="30"/>
        <v>S0220212E004</v>
      </c>
      <c r="F336" s="13">
        <v>44354</v>
      </c>
      <c r="G336" s="13">
        <f t="shared" si="36"/>
        <v>44360</v>
      </c>
      <c r="H336" s="7">
        <f t="shared" ca="1" si="31"/>
        <v>-743</v>
      </c>
      <c r="I336" s="13">
        <v>44360</v>
      </c>
      <c r="J336" s="9">
        <f t="shared" ca="1" si="32"/>
        <v>0</v>
      </c>
      <c r="K336" s="10"/>
      <c r="L336" s="10" t="str">
        <f t="shared" si="33"/>
        <v>Accepted</v>
      </c>
      <c r="M336" s="11">
        <v>0</v>
      </c>
      <c r="N336" s="10" t="s">
        <v>18</v>
      </c>
      <c r="O336" s="42">
        <f t="shared" si="34"/>
        <v>15000</v>
      </c>
      <c r="P336" s="10" t="s">
        <v>19</v>
      </c>
    </row>
    <row r="337" spans="1:16" s="22" customFormat="1" ht="14.25" customHeight="1" x14ac:dyDescent="0.25">
      <c r="A337" s="5" t="s">
        <v>726</v>
      </c>
      <c r="B337" s="22" t="s">
        <v>716</v>
      </c>
      <c r="C337" s="22" t="s">
        <v>2470</v>
      </c>
      <c r="D337" s="18" t="s">
        <v>727</v>
      </c>
      <c r="E337" s="24" t="str">
        <f t="shared" si="30"/>
        <v>S0220212E005</v>
      </c>
      <c r="F337" s="13">
        <v>44354</v>
      </c>
      <c r="G337" s="13">
        <f t="shared" si="36"/>
        <v>44360</v>
      </c>
      <c r="H337" s="7">
        <f t="shared" ca="1" si="31"/>
        <v>-743</v>
      </c>
      <c r="I337" s="13">
        <v>44360</v>
      </c>
      <c r="J337" s="9">
        <f t="shared" ca="1" si="32"/>
        <v>0</v>
      </c>
      <c r="K337" s="10"/>
      <c r="L337" s="10" t="str">
        <f t="shared" si="33"/>
        <v>Accepted</v>
      </c>
      <c r="M337" s="11">
        <v>0</v>
      </c>
      <c r="N337" s="10" t="s">
        <v>18</v>
      </c>
      <c r="O337" s="42">
        <f t="shared" si="34"/>
        <v>15000</v>
      </c>
      <c r="P337" s="10" t="s">
        <v>19</v>
      </c>
    </row>
    <row r="338" spans="1:16" s="22" customFormat="1" ht="14.25" customHeight="1" x14ac:dyDescent="0.25">
      <c r="A338" s="5" t="s">
        <v>728</v>
      </c>
      <c r="B338" s="22" t="s">
        <v>716</v>
      </c>
      <c r="C338" s="22" t="s">
        <v>2470</v>
      </c>
      <c r="D338" s="18" t="s">
        <v>729</v>
      </c>
      <c r="E338" s="24" t="str">
        <f t="shared" si="30"/>
        <v>S0220212E006</v>
      </c>
      <c r="F338" s="13">
        <v>44354</v>
      </c>
      <c r="G338" s="13">
        <f t="shared" si="36"/>
        <v>44360</v>
      </c>
      <c r="H338" s="7">
        <f t="shared" ca="1" si="31"/>
        <v>-743</v>
      </c>
      <c r="I338" s="13">
        <v>44360</v>
      </c>
      <c r="J338" s="9">
        <f t="shared" ca="1" si="32"/>
        <v>0</v>
      </c>
      <c r="K338" s="10"/>
      <c r="L338" s="10" t="str">
        <f t="shared" si="33"/>
        <v>Accepted</v>
      </c>
      <c r="M338" s="11">
        <v>0</v>
      </c>
      <c r="N338" s="10" t="s">
        <v>18</v>
      </c>
      <c r="O338" s="42">
        <f t="shared" si="34"/>
        <v>15000</v>
      </c>
      <c r="P338" s="10" t="s">
        <v>19</v>
      </c>
    </row>
    <row r="339" spans="1:16" s="22" customFormat="1" ht="14.25" customHeight="1" x14ac:dyDescent="0.25">
      <c r="A339" s="5" t="s">
        <v>730</v>
      </c>
      <c r="B339" s="22" t="s">
        <v>716</v>
      </c>
      <c r="C339" s="22" t="s">
        <v>2470</v>
      </c>
      <c r="D339" s="18" t="s">
        <v>731</v>
      </c>
      <c r="E339" s="24" t="str">
        <f t="shared" si="30"/>
        <v>S0220212E007</v>
      </c>
      <c r="F339" s="13">
        <v>44354</v>
      </c>
      <c r="G339" s="13">
        <f t="shared" si="36"/>
        <v>44360</v>
      </c>
      <c r="H339" s="7">
        <f t="shared" ca="1" si="31"/>
        <v>-743</v>
      </c>
      <c r="I339" s="13">
        <v>44360</v>
      </c>
      <c r="J339" s="9">
        <f t="shared" ca="1" si="32"/>
        <v>0</v>
      </c>
      <c r="K339" s="10"/>
      <c r="L339" s="10" t="str">
        <f t="shared" si="33"/>
        <v>Accepted</v>
      </c>
      <c r="M339" s="11">
        <v>0</v>
      </c>
      <c r="N339" s="10" t="s">
        <v>18</v>
      </c>
      <c r="O339" s="42">
        <f t="shared" si="34"/>
        <v>15000</v>
      </c>
      <c r="P339" s="10" t="s">
        <v>19</v>
      </c>
    </row>
    <row r="340" spans="1:16" s="22" customFormat="1" ht="14.25" customHeight="1" x14ac:dyDescent="0.25">
      <c r="A340" s="5" t="s">
        <v>732</v>
      </c>
      <c r="B340" s="22" t="s">
        <v>716</v>
      </c>
      <c r="C340" s="22" t="s">
        <v>2470</v>
      </c>
      <c r="D340" s="18" t="s">
        <v>733</v>
      </c>
      <c r="E340" s="24" t="str">
        <f t="shared" si="30"/>
        <v>S0220212E008</v>
      </c>
      <c r="F340" s="13">
        <v>44354</v>
      </c>
      <c r="G340" s="13">
        <f t="shared" si="36"/>
        <v>44360</v>
      </c>
      <c r="H340" s="7">
        <f t="shared" ca="1" si="31"/>
        <v>-743</v>
      </c>
      <c r="I340" s="13">
        <v>44360</v>
      </c>
      <c r="J340" s="9">
        <f t="shared" ca="1" si="32"/>
        <v>0</v>
      </c>
      <c r="K340" s="10"/>
      <c r="L340" s="10" t="str">
        <f t="shared" si="33"/>
        <v>Accepted</v>
      </c>
      <c r="M340" s="11">
        <v>0</v>
      </c>
      <c r="N340" s="10" t="s">
        <v>30</v>
      </c>
      <c r="O340" s="42">
        <f t="shared" si="34"/>
        <v>18000</v>
      </c>
      <c r="P340" s="10" t="s">
        <v>19</v>
      </c>
    </row>
    <row r="341" spans="1:16" s="22" customFormat="1" ht="14.25" customHeight="1" x14ac:dyDescent="0.25">
      <c r="A341" s="5" t="s">
        <v>734</v>
      </c>
      <c r="B341" s="22" t="s">
        <v>716</v>
      </c>
      <c r="C341" s="22" t="s">
        <v>735</v>
      </c>
      <c r="D341" s="18" t="s">
        <v>736</v>
      </c>
      <c r="E341" s="24" t="str">
        <f t="shared" si="30"/>
        <v>S0371472E005</v>
      </c>
      <c r="F341" s="13">
        <v>44357</v>
      </c>
      <c r="G341" s="13">
        <f t="shared" si="36"/>
        <v>44363</v>
      </c>
      <c r="H341" s="7">
        <f t="shared" ca="1" si="31"/>
        <v>-740</v>
      </c>
      <c r="I341" s="13">
        <v>44360</v>
      </c>
      <c r="J341" s="9">
        <f t="shared" ca="1" si="32"/>
        <v>0</v>
      </c>
      <c r="K341" s="10"/>
      <c r="L341" s="10" t="str">
        <f t="shared" si="33"/>
        <v>Accepted</v>
      </c>
      <c r="M341" s="11">
        <v>0</v>
      </c>
      <c r="N341" s="10" t="s">
        <v>18</v>
      </c>
      <c r="O341" s="42">
        <f t="shared" si="34"/>
        <v>15000</v>
      </c>
      <c r="P341" s="10" t="s">
        <v>19</v>
      </c>
    </row>
    <row r="342" spans="1:16" s="22" customFormat="1" ht="14.25" customHeight="1" x14ac:dyDescent="0.25">
      <c r="A342" s="5" t="s">
        <v>737</v>
      </c>
      <c r="B342" s="22" t="s">
        <v>716</v>
      </c>
      <c r="C342" s="22" t="s">
        <v>735</v>
      </c>
      <c r="D342" s="18" t="s">
        <v>738</v>
      </c>
      <c r="E342" s="24" t="str">
        <f t="shared" si="30"/>
        <v>S0371581E001</v>
      </c>
      <c r="F342" s="13">
        <v>44357</v>
      </c>
      <c r="G342" s="13">
        <f t="shared" si="36"/>
        <v>44363</v>
      </c>
      <c r="H342" s="7">
        <f t="shared" ca="1" si="31"/>
        <v>-740</v>
      </c>
      <c r="I342" s="13">
        <v>44364</v>
      </c>
      <c r="J342" s="9">
        <f t="shared" ca="1" si="32"/>
        <v>0</v>
      </c>
      <c r="K342" s="10"/>
      <c r="L342" s="10" t="str">
        <f t="shared" si="33"/>
        <v>Accepted</v>
      </c>
      <c r="M342" s="11">
        <v>0</v>
      </c>
      <c r="N342" s="10" t="s">
        <v>18</v>
      </c>
      <c r="O342" s="42">
        <f t="shared" si="34"/>
        <v>15000</v>
      </c>
      <c r="P342" s="10" t="s">
        <v>19</v>
      </c>
    </row>
    <row r="343" spans="1:16" s="22" customFormat="1" ht="14.25" customHeight="1" x14ac:dyDescent="0.25">
      <c r="A343" s="5" t="s">
        <v>741</v>
      </c>
      <c r="B343" s="22" t="s">
        <v>716</v>
      </c>
      <c r="C343" s="22" t="s">
        <v>735</v>
      </c>
      <c r="D343" s="18" t="s">
        <v>742</v>
      </c>
      <c r="E343" s="24" t="str">
        <f t="shared" si="30"/>
        <v>S0371652E003</v>
      </c>
      <c r="F343" s="13">
        <v>44357</v>
      </c>
      <c r="G343" s="13">
        <f t="shared" si="36"/>
        <v>44363</v>
      </c>
      <c r="H343" s="7">
        <f t="shared" ca="1" si="31"/>
        <v>-740</v>
      </c>
      <c r="I343" s="13">
        <v>44364</v>
      </c>
      <c r="J343" s="9">
        <f t="shared" ca="1" si="32"/>
        <v>0</v>
      </c>
      <c r="K343" s="10"/>
      <c r="L343" s="10" t="str">
        <f t="shared" si="33"/>
        <v>Accepted</v>
      </c>
      <c r="M343" s="11">
        <v>0</v>
      </c>
      <c r="N343" s="10" t="s">
        <v>18</v>
      </c>
      <c r="O343" s="42">
        <f t="shared" si="34"/>
        <v>15000</v>
      </c>
      <c r="P343" s="10" t="s">
        <v>19</v>
      </c>
    </row>
    <row r="344" spans="1:16" s="22" customFormat="1" ht="14.25" customHeight="1" x14ac:dyDescent="0.25">
      <c r="A344" s="5" t="s">
        <v>743</v>
      </c>
      <c r="B344" s="22" t="s">
        <v>716</v>
      </c>
      <c r="C344" s="22" t="s">
        <v>2505</v>
      </c>
      <c r="D344" s="18" t="s">
        <v>744</v>
      </c>
      <c r="E344" s="24" t="str">
        <f t="shared" si="30"/>
        <v>S0371791P004</v>
      </c>
      <c r="F344" s="13">
        <v>44357</v>
      </c>
      <c r="G344" s="13">
        <f t="shared" si="36"/>
        <v>44363</v>
      </c>
      <c r="H344" s="7">
        <f t="shared" ca="1" si="31"/>
        <v>-740</v>
      </c>
      <c r="I344" s="13">
        <v>44364</v>
      </c>
      <c r="J344" s="9">
        <f t="shared" ca="1" si="32"/>
        <v>0</v>
      </c>
      <c r="K344" s="10"/>
      <c r="L344" s="10" t="str">
        <f t="shared" si="33"/>
        <v>Accepted</v>
      </c>
      <c r="M344" s="11">
        <v>0</v>
      </c>
      <c r="N344" s="10" t="s">
        <v>18</v>
      </c>
      <c r="O344" s="42">
        <f t="shared" si="34"/>
        <v>15000</v>
      </c>
      <c r="P344" s="10" t="s">
        <v>19</v>
      </c>
    </row>
    <row r="345" spans="1:16" s="22" customFormat="1" ht="14.25" customHeight="1" x14ac:dyDescent="0.25">
      <c r="A345" s="5" t="s">
        <v>749</v>
      </c>
      <c r="B345" s="22" t="s">
        <v>716</v>
      </c>
      <c r="C345" s="22" t="s">
        <v>2471</v>
      </c>
      <c r="D345" s="18" t="s">
        <v>750</v>
      </c>
      <c r="E345" s="24" t="str">
        <f t="shared" si="30"/>
        <v>S0401451E001</v>
      </c>
      <c r="F345" s="13">
        <v>44357</v>
      </c>
      <c r="G345" s="13">
        <f t="shared" si="36"/>
        <v>44363</v>
      </c>
      <c r="H345" s="7">
        <f t="shared" ca="1" si="31"/>
        <v>-740</v>
      </c>
      <c r="I345" s="13">
        <v>44364</v>
      </c>
      <c r="J345" s="9">
        <f t="shared" ca="1" si="32"/>
        <v>0</v>
      </c>
      <c r="K345" s="10"/>
      <c r="L345" s="10" t="str">
        <f t="shared" si="33"/>
        <v>Accepted</v>
      </c>
      <c r="M345" s="11">
        <v>0</v>
      </c>
      <c r="N345" s="10" t="s">
        <v>18</v>
      </c>
      <c r="O345" s="42">
        <f t="shared" si="34"/>
        <v>15000</v>
      </c>
      <c r="P345" s="10" t="s">
        <v>19</v>
      </c>
    </row>
    <row r="346" spans="1:16" s="22" customFormat="1" ht="14.25" customHeight="1" x14ac:dyDescent="0.25">
      <c r="A346" s="5" t="s">
        <v>751</v>
      </c>
      <c r="B346" s="22" t="s">
        <v>716</v>
      </c>
      <c r="C346" s="22" t="s">
        <v>752</v>
      </c>
      <c r="D346" s="18" t="s">
        <v>753</v>
      </c>
      <c r="E346" s="24" t="str">
        <f t="shared" si="30"/>
        <v>S0041364E001</v>
      </c>
      <c r="F346" s="13">
        <v>44365</v>
      </c>
      <c r="G346" s="13">
        <f t="shared" si="36"/>
        <v>44371</v>
      </c>
      <c r="H346" s="7">
        <f t="shared" ca="1" si="31"/>
        <v>-732</v>
      </c>
      <c r="I346" s="13">
        <v>44366</v>
      </c>
      <c r="J346" s="9">
        <f t="shared" ca="1" si="32"/>
        <v>0</v>
      </c>
      <c r="K346" s="10"/>
      <c r="L346" s="10" t="str">
        <f t="shared" si="33"/>
        <v>Accepted</v>
      </c>
      <c r="M346" s="11">
        <v>0</v>
      </c>
      <c r="N346" s="10" t="s">
        <v>18</v>
      </c>
      <c r="O346" s="42">
        <f t="shared" si="34"/>
        <v>15000</v>
      </c>
      <c r="P346" s="10" t="s">
        <v>19</v>
      </c>
    </row>
    <row r="347" spans="1:16" s="22" customFormat="1" ht="14.25" customHeight="1" x14ac:dyDescent="0.25">
      <c r="A347" s="5" t="s">
        <v>754</v>
      </c>
      <c r="B347" s="22" t="s">
        <v>716</v>
      </c>
      <c r="C347" s="22" t="s">
        <v>752</v>
      </c>
      <c r="D347" s="18" t="s">
        <v>755</v>
      </c>
      <c r="E347" s="24" t="str">
        <f t="shared" si="30"/>
        <v>S0041365E001</v>
      </c>
      <c r="F347" s="13">
        <v>44365</v>
      </c>
      <c r="G347" s="13">
        <f t="shared" si="36"/>
        <v>44371</v>
      </c>
      <c r="H347" s="7">
        <f t="shared" ca="1" si="31"/>
        <v>-732</v>
      </c>
      <c r="I347" s="13">
        <v>44366</v>
      </c>
      <c r="J347" s="9">
        <f t="shared" ca="1" si="32"/>
        <v>0</v>
      </c>
      <c r="K347" s="10"/>
      <c r="L347" s="10" t="str">
        <f t="shared" si="33"/>
        <v>Accepted</v>
      </c>
      <c r="M347" s="11">
        <v>0</v>
      </c>
      <c r="N347" s="10" t="s">
        <v>18</v>
      </c>
      <c r="O347" s="42">
        <f t="shared" si="34"/>
        <v>15000</v>
      </c>
      <c r="P347" s="10" t="s">
        <v>19</v>
      </c>
    </row>
    <row r="348" spans="1:16" s="22" customFormat="1" ht="14.25" customHeight="1" x14ac:dyDescent="0.25">
      <c r="A348" s="5" t="s">
        <v>2509</v>
      </c>
      <c r="B348" s="22" t="s">
        <v>716</v>
      </c>
      <c r="C348" s="22" t="s">
        <v>752</v>
      </c>
      <c r="D348" s="18" t="s">
        <v>756</v>
      </c>
      <c r="E348" s="24" t="str">
        <f t="shared" si="30"/>
        <v>S0041365E002</v>
      </c>
      <c r="F348" s="13">
        <v>44365</v>
      </c>
      <c r="G348" s="13">
        <f t="shared" si="36"/>
        <v>44371</v>
      </c>
      <c r="H348" s="7">
        <f t="shared" ca="1" si="31"/>
        <v>-732</v>
      </c>
      <c r="I348" s="13">
        <v>44366</v>
      </c>
      <c r="J348" s="9">
        <f t="shared" ca="1" si="32"/>
        <v>0</v>
      </c>
      <c r="K348" s="10"/>
      <c r="L348" s="10" t="str">
        <f t="shared" si="33"/>
        <v>Accepted</v>
      </c>
      <c r="M348" s="11">
        <v>0</v>
      </c>
      <c r="N348" s="10" t="s">
        <v>18</v>
      </c>
      <c r="O348" s="42">
        <f t="shared" si="34"/>
        <v>15000</v>
      </c>
      <c r="P348" s="10" t="s">
        <v>19</v>
      </c>
    </row>
    <row r="349" spans="1:16" s="22" customFormat="1" ht="14.25" customHeight="1" x14ac:dyDescent="0.25">
      <c r="A349" s="5" t="s">
        <v>757</v>
      </c>
      <c r="B349" s="22" t="s">
        <v>716</v>
      </c>
      <c r="C349" s="22" t="s">
        <v>752</v>
      </c>
      <c r="D349" s="18" t="s">
        <v>758</v>
      </c>
      <c r="E349" s="24" t="str">
        <f t="shared" si="30"/>
        <v>S0041372E001</v>
      </c>
      <c r="F349" s="13">
        <v>44365</v>
      </c>
      <c r="G349" s="13">
        <f t="shared" si="36"/>
        <v>44371</v>
      </c>
      <c r="H349" s="7">
        <f t="shared" ca="1" si="31"/>
        <v>-732</v>
      </c>
      <c r="I349" s="13">
        <v>44366</v>
      </c>
      <c r="J349" s="9">
        <f t="shared" ca="1" si="32"/>
        <v>0</v>
      </c>
      <c r="K349" s="10"/>
      <c r="L349" s="10" t="str">
        <f t="shared" si="33"/>
        <v>Accepted</v>
      </c>
      <c r="M349" s="11">
        <v>0</v>
      </c>
      <c r="N349" s="10" t="s">
        <v>18</v>
      </c>
      <c r="O349" s="42">
        <f t="shared" si="34"/>
        <v>15000</v>
      </c>
      <c r="P349" s="10" t="s">
        <v>19</v>
      </c>
    </row>
    <row r="350" spans="1:16" s="22" customFormat="1" ht="14.25" customHeight="1" x14ac:dyDescent="0.25">
      <c r="A350" s="5" t="s">
        <v>759</v>
      </c>
      <c r="B350" s="22" t="s">
        <v>716</v>
      </c>
      <c r="C350" s="22" t="s">
        <v>752</v>
      </c>
      <c r="D350" s="18" t="s">
        <v>760</v>
      </c>
      <c r="E350" s="24" t="str">
        <f t="shared" si="30"/>
        <v>S0041372E002</v>
      </c>
      <c r="F350" s="13">
        <v>44365</v>
      </c>
      <c r="G350" s="13">
        <f t="shared" si="36"/>
        <v>44371</v>
      </c>
      <c r="H350" s="7">
        <f t="shared" ca="1" si="31"/>
        <v>-732</v>
      </c>
      <c r="I350" s="13">
        <v>44366</v>
      </c>
      <c r="J350" s="9">
        <f t="shared" ca="1" si="32"/>
        <v>0</v>
      </c>
      <c r="K350" s="10"/>
      <c r="L350" s="10" t="str">
        <f t="shared" si="33"/>
        <v>Accepted</v>
      </c>
      <c r="M350" s="11">
        <v>0</v>
      </c>
      <c r="N350" s="10" t="s">
        <v>18</v>
      </c>
      <c r="O350" s="42">
        <f t="shared" si="34"/>
        <v>15000</v>
      </c>
      <c r="P350" s="10" t="s">
        <v>19</v>
      </c>
    </row>
    <row r="351" spans="1:16" s="22" customFormat="1" ht="14.25" customHeight="1" x14ac:dyDescent="0.25">
      <c r="A351" s="5" t="s">
        <v>761</v>
      </c>
      <c r="B351" s="22" t="s">
        <v>716</v>
      </c>
      <c r="C351" s="22" t="s">
        <v>752</v>
      </c>
      <c r="D351" s="18" t="s">
        <v>762</v>
      </c>
      <c r="E351" s="24" t="str">
        <f t="shared" si="30"/>
        <v>S0041382E004</v>
      </c>
      <c r="F351" s="13">
        <v>44365</v>
      </c>
      <c r="G351" s="13">
        <f t="shared" si="36"/>
        <v>44371</v>
      </c>
      <c r="H351" s="7">
        <f t="shared" ca="1" si="31"/>
        <v>-732</v>
      </c>
      <c r="I351" s="13">
        <v>44366</v>
      </c>
      <c r="J351" s="9">
        <f t="shared" ca="1" si="32"/>
        <v>0</v>
      </c>
      <c r="K351" s="10"/>
      <c r="L351" s="10" t="str">
        <f t="shared" si="33"/>
        <v>Accepted</v>
      </c>
      <c r="M351" s="11">
        <v>0</v>
      </c>
      <c r="N351" s="10" t="s">
        <v>18</v>
      </c>
      <c r="O351" s="42">
        <f t="shared" si="34"/>
        <v>15000</v>
      </c>
      <c r="P351" s="10" t="s">
        <v>19</v>
      </c>
    </row>
    <row r="352" spans="1:16" s="22" customFormat="1" ht="14.25" customHeight="1" x14ac:dyDescent="0.25">
      <c r="A352" s="5" t="s">
        <v>763</v>
      </c>
      <c r="B352" s="22" t="s">
        <v>716</v>
      </c>
      <c r="C352" s="22" t="s">
        <v>752</v>
      </c>
      <c r="D352" s="18" t="s">
        <v>764</v>
      </c>
      <c r="E352" s="24" t="str">
        <f t="shared" si="30"/>
        <v>S0041382E005</v>
      </c>
      <c r="F352" s="13">
        <v>44365</v>
      </c>
      <c r="G352" s="13">
        <f t="shared" si="36"/>
        <v>44371</v>
      </c>
      <c r="H352" s="7">
        <f t="shared" ca="1" si="31"/>
        <v>-732</v>
      </c>
      <c r="I352" s="13">
        <v>44366</v>
      </c>
      <c r="J352" s="9">
        <f t="shared" ca="1" si="32"/>
        <v>0</v>
      </c>
      <c r="K352" s="10"/>
      <c r="L352" s="10" t="str">
        <f t="shared" si="33"/>
        <v>Accepted</v>
      </c>
      <c r="M352" s="11">
        <v>0</v>
      </c>
      <c r="N352" s="10" t="s">
        <v>18</v>
      </c>
      <c r="O352" s="42">
        <f t="shared" si="34"/>
        <v>15000</v>
      </c>
      <c r="P352" s="10" t="s">
        <v>19</v>
      </c>
    </row>
    <row r="353" spans="1:16" s="22" customFormat="1" ht="14.25" customHeight="1" x14ac:dyDescent="0.25">
      <c r="A353" s="5" t="s">
        <v>774</v>
      </c>
      <c r="B353" s="22" t="s">
        <v>716</v>
      </c>
      <c r="C353" s="22" t="s">
        <v>2472</v>
      </c>
      <c r="D353" s="18" t="s">
        <v>775</v>
      </c>
      <c r="E353" s="24" t="str">
        <f t="shared" si="30"/>
        <v>S0061951P014</v>
      </c>
      <c r="F353" s="13">
        <v>44367</v>
      </c>
      <c r="G353" s="13">
        <f t="shared" si="36"/>
        <v>44373</v>
      </c>
      <c r="H353" s="7">
        <f t="shared" ca="1" si="31"/>
        <v>-730</v>
      </c>
      <c r="I353" s="13">
        <v>44367</v>
      </c>
      <c r="J353" s="9">
        <f t="shared" ca="1" si="32"/>
        <v>0</v>
      </c>
      <c r="K353" s="10"/>
      <c r="L353" s="10" t="str">
        <f t="shared" si="33"/>
        <v>Accepted</v>
      </c>
      <c r="M353" s="11">
        <v>0</v>
      </c>
      <c r="N353" s="10" t="s">
        <v>18</v>
      </c>
      <c r="O353" s="42">
        <f t="shared" si="34"/>
        <v>15000</v>
      </c>
      <c r="P353" s="10" t="s">
        <v>19</v>
      </c>
    </row>
    <row r="354" spans="1:16" s="22" customFormat="1" ht="14.25" customHeight="1" x14ac:dyDescent="0.25">
      <c r="A354" s="5" t="s">
        <v>776</v>
      </c>
      <c r="B354" s="22" t="s">
        <v>716</v>
      </c>
      <c r="C354" s="22" t="s">
        <v>2472</v>
      </c>
      <c r="D354" s="18" t="s">
        <v>777</v>
      </c>
      <c r="E354" s="24" t="str">
        <f t="shared" si="30"/>
        <v>S0061951P015</v>
      </c>
      <c r="F354" s="13">
        <v>44367</v>
      </c>
      <c r="G354" s="13">
        <f t="shared" si="36"/>
        <v>44373</v>
      </c>
      <c r="H354" s="7">
        <f t="shared" ca="1" si="31"/>
        <v>-730</v>
      </c>
      <c r="I354" s="13">
        <v>44367</v>
      </c>
      <c r="J354" s="9">
        <f t="shared" ca="1" si="32"/>
        <v>0</v>
      </c>
      <c r="K354" s="10"/>
      <c r="L354" s="10" t="str">
        <f t="shared" si="33"/>
        <v>Accepted</v>
      </c>
      <c r="M354" s="11">
        <v>0</v>
      </c>
      <c r="N354" s="10" t="s">
        <v>18</v>
      </c>
      <c r="O354" s="42">
        <f t="shared" si="34"/>
        <v>15000</v>
      </c>
      <c r="P354" s="10" t="s">
        <v>19</v>
      </c>
    </row>
    <row r="355" spans="1:16" s="22" customFormat="1" ht="14.25" customHeight="1" x14ac:dyDescent="0.25">
      <c r="A355" s="5" t="s">
        <v>778</v>
      </c>
      <c r="B355" s="22" t="s">
        <v>716</v>
      </c>
      <c r="C355" s="22" t="s">
        <v>2472</v>
      </c>
      <c r="D355" s="18" t="s">
        <v>779</v>
      </c>
      <c r="E355" s="24" t="str">
        <f t="shared" si="30"/>
        <v>S0061961P018</v>
      </c>
      <c r="F355" s="13">
        <v>44367</v>
      </c>
      <c r="G355" s="13">
        <f t="shared" si="36"/>
        <v>44373</v>
      </c>
      <c r="H355" s="7">
        <f t="shared" ca="1" si="31"/>
        <v>-730</v>
      </c>
      <c r="I355" s="13">
        <v>44367</v>
      </c>
      <c r="J355" s="9">
        <f t="shared" ca="1" si="32"/>
        <v>0</v>
      </c>
      <c r="K355" s="10"/>
      <c r="L355" s="10" t="str">
        <f t="shared" si="33"/>
        <v>Accepted</v>
      </c>
      <c r="M355" s="11">
        <v>0</v>
      </c>
      <c r="N355" s="10" t="s">
        <v>18</v>
      </c>
      <c r="O355" s="42">
        <f t="shared" si="34"/>
        <v>15000</v>
      </c>
      <c r="P355" s="10" t="s">
        <v>19</v>
      </c>
    </row>
    <row r="356" spans="1:16" s="22" customFormat="1" ht="14.25" customHeight="1" x14ac:dyDescent="0.25">
      <c r="A356" s="5" t="s">
        <v>780</v>
      </c>
      <c r="B356" s="22" t="s">
        <v>716</v>
      </c>
      <c r="C356" s="22" t="s">
        <v>2505</v>
      </c>
      <c r="D356" s="18" t="s">
        <v>781</v>
      </c>
      <c r="E356" s="24" t="str">
        <f t="shared" si="30"/>
        <v>S0410203E001</v>
      </c>
      <c r="F356" s="13">
        <v>44367</v>
      </c>
      <c r="G356" s="13">
        <f t="shared" si="36"/>
        <v>44373</v>
      </c>
      <c r="H356" s="7">
        <f t="shared" ca="1" si="31"/>
        <v>-730</v>
      </c>
      <c r="I356" s="13">
        <v>44367</v>
      </c>
      <c r="J356" s="9">
        <f t="shared" ca="1" si="32"/>
        <v>736</v>
      </c>
      <c r="K356" s="10" t="s">
        <v>771</v>
      </c>
      <c r="L356" s="10" t="str">
        <f t="shared" si="33"/>
        <v>Rejected</v>
      </c>
      <c r="M356" s="11">
        <v>1</v>
      </c>
      <c r="N356" s="10" t="s">
        <v>18</v>
      </c>
      <c r="O356" s="42">
        <f t="shared" si="34"/>
        <v>0</v>
      </c>
      <c r="P356" s="10" t="s">
        <v>2485</v>
      </c>
    </row>
    <row r="357" spans="1:16" s="22" customFormat="1" ht="14.25" customHeight="1" x14ac:dyDescent="0.25">
      <c r="A357" s="5" t="s">
        <v>786</v>
      </c>
      <c r="B357" s="22" t="s">
        <v>716</v>
      </c>
      <c r="C357" s="22" t="s">
        <v>787</v>
      </c>
      <c r="D357" s="18" t="s">
        <v>788</v>
      </c>
      <c r="E357" s="24" t="str">
        <f t="shared" si="30"/>
        <v>S0442342E005</v>
      </c>
      <c r="F357" s="13">
        <v>44367</v>
      </c>
      <c r="G357" s="13">
        <f t="shared" si="36"/>
        <v>44373</v>
      </c>
      <c r="H357" s="7">
        <f t="shared" ca="1" si="31"/>
        <v>-730</v>
      </c>
      <c r="I357" s="13">
        <v>44371</v>
      </c>
      <c r="J357" s="9">
        <f t="shared" ca="1" si="32"/>
        <v>0</v>
      </c>
      <c r="K357" s="10"/>
      <c r="L357" s="10" t="str">
        <f t="shared" si="33"/>
        <v>Accepted</v>
      </c>
      <c r="M357" s="11">
        <v>1</v>
      </c>
      <c r="N357" s="10" t="s">
        <v>18</v>
      </c>
      <c r="O357" s="42">
        <f t="shared" si="34"/>
        <v>15000</v>
      </c>
      <c r="P357" s="10" t="s">
        <v>19</v>
      </c>
    </row>
    <row r="358" spans="1:16" s="22" customFormat="1" ht="14.25" customHeight="1" x14ac:dyDescent="0.25">
      <c r="A358" s="5" t="s">
        <v>789</v>
      </c>
      <c r="B358" s="22" t="s">
        <v>716</v>
      </c>
      <c r="C358" s="22" t="s">
        <v>787</v>
      </c>
      <c r="D358" s="18" t="s">
        <v>790</v>
      </c>
      <c r="E358" s="24" t="str">
        <f t="shared" si="30"/>
        <v>S0441723E002</v>
      </c>
      <c r="F358" s="13">
        <v>44367</v>
      </c>
      <c r="G358" s="13">
        <f t="shared" si="36"/>
        <v>44373</v>
      </c>
      <c r="H358" s="7">
        <f t="shared" ca="1" si="31"/>
        <v>-730</v>
      </c>
      <c r="I358" s="13">
        <v>44371</v>
      </c>
      <c r="J358" s="9">
        <f t="shared" ca="1" si="32"/>
        <v>0</v>
      </c>
      <c r="K358" s="10"/>
      <c r="L358" s="10" t="str">
        <f t="shared" si="33"/>
        <v>Accepted</v>
      </c>
      <c r="M358" s="11">
        <v>1</v>
      </c>
      <c r="N358" s="10" t="s">
        <v>18</v>
      </c>
      <c r="O358" s="42">
        <f t="shared" si="34"/>
        <v>15000</v>
      </c>
      <c r="P358" s="10" t="s">
        <v>19</v>
      </c>
    </row>
    <row r="359" spans="1:16" s="22" customFormat="1" ht="14.25" customHeight="1" x14ac:dyDescent="0.25">
      <c r="A359" s="5" t="s">
        <v>791</v>
      </c>
      <c r="B359" s="22" t="s">
        <v>716</v>
      </c>
      <c r="C359" s="22" t="s">
        <v>787</v>
      </c>
      <c r="D359" s="18" t="s">
        <v>792</v>
      </c>
      <c r="E359" s="24" t="str">
        <f t="shared" si="30"/>
        <v>S0441451E002</v>
      </c>
      <c r="F359" s="13">
        <v>44367</v>
      </c>
      <c r="G359" s="13">
        <f t="shared" si="36"/>
        <v>44373</v>
      </c>
      <c r="H359" s="7">
        <f t="shared" ca="1" si="31"/>
        <v>-730</v>
      </c>
      <c r="I359" s="13">
        <v>44371</v>
      </c>
      <c r="J359" s="9">
        <f t="shared" ca="1" si="32"/>
        <v>0</v>
      </c>
      <c r="K359" s="10"/>
      <c r="L359" s="10" t="str">
        <f t="shared" si="33"/>
        <v>Accepted</v>
      </c>
      <c r="M359" s="11">
        <v>0</v>
      </c>
      <c r="N359" s="10" t="s">
        <v>18</v>
      </c>
      <c r="O359" s="42">
        <f t="shared" si="34"/>
        <v>15000</v>
      </c>
      <c r="P359" s="10" t="s">
        <v>19</v>
      </c>
    </row>
    <row r="360" spans="1:16" s="22" customFormat="1" ht="14.25" customHeight="1" x14ac:dyDescent="0.25">
      <c r="A360" s="5" t="s">
        <v>793</v>
      </c>
      <c r="B360" s="22" t="s">
        <v>716</v>
      </c>
      <c r="C360" s="22" t="s">
        <v>787</v>
      </c>
      <c r="D360" s="18" t="s">
        <v>794</v>
      </c>
      <c r="E360" s="24" t="str">
        <f t="shared" si="30"/>
        <v>S0441451E003</v>
      </c>
      <c r="F360" s="13">
        <v>44367</v>
      </c>
      <c r="G360" s="13">
        <f t="shared" si="36"/>
        <v>44373</v>
      </c>
      <c r="H360" s="7">
        <f t="shared" ca="1" si="31"/>
        <v>-730</v>
      </c>
      <c r="I360" s="13">
        <v>44371</v>
      </c>
      <c r="J360" s="9">
        <f t="shared" ca="1" si="32"/>
        <v>0</v>
      </c>
      <c r="K360" s="10"/>
      <c r="L360" s="10" t="str">
        <f t="shared" si="33"/>
        <v>Accepted</v>
      </c>
      <c r="M360" s="11">
        <v>0</v>
      </c>
      <c r="N360" s="10" t="s">
        <v>18</v>
      </c>
      <c r="O360" s="42">
        <f t="shared" si="34"/>
        <v>15000</v>
      </c>
      <c r="P360" s="10" t="s">
        <v>19</v>
      </c>
    </row>
    <row r="361" spans="1:16" s="22" customFormat="1" ht="14.25" customHeight="1" x14ac:dyDescent="0.25">
      <c r="A361" s="5" t="s">
        <v>795</v>
      </c>
      <c r="B361" s="22" t="s">
        <v>716</v>
      </c>
      <c r="C361" s="22" t="s">
        <v>787</v>
      </c>
      <c r="D361" s="18" t="s">
        <v>796</v>
      </c>
      <c r="E361" s="24" t="str">
        <f t="shared" si="30"/>
        <v>S0441451E004</v>
      </c>
      <c r="F361" s="13">
        <v>44367</v>
      </c>
      <c r="G361" s="13">
        <f t="shared" si="36"/>
        <v>44373</v>
      </c>
      <c r="H361" s="7">
        <f t="shared" ca="1" si="31"/>
        <v>-730</v>
      </c>
      <c r="I361" s="13">
        <v>44371</v>
      </c>
      <c r="J361" s="9">
        <f t="shared" ca="1" si="32"/>
        <v>0</v>
      </c>
      <c r="K361" s="10"/>
      <c r="L361" s="10" t="str">
        <f t="shared" si="33"/>
        <v>Accepted</v>
      </c>
      <c r="M361" s="11">
        <v>0</v>
      </c>
      <c r="N361" s="10" t="s">
        <v>18</v>
      </c>
      <c r="O361" s="42">
        <f t="shared" si="34"/>
        <v>15000</v>
      </c>
      <c r="P361" s="10" t="s">
        <v>19</v>
      </c>
    </row>
    <row r="362" spans="1:16" s="22" customFormat="1" ht="14.25" customHeight="1" x14ac:dyDescent="0.25">
      <c r="A362" s="5" t="s">
        <v>797</v>
      </c>
      <c r="B362" s="22" t="s">
        <v>716</v>
      </c>
      <c r="C362" s="22" t="s">
        <v>787</v>
      </c>
      <c r="D362" s="18" t="s">
        <v>798</v>
      </c>
      <c r="E362" s="24" t="str">
        <f t="shared" si="30"/>
        <v>S0441451E005</v>
      </c>
      <c r="F362" s="13">
        <v>44367</v>
      </c>
      <c r="G362" s="13">
        <f t="shared" si="36"/>
        <v>44373</v>
      </c>
      <c r="H362" s="7">
        <f t="shared" ca="1" si="31"/>
        <v>-730</v>
      </c>
      <c r="I362" s="13">
        <v>44371</v>
      </c>
      <c r="J362" s="9">
        <f t="shared" ca="1" si="32"/>
        <v>0</v>
      </c>
      <c r="K362" s="10"/>
      <c r="L362" s="10" t="str">
        <f t="shared" si="33"/>
        <v>Accepted</v>
      </c>
      <c r="M362" s="11">
        <v>0</v>
      </c>
      <c r="N362" s="10" t="s">
        <v>18</v>
      </c>
      <c r="O362" s="42">
        <f t="shared" si="34"/>
        <v>15000</v>
      </c>
      <c r="P362" s="10" t="s">
        <v>19</v>
      </c>
    </row>
    <row r="363" spans="1:16" s="22" customFormat="1" ht="14.25" customHeight="1" x14ac:dyDescent="0.25">
      <c r="A363" s="5" t="s">
        <v>799</v>
      </c>
      <c r="B363" s="22" t="s">
        <v>716</v>
      </c>
      <c r="C363" s="22" t="s">
        <v>787</v>
      </c>
      <c r="D363" s="18" t="s">
        <v>800</v>
      </c>
      <c r="E363" s="24" t="str">
        <f t="shared" si="30"/>
        <v>S0441452E001</v>
      </c>
      <c r="F363" s="13">
        <v>44367</v>
      </c>
      <c r="G363" s="13">
        <f t="shared" si="36"/>
        <v>44373</v>
      </c>
      <c r="H363" s="7">
        <f t="shared" ca="1" si="31"/>
        <v>-730</v>
      </c>
      <c r="I363" s="13">
        <v>44371</v>
      </c>
      <c r="J363" s="9">
        <f t="shared" ca="1" si="32"/>
        <v>0</v>
      </c>
      <c r="K363" s="10"/>
      <c r="L363" s="10" t="str">
        <f t="shared" si="33"/>
        <v>Accepted</v>
      </c>
      <c r="M363" s="11">
        <v>0</v>
      </c>
      <c r="N363" s="10" t="s">
        <v>18</v>
      </c>
      <c r="O363" s="42">
        <f t="shared" si="34"/>
        <v>15000</v>
      </c>
      <c r="P363" s="10" t="s">
        <v>19</v>
      </c>
    </row>
    <row r="364" spans="1:16" s="22" customFormat="1" ht="14.25" customHeight="1" x14ac:dyDescent="0.25">
      <c r="A364" s="5" t="s">
        <v>801</v>
      </c>
      <c r="B364" s="22" t="s">
        <v>716</v>
      </c>
      <c r="C364" s="22" t="s">
        <v>787</v>
      </c>
      <c r="D364" s="18" t="s">
        <v>802</v>
      </c>
      <c r="E364" s="24" t="str">
        <f t="shared" si="30"/>
        <v>S0441452E002</v>
      </c>
      <c r="F364" s="13">
        <v>44367</v>
      </c>
      <c r="G364" s="13">
        <f t="shared" si="36"/>
        <v>44373</v>
      </c>
      <c r="H364" s="7">
        <f t="shared" ca="1" si="31"/>
        <v>-730</v>
      </c>
      <c r="I364" s="13">
        <v>44371</v>
      </c>
      <c r="J364" s="9">
        <f t="shared" ca="1" si="32"/>
        <v>0</v>
      </c>
      <c r="K364" s="10"/>
      <c r="L364" s="10" t="str">
        <f t="shared" si="33"/>
        <v>Accepted</v>
      </c>
      <c r="M364" s="11">
        <v>0</v>
      </c>
      <c r="N364" s="10" t="s">
        <v>18</v>
      </c>
      <c r="O364" s="42">
        <f t="shared" si="34"/>
        <v>15000</v>
      </c>
      <c r="P364" s="10" t="s">
        <v>19</v>
      </c>
    </row>
    <row r="365" spans="1:16" s="22" customFormat="1" ht="14.25" customHeight="1" x14ac:dyDescent="0.25">
      <c r="A365" s="5" t="s">
        <v>803</v>
      </c>
      <c r="B365" s="22" t="s">
        <v>716</v>
      </c>
      <c r="C365" s="22" t="s">
        <v>787</v>
      </c>
      <c r="D365" s="18" t="s">
        <v>804</v>
      </c>
      <c r="E365" s="24" t="str">
        <f t="shared" si="30"/>
        <v>S0441452E003</v>
      </c>
      <c r="F365" s="13">
        <v>44367</v>
      </c>
      <c r="G365" s="13">
        <f t="shared" si="36"/>
        <v>44373</v>
      </c>
      <c r="H365" s="7">
        <f t="shared" ca="1" si="31"/>
        <v>-730</v>
      </c>
      <c r="I365" s="13">
        <v>44371</v>
      </c>
      <c r="J365" s="9">
        <f t="shared" ca="1" si="32"/>
        <v>0</v>
      </c>
      <c r="K365" s="10"/>
      <c r="L365" s="10" t="str">
        <f t="shared" si="33"/>
        <v>Accepted</v>
      </c>
      <c r="M365" s="11">
        <v>0</v>
      </c>
      <c r="N365" s="10" t="s">
        <v>18</v>
      </c>
      <c r="O365" s="42">
        <f t="shared" si="34"/>
        <v>15000</v>
      </c>
      <c r="P365" s="10" t="s">
        <v>19</v>
      </c>
    </row>
    <row r="366" spans="1:16" s="22" customFormat="1" ht="14.25" customHeight="1" x14ac:dyDescent="0.25">
      <c r="A366" s="5" t="s">
        <v>807</v>
      </c>
      <c r="B366" s="22" t="s">
        <v>716</v>
      </c>
      <c r="C366" s="22" t="s">
        <v>2505</v>
      </c>
      <c r="D366" s="18" t="s">
        <v>808</v>
      </c>
      <c r="E366" s="24" t="str">
        <f t="shared" si="30"/>
        <v>S0441552E002</v>
      </c>
      <c r="F366" s="13">
        <v>44367</v>
      </c>
      <c r="G366" s="13">
        <f t="shared" si="36"/>
        <v>44373</v>
      </c>
      <c r="H366" s="7">
        <f t="shared" ca="1" si="31"/>
        <v>-730</v>
      </c>
      <c r="I366" s="13">
        <v>44371</v>
      </c>
      <c r="J366" s="9">
        <f t="shared" ca="1" si="32"/>
        <v>0</v>
      </c>
      <c r="K366" s="10"/>
      <c r="L366" s="10" t="str">
        <f t="shared" si="33"/>
        <v>Accepted</v>
      </c>
      <c r="M366" s="11">
        <v>1</v>
      </c>
      <c r="N366" s="10" t="s">
        <v>18</v>
      </c>
      <c r="O366" s="42">
        <f t="shared" si="34"/>
        <v>15000</v>
      </c>
      <c r="P366" s="10" t="s">
        <v>19</v>
      </c>
    </row>
    <row r="367" spans="1:16" s="22" customFormat="1" ht="14.25" customHeight="1" x14ac:dyDescent="0.25">
      <c r="A367" s="5" t="s">
        <v>809</v>
      </c>
      <c r="B367" s="22" t="s">
        <v>716</v>
      </c>
      <c r="C367" s="22" t="s">
        <v>2505</v>
      </c>
      <c r="D367" s="18" t="s">
        <v>810</v>
      </c>
      <c r="E367" s="24" t="str">
        <f t="shared" si="30"/>
        <v>S0490091E002</v>
      </c>
      <c r="F367" s="13">
        <v>44367</v>
      </c>
      <c r="G367" s="13">
        <f t="shared" si="36"/>
        <v>44373</v>
      </c>
      <c r="H367" s="7">
        <f t="shared" ca="1" si="31"/>
        <v>-730</v>
      </c>
      <c r="I367" s="13">
        <v>44371</v>
      </c>
      <c r="J367" s="9">
        <f t="shared" ca="1" si="32"/>
        <v>0</v>
      </c>
      <c r="K367" s="10"/>
      <c r="L367" s="10" t="str">
        <f t="shared" si="33"/>
        <v>Accepted</v>
      </c>
      <c r="M367" s="11">
        <v>0</v>
      </c>
      <c r="N367" s="10" t="s">
        <v>18</v>
      </c>
      <c r="O367" s="42">
        <f t="shared" si="34"/>
        <v>15000</v>
      </c>
      <c r="P367" s="10" t="s">
        <v>19</v>
      </c>
    </row>
    <row r="368" spans="1:16" s="22" customFormat="1" ht="14.25" customHeight="1" x14ac:dyDescent="0.25">
      <c r="A368" s="5" t="s">
        <v>811</v>
      </c>
      <c r="B368" s="22" t="s">
        <v>716</v>
      </c>
      <c r="C368" s="22" t="s">
        <v>2505</v>
      </c>
      <c r="D368" s="18" t="s">
        <v>812</v>
      </c>
      <c r="E368" s="24" t="str">
        <f t="shared" si="30"/>
        <v>S0490101E001</v>
      </c>
      <c r="F368" s="13">
        <v>44367</v>
      </c>
      <c r="G368" s="13">
        <f t="shared" si="36"/>
        <v>44373</v>
      </c>
      <c r="H368" s="7">
        <f t="shared" ca="1" si="31"/>
        <v>-730</v>
      </c>
      <c r="I368" s="13">
        <v>44371</v>
      </c>
      <c r="J368" s="9">
        <f t="shared" ca="1" si="32"/>
        <v>0</v>
      </c>
      <c r="K368" s="10"/>
      <c r="L368" s="10" t="str">
        <f t="shared" si="33"/>
        <v>Accepted</v>
      </c>
      <c r="M368" s="11">
        <v>0</v>
      </c>
      <c r="N368" s="10" t="s">
        <v>18</v>
      </c>
      <c r="O368" s="42">
        <f t="shared" si="34"/>
        <v>15000</v>
      </c>
      <c r="P368" s="10" t="s">
        <v>19</v>
      </c>
    </row>
    <row r="369" spans="1:16" s="22" customFormat="1" ht="14.25" customHeight="1" x14ac:dyDescent="0.25">
      <c r="A369" s="5" t="s">
        <v>813</v>
      </c>
      <c r="B369" s="22" t="s">
        <v>716</v>
      </c>
      <c r="C369" s="22" t="s">
        <v>2505</v>
      </c>
      <c r="D369" s="18" t="s">
        <v>814</v>
      </c>
      <c r="E369" s="24" t="str">
        <f t="shared" si="30"/>
        <v>S0490101E002</v>
      </c>
      <c r="F369" s="13">
        <v>44367</v>
      </c>
      <c r="G369" s="13">
        <f t="shared" si="36"/>
        <v>44373</v>
      </c>
      <c r="H369" s="7">
        <f t="shared" ca="1" si="31"/>
        <v>-730</v>
      </c>
      <c r="I369" s="13">
        <v>44371</v>
      </c>
      <c r="J369" s="9">
        <f t="shared" ca="1" si="32"/>
        <v>0</v>
      </c>
      <c r="K369" s="10"/>
      <c r="L369" s="10" t="str">
        <f t="shared" si="33"/>
        <v>Accepted</v>
      </c>
      <c r="M369" s="11">
        <v>0</v>
      </c>
      <c r="N369" s="10" t="s">
        <v>18</v>
      </c>
      <c r="O369" s="42">
        <f t="shared" si="34"/>
        <v>15000</v>
      </c>
      <c r="P369" s="10" t="s">
        <v>19</v>
      </c>
    </row>
    <row r="370" spans="1:16" s="22" customFormat="1" ht="14.25" customHeight="1" x14ac:dyDescent="0.25">
      <c r="A370" s="5" t="s">
        <v>815</v>
      </c>
      <c r="B370" s="22" t="s">
        <v>716</v>
      </c>
      <c r="C370" s="22" t="s">
        <v>2505</v>
      </c>
      <c r="D370" s="18" t="s">
        <v>816</v>
      </c>
      <c r="E370" s="24" t="str">
        <f t="shared" si="30"/>
        <v>S0490101E003</v>
      </c>
      <c r="F370" s="13">
        <v>44367</v>
      </c>
      <c r="G370" s="13">
        <f t="shared" si="36"/>
        <v>44373</v>
      </c>
      <c r="H370" s="7">
        <f t="shared" ca="1" si="31"/>
        <v>-730</v>
      </c>
      <c r="I370" s="13">
        <v>44371</v>
      </c>
      <c r="J370" s="9">
        <f t="shared" ca="1" si="32"/>
        <v>0</v>
      </c>
      <c r="K370" s="10"/>
      <c r="L370" s="10" t="str">
        <f t="shared" si="33"/>
        <v>Accepted</v>
      </c>
      <c r="M370" s="11">
        <v>0</v>
      </c>
      <c r="N370" s="10" t="s">
        <v>18</v>
      </c>
      <c r="O370" s="42">
        <f t="shared" si="34"/>
        <v>15000</v>
      </c>
      <c r="P370" s="10" t="s">
        <v>19</v>
      </c>
    </row>
    <row r="371" spans="1:16" s="22" customFormat="1" ht="14.25" customHeight="1" x14ac:dyDescent="0.25">
      <c r="A371" s="5" t="s">
        <v>722</v>
      </c>
      <c r="B371" s="22" t="s">
        <v>716</v>
      </c>
      <c r="C371" s="22" t="s">
        <v>2470</v>
      </c>
      <c r="D371" s="18" t="s">
        <v>723</v>
      </c>
      <c r="E371" s="24" t="str">
        <f t="shared" si="30"/>
        <v>S0220212E003</v>
      </c>
      <c r="F371" s="13">
        <v>44354</v>
      </c>
      <c r="G371" s="13">
        <f t="shared" si="36"/>
        <v>44360</v>
      </c>
      <c r="H371" s="7">
        <f t="shared" ca="1" si="31"/>
        <v>-743</v>
      </c>
      <c r="I371" s="13">
        <v>44373</v>
      </c>
      <c r="J371" s="9">
        <f t="shared" ca="1" si="32"/>
        <v>0</v>
      </c>
      <c r="K371" s="10"/>
      <c r="L371" s="10" t="str">
        <f t="shared" si="33"/>
        <v>Accepted</v>
      </c>
      <c r="M371" s="11">
        <v>1</v>
      </c>
      <c r="N371" s="10" t="s">
        <v>18</v>
      </c>
      <c r="O371" s="42">
        <f t="shared" si="34"/>
        <v>15000</v>
      </c>
      <c r="P371" s="10" t="s">
        <v>19</v>
      </c>
    </row>
    <row r="372" spans="1:16" s="22" customFormat="1" ht="14.25" customHeight="1" x14ac:dyDescent="0.25">
      <c r="A372" s="5" t="s">
        <v>745</v>
      </c>
      <c r="B372" s="22" t="s">
        <v>716</v>
      </c>
      <c r="C372" s="22" t="s">
        <v>735</v>
      </c>
      <c r="D372" s="18" t="s">
        <v>746</v>
      </c>
      <c r="E372" s="24" t="str">
        <f t="shared" si="30"/>
        <v>S0371822E003</v>
      </c>
      <c r="F372" s="13">
        <v>44357</v>
      </c>
      <c r="G372" s="13">
        <f t="shared" si="36"/>
        <v>44363</v>
      </c>
      <c r="H372" s="7">
        <f t="shared" ca="1" si="31"/>
        <v>-740</v>
      </c>
      <c r="I372" s="13">
        <v>44373</v>
      </c>
      <c r="J372" s="9">
        <f t="shared" ca="1" si="32"/>
        <v>0</v>
      </c>
      <c r="K372" s="10"/>
      <c r="L372" s="10" t="str">
        <f t="shared" si="33"/>
        <v>Accepted</v>
      </c>
      <c r="M372" s="11">
        <v>1</v>
      </c>
      <c r="N372" s="10" t="s">
        <v>18</v>
      </c>
      <c r="O372" s="42">
        <f t="shared" si="34"/>
        <v>15000</v>
      </c>
      <c r="P372" s="10" t="s">
        <v>19</v>
      </c>
    </row>
    <row r="373" spans="1:16" s="22" customFormat="1" ht="14.25" customHeight="1" x14ac:dyDescent="0.25">
      <c r="A373" s="5" t="s">
        <v>747</v>
      </c>
      <c r="B373" s="22" t="s">
        <v>716</v>
      </c>
      <c r="C373" s="22" t="s">
        <v>735</v>
      </c>
      <c r="D373" s="18" t="s">
        <v>748</v>
      </c>
      <c r="E373" s="24" t="str">
        <f t="shared" si="30"/>
        <v>S0371823E003</v>
      </c>
      <c r="F373" s="13">
        <v>44357</v>
      </c>
      <c r="G373" s="13">
        <f t="shared" si="36"/>
        <v>44363</v>
      </c>
      <c r="H373" s="7">
        <f t="shared" ca="1" si="31"/>
        <v>-740</v>
      </c>
      <c r="I373" s="13">
        <v>44373</v>
      </c>
      <c r="J373" s="9">
        <f t="shared" ca="1" si="32"/>
        <v>0</v>
      </c>
      <c r="K373" s="10"/>
      <c r="L373" s="10" t="str">
        <f t="shared" si="33"/>
        <v>Accepted</v>
      </c>
      <c r="M373" s="11">
        <v>1</v>
      </c>
      <c r="N373" s="10" t="s">
        <v>18</v>
      </c>
      <c r="O373" s="42">
        <f t="shared" si="34"/>
        <v>15000</v>
      </c>
      <c r="P373" s="10" t="s">
        <v>19</v>
      </c>
    </row>
    <row r="374" spans="1:16" s="22" customFormat="1" ht="14.25" customHeight="1" x14ac:dyDescent="0.25">
      <c r="A374" s="5" t="s">
        <v>817</v>
      </c>
      <c r="B374" s="22" t="s">
        <v>716</v>
      </c>
      <c r="C374" s="22" t="s">
        <v>1450</v>
      </c>
      <c r="D374" s="18" t="s">
        <v>818</v>
      </c>
      <c r="E374" s="24" t="str">
        <f t="shared" si="30"/>
        <v>S0500531E004</v>
      </c>
      <c r="F374" s="13">
        <v>44372</v>
      </c>
      <c r="G374" s="13">
        <f t="shared" si="36"/>
        <v>44378</v>
      </c>
      <c r="H374" s="7">
        <f t="shared" ca="1" si="31"/>
        <v>-725</v>
      </c>
      <c r="I374" s="13">
        <v>44373</v>
      </c>
      <c r="J374" s="9">
        <f t="shared" ca="1" si="32"/>
        <v>0</v>
      </c>
      <c r="K374" s="10"/>
      <c r="L374" s="10" t="str">
        <f t="shared" si="33"/>
        <v>Accepted</v>
      </c>
      <c r="M374" s="11">
        <v>0</v>
      </c>
      <c r="N374" s="10" t="s">
        <v>18</v>
      </c>
      <c r="O374" s="42">
        <f t="shared" si="34"/>
        <v>15000</v>
      </c>
      <c r="P374" s="10" t="s">
        <v>19</v>
      </c>
    </row>
    <row r="375" spans="1:16" s="22" customFormat="1" ht="14.25" customHeight="1" x14ac:dyDescent="0.25">
      <c r="A375" s="5" t="s">
        <v>819</v>
      </c>
      <c r="B375" s="22" t="s">
        <v>716</v>
      </c>
      <c r="C375" s="22" t="s">
        <v>1450</v>
      </c>
      <c r="D375" s="18" t="s">
        <v>820</v>
      </c>
      <c r="E375" s="24" t="str">
        <f t="shared" si="30"/>
        <v>S0500531E005</v>
      </c>
      <c r="F375" s="13">
        <v>44372</v>
      </c>
      <c r="G375" s="13">
        <f t="shared" si="36"/>
        <v>44378</v>
      </c>
      <c r="H375" s="7">
        <f t="shared" ca="1" si="31"/>
        <v>-725</v>
      </c>
      <c r="I375" s="13">
        <v>44373</v>
      </c>
      <c r="J375" s="9">
        <f t="shared" ca="1" si="32"/>
        <v>0</v>
      </c>
      <c r="K375" s="10"/>
      <c r="L375" s="10" t="str">
        <f t="shared" si="33"/>
        <v>Accepted</v>
      </c>
      <c r="M375" s="11">
        <v>0</v>
      </c>
      <c r="N375" s="10" t="s">
        <v>18</v>
      </c>
      <c r="O375" s="42">
        <f t="shared" si="34"/>
        <v>15000</v>
      </c>
      <c r="P375" s="10" t="s">
        <v>19</v>
      </c>
    </row>
    <row r="376" spans="1:16" s="22" customFormat="1" ht="14.25" customHeight="1" x14ac:dyDescent="0.25">
      <c r="A376" s="5" t="s">
        <v>821</v>
      </c>
      <c r="B376" s="22" t="s">
        <v>716</v>
      </c>
      <c r="C376" s="22" t="s">
        <v>1450</v>
      </c>
      <c r="D376" s="18" t="s">
        <v>822</v>
      </c>
      <c r="E376" s="24" t="str">
        <f t="shared" si="30"/>
        <v>S0500531E006</v>
      </c>
      <c r="F376" s="13">
        <v>44372</v>
      </c>
      <c r="G376" s="13">
        <f t="shared" si="36"/>
        <v>44378</v>
      </c>
      <c r="H376" s="7">
        <f t="shared" ca="1" si="31"/>
        <v>-725</v>
      </c>
      <c r="I376" s="13">
        <v>44373</v>
      </c>
      <c r="J376" s="9">
        <f t="shared" ca="1" si="32"/>
        <v>0</v>
      </c>
      <c r="K376" s="10"/>
      <c r="L376" s="10" t="str">
        <f t="shared" si="33"/>
        <v>Accepted</v>
      </c>
      <c r="M376" s="11">
        <v>0</v>
      </c>
      <c r="N376" s="10" t="s">
        <v>18</v>
      </c>
      <c r="O376" s="42">
        <f t="shared" si="34"/>
        <v>15000</v>
      </c>
      <c r="P376" s="10" t="s">
        <v>19</v>
      </c>
    </row>
    <row r="377" spans="1:16" s="22" customFormat="1" ht="14.25" customHeight="1" x14ac:dyDescent="0.25">
      <c r="A377" s="5" t="s">
        <v>823</v>
      </c>
      <c r="B377" s="22" t="s">
        <v>716</v>
      </c>
      <c r="C377" s="22" t="s">
        <v>1450</v>
      </c>
      <c r="D377" s="18" t="s">
        <v>824</v>
      </c>
      <c r="E377" s="24" t="str">
        <f t="shared" si="30"/>
        <v>S0500531E007</v>
      </c>
      <c r="F377" s="13">
        <v>44372</v>
      </c>
      <c r="G377" s="13">
        <f t="shared" si="36"/>
        <v>44378</v>
      </c>
      <c r="H377" s="7">
        <f t="shared" ca="1" si="31"/>
        <v>-725</v>
      </c>
      <c r="I377" s="13">
        <v>44373</v>
      </c>
      <c r="J377" s="9">
        <f t="shared" ca="1" si="32"/>
        <v>0</v>
      </c>
      <c r="K377" s="10"/>
      <c r="L377" s="10" t="str">
        <f t="shared" si="33"/>
        <v>Accepted</v>
      </c>
      <c r="M377" s="11">
        <v>0</v>
      </c>
      <c r="N377" s="10" t="s">
        <v>18</v>
      </c>
      <c r="O377" s="42">
        <f t="shared" si="34"/>
        <v>15000</v>
      </c>
      <c r="P377" s="10" t="s">
        <v>19</v>
      </c>
    </row>
    <row r="378" spans="1:16" s="22" customFormat="1" ht="14.25" customHeight="1" x14ac:dyDescent="0.25">
      <c r="A378" s="5" t="s">
        <v>825</v>
      </c>
      <c r="B378" s="22" t="s">
        <v>716</v>
      </c>
      <c r="C378" s="22" t="s">
        <v>1450</v>
      </c>
      <c r="D378" s="18" t="s">
        <v>826</v>
      </c>
      <c r="E378" s="24" t="str">
        <f t="shared" si="30"/>
        <v>S0500531E008</v>
      </c>
      <c r="F378" s="13">
        <v>44372</v>
      </c>
      <c r="G378" s="13">
        <f t="shared" si="36"/>
        <v>44378</v>
      </c>
      <c r="H378" s="7">
        <f t="shared" ca="1" si="31"/>
        <v>-725</v>
      </c>
      <c r="I378" s="13">
        <v>44373</v>
      </c>
      <c r="J378" s="9">
        <f t="shared" ca="1" si="32"/>
        <v>0</v>
      </c>
      <c r="K378" s="10"/>
      <c r="L378" s="10" t="str">
        <f t="shared" si="33"/>
        <v>Accepted</v>
      </c>
      <c r="M378" s="11">
        <v>0</v>
      </c>
      <c r="N378" s="10" t="s">
        <v>18</v>
      </c>
      <c r="O378" s="42">
        <f t="shared" si="34"/>
        <v>15000</v>
      </c>
      <c r="P378" s="10" t="s">
        <v>19</v>
      </c>
    </row>
    <row r="379" spans="1:16" s="22" customFormat="1" ht="14.25" customHeight="1" x14ac:dyDescent="0.25">
      <c r="A379" s="5" t="s">
        <v>827</v>
      </c>
      <c r="B379" s="22" t="s">
        <v>716</v>
      </c>
      <c r="C379" s="22" t="s">
        <v>1450</v>
      </c>
      <c r="D379" s="18" t="s">
        <v>828</v>
      </c>
      <c r="E379" s="24" t="str">
        <f t="shared" si="30"/>
        <v>S0500541E001</v>
      </c>
      <c r="F379" s="13">
        <v>44372</v>
      </c>
      <c r="G379" s="13">
        <f t="shared" si="36"/>
        <v>44378</v>
      </c>
      <c r="H379" s="7">
        <f t="shared" ca="1" si="31"/>
        <v>-725</v>
      </c>
      <c r="I379" s="13">
        <v>44373</v>
      </c>
      <c r="J379" s="9">
        <f t="shared" ca="1" si="32"/>
        <v>0</v>
      </c>
      <c r="K379" s="10"/>
      <c r="L379" s="10" t="str">
        <f t="shared" si="33"/>
        <v>Accepted</v>
      </c>
      <c r="M379" s="11">
        <v>0</v>
      </c>
      <c r="N379" s="10" t="s">
        <v>18</v>
      </c>
      <c r="O379" s="42">
        <f t="shared" si="34"/>
        <v>15000</v>
      </c>
      <c r="P379" s="10" t="s">
        <v>19</v>
      </c>
    </row>
    <row r="380" spans="1:16" s="22" customFormat="1" ht="14.25" customHeight="1" x14ac:dyDescent="0.25">
      <c r="A380" s="5" t="s">
        <v>829</v>
      </c>
      <c r="B380" s="22" t="s">
        <v>716</v>
      </c>
      <c r="C380" s="22" t="s">
        <v>1450</v>
      </c>
      <c r="D380" s="18" t="s">
        <v>830</v>
      </c>
      <c r="E380" s="24" t="str">
        <f t="shared" si="30"/>
        <v>S0500541E002</v>
      </c>
      <c r="F380" s="13">
        <v>44372</v>
      </c>
      <c r="G380" s="13">
        <f t="shared" si="36"/>
        <v>44378</v>
      </c>
      <c r="H380" s="7">
        <f t="shared" ca="1" si="31"/>
        <v>-725</v>
      </c>
      <c r="I380" s="13">
        <v>44373</v>
      </c>
      <c r="J380" s="9">
        <f t="shared" ca="1" si="32"/>
        <v>0</v>
      </c>
      <c r="K380" s="10"/>
      <c r="L380" s="10" t="str">
        <f t="shared" si="33"/>
        <v>Accepted</v>
      </c>
      <c r="M380" s="11">
        <v>0</v>
      </c>
      <c r="N380" s="10" t="s">
        <v>18</v>
      </c>
      <c r="O380" s="42">
        <f t="shared" si="34"/>
        <v>15000</v>
      </c>
      <c r="P380" s="10" t="s">
        <v>19</v>
      </c>
    </row>
    <row r="381" spans="1:16" s="22" customFormat="1" ht="14.25" customHeight="1" x14ac:dyDescent="0.25">
      <c r="A381" s="5" t="s">
        <v>831</v>
      </c>
      <c r="B381" s="22" t="s">
        <v>716</v>
      </c>
      <c r="C381" s="22" t="s">
        <v>1450</v>
      </c>
      <c r="D381" s="18" t="s">
        <v>832</v>
      </c>
      <c r="E381" s="24" t="str">
        <f t="shared" si="30"/>
        <v>S0500541E003</v>
      </c>
      <c r="F381" s="13">
        <v>44372</v>
      </c>
      <c r="G381" s="13">
        <f t="shared" si="36"/>
        <v>44378</v>
      </c>
      <c r="H381" s="7">
        <f t="shared" ca="1" si="31"/>
        <v>-725</v>
      </c>
      <c r="I381" s="13">
        <v>44373</v>
      </c>
      <c r="J381" s="9">
        <f t="shared" ca="1" si="32"/>
        <v>0</v>
      </c>
      <c r="K381" s="10"/>
      <c r="L381" s="10" t="str">
        <f t="shared" si="33"/>
        <v>Accepted</v>
      </c>
      <c r="M381" s="11">
        <v>0</v>
      </c>
      <c r="N381" s="10" t="s">
        <v>18</v>
      </c>
      <c r="O381" s="42">
        <f t="shared" si="34"/>
        <v>15000</v>
      </c>
      <c r="P381" s="10" t="s">
        <v>19</v>
      </c>
    </row>
    <row r="382" spans="1:16" s="22" customFormat="1" ht="14.25" customHeight="1" x14ac:dyDescent="0.25">
      <c r="A382" s="5" t="s">
        <v>833</v>
      </c>
      <c r="B382" s="22" t="s">
        <v>716</v>
      </c>
      <c r="C382" s="22" t="s">
        <v>1450</v>
      </c>
      <c r="D382" s="18" t="s">
        <v>834</v>
      </c>
      <c r="E382" s="24" t="str">
        <f t="shared" si="30"/>
        <v>S0500541E004</v>
      </c>
      <c r="F382" s="13">
        <v>44372</v>
      </c>
      <c r="G382" s="13">
        <f t="shared" si="36"/>
        <v>44378</v>
      </c>
      <c r="H382" s="7">
        <f t="shared" ca="1" si="31"/>
        <v>-725</v>
      </c>
      <c r="I382" s="13">
        <v>44373</v>
      </c>
      <c r="J382" s="9">
        <f t="shared" ca="1" si="32"/>
        <v>0</v>
      </c>
      <c r="K382" s="10"/>
      <c r="L382" s="10" t="str">
        <f t="shared" si="33"/>
        <v>Accepted</v>
      </c>
      <c r="M382" s="11">
        <v>0</v>
      </c>
      <c r="N382" s="10" t="s">
        <v>18</v>
      </c>
      <c r="O382" s="42">
        <f t="shared" si="34"/>
        <v>15000</v>
      </c>
      <c r="P382" s="10" t="s">
        <v>19</v>
      </c>
    </row>
    <row r="383" spans="1:16" s="22" customFormat="1" ht="14.25" customHeight="1" x14ac:dyDescent="0.25">
      <c r="A383" s="5" t="s">
        <v>835</v>
      </c>
      <c r="B383" s="22" t="s">
        <v>716</v>
      </c>
      <c r="C383" s="22" t="s">
        <v>1450</v>
      </c>
      <c r="D383" s="18" t="s">
        <v>836</v>
      </c>
      <c r="E383" s="24" t="str">
        <f t="shared" si="30"/>
        <v>S0500541E005</v>
      </c>
      <c r="F383" s="13">
        <v>44372</v>
      </c>
      <c r="G383" s="13">
        <f t="shared" si="36"/>
        <v>44378</v>
      </c>
      <c r="H383" s="7">
        <f t="shared" ca="1" si="31"/>
        <v>-725</v>
      </c>
      <c r="I383" s="13">
        <v>44374</v>
      </c>
      <c r="J383" s="9">
        <f t="shared" ca="1" si="32"/>
        <v>0</v>
      </c>
      <c r="K383" s="10"/>
      <c r="L383" s="10" t="str">
        <f t="shared" si="33"/>
        <v>Accepted</v>
      </c>
      <c r="M383" s="11">
        <v>0</v>
      </c>
      <c r="N383" s="10" t="s">
        <v>18</v>
      </c>
      <c r="O383" s="42">
        <f t="shared" si="34"/>
        <v>15000</v>
      </c>
      <c r="P383" s="10" t="s">
        <v>19</v>
      </c>
    </row>
    <row r="384" spans="1:16" s="22" customFormat="1" ht="14.25" customHeight="1" x14ac:dyDescent="0.25">
      <c r="A384" s="5" t="s">
        <v>837</v>
      </c>
      <c r="B384" s="22" t="s">
        <v>716</v>
      </c>
      <c r="C384" s="22" t="s">
        <v>1450</v>
      </c>
      <c r="D384" s="18" t="s">
        <v>838</v>
      </c>
      <c r="E384" s="24" t="str">
        <f t="shared" si="30"/>
        <v>S0500551E006</v>
      </c>
      <c r="F384" s="13">
        <v>44372</v>
      </c>
      <c r="G384" s="13">
        <f t="shared" si="36"/>
        <v>44378</v>
      </c>
      <c r="H384" s="7">
        <f t="shared" ca="1" si="31"/>
        <v>-725</v>
      </c>
      <c r="I384" s="13">
        <v>44374</v>
      </c>
      <c r="J384" s="9">
        <f t="shared" ca="1" si="32"/>
        <v>0</v>
      </c>
      <c r="K384" s="10"/>
      <c r="L384" s="10" t="str">
        <f t="shared" si="33"/>
        <v>Accepted</v>
      </c>
      <c r="M384" s="11">
        <v>0</v>
      </c>
      <c r="N384" s="10" t="s">
        <v>18</v>
      </c>
      <c r="O384" s="42">
        <f t="shared" si="34"/>
        <v>15000</v>
      </c>
      <c r="P384" s="10" t="s">
        <v>19</v>
      </c>
    </row>
    <row r="385" spans="1:16" s="22" customFormat="1" ht="14.25" customHeight="1" x14ac:dyDescent="0.25">
      <c r="A385" s="5" t="s">
        <v>839</v>
      </c>
      <c r="B385" s="22" t="s">
        <v>716</v>
      </c>
      <c r="C385" s="22" t="s">
        <v>1450</v>
      </c>
      <c r="D385" s="18" t="s">
        <v>840</v>
      </c>
      <c r="E385" s="24" t="str">
        <f t="shared" si="30"/>
        <v>S0500551E007</v>
      </c>
      <c r="F385" s="13">
        <v>44372</v>
      </c>
      <c r="G385" s="13">
        <f t="shared" si="36"/>
        <v>44378</v>
      </c>
      <c r="H385" s="7">
        <f t="shared" ca="1" si="31"/>
        <v>-725</v>
      </c>
      <c r="I385" s="13">
        <v>44374</v>
      </c>
      <c r="J385" s="9">
        <f t="shared" ca="1" si="32"/>
        <v>0</v>
      </c>
      <c r="K385" s="10"/>
      <c r="L385" s="10" t="str">
        <f t="shared" si="33"/>
        <v>Accepted</v>
      </c>
      <c r="M385" s="11">
        <v>0</v>
      </c>
      <c r="N385" s="10" t="s">
        <v>18</v>
      </c>
      <c r="O385" s="42">
        <f t="shared" si="34"/>
        <v>15000</v>
      </c>
      <c r="P385" s="10" t="s">
        <v>19</v>
      </c>
    </row>
    <row r="386" spans="1:16" s="22" customFormat="1" ht="14.25" customHeight="1" x14ac:dyDescent="0.25">
      <c r="A386" s="5" t="s">
        <v>841</v>
      </c>
      <c r="B386" s="22" t="s">
        <v>716</v>
      </c>
      <c r="C386" s="22" t="s">
        <v>1450</v>
      </c>
      <c r="D386" s="18" t="s">
        <v>842</v>
      </c>
      <c r="E386" s="24" t="str">
        <f t="shared" ref="E386:E449" si="37">HYPERLINK(D386,A386)</f>
        <v>S0500551E008</v>
      </c>
      <c r="F386" s="13">
        <v>44372</v>
      </c>
      <c r="G386" s="13">
        <f t="shared" si="36"/>
        <v>44378</v>
      </c>
      <c r="H386" s="7">
        <f t="shared" ref="H386:H449" ca="1" si="38">G386-TODAY()</f>
        <v>-725</v>
      </c>
      <c r="I386" s="13">
        <v>44374</v>
      </c>
      <c r="J386" s="9">
        <f t="shared" ref="J386:J449" ca="1" si="39">IF(L386="Accepted",0,TODAY()-F386)</f>
        <v>0</v>
      </c>
      <c r="K386" s="10"/>
      <c r="L386" s="10" t="str">
        <f t="shared" ref="L386:L449" si="40">IF(AND(NOT(ISBLANK(I386)), ISBLANK(K386)),"Accepted", IF(AND(ISBLANK(I386),ISBLANK(K386)),"Not Submitted", "Rejected"))</f>
        <v>Accepted</v>
      </c>
      <c r="M386" s="11">
        <v>0</v>
      </c>
      <c r="N386" s="10" t="s">
        <v>18</v>
      </c>
      <c r="O386" s="42">
        <f t="shared" ref="O386:O449" si="41">IF(AND(L386="Accepted",B386="SMA",N386="no"),20000,
IF(AND(L386="Accepted",OR(B386="SMP",B386="SD"),N386="no"),15000,
IF(AND(L386="Accepted",B386="SMA",N386="yes"),25000,
IF(AND(L386="Accepted",OR(B386="SMP",B386="SD"),N386="yes"),18000,
0))))</f>
        <v>15000</v>
      </c>
      <c r="P386" s="10" t="s">
        <v>19</v>
      </c>
    </row>
    <row r="387" spans="1:16" s="22" customFormat="1" ht="14.25" customHeight="1" x14ac:dyDescent="0.25">
      <c r="A387" s="5" t="s">
        <v>843</v>
      </c>
      <c r="B387" s="22" t="s">
        <v>716</v>
      </c>
      <c r="C387" s="22" t="s">
        <v>1450</v>
      </c>
      <c r="D387" s="18" t="s">
        <v>844</v>
      </c>
      <c r="E387" s="24" t="str">
        <f t="shared" si="37"/>
        <v>S0500551E009</v>
      </c>
      <c r="F387" s="13">
        <v>44372</v>
      </c>
      <c r="G387" s="13">
        <f t="shared" si="36"/>
        <v>44378</v>
      </c>
      <c r="H387" s="7">
        <f t="shared" ca="1" si="38"/>
        <v>-725</v>
      </c>
      <c r="I387" s="13">
        <v>44374</v>
      </c>
      <c r="J387" s="9">
        <f t="shared" ca="1" si="39"/>
        <v>0</v>
      </c>
      <c r="K387" s="10"/>
      <c r="L387" s="10" t="str">
        <f t="shared" si="40"/>
        <v>Accepted</v>
      </c>
      <c r="M387" s="11">
        <v>0</v>
      </c>
      <c r="N387" s="10" t="s">
        <v>18</v>
      </c>
      <c r="O387" s="42">
        <f t="shared" si="41"/>
        <v>15000</v>
      </c>
      <c r="P387" s="10" t="s">
        <v>19</v>
      </c>
    </row>
    <row r="388" spans="1:16" s="22" customFormat="1" ht="14.25" customHeight="1" x14ac:dyDescent="0.25">
      <c r="A388" s="5" t="s">
        <v>845</v>
      </c>
      <c r="B388" s="22" t="s">
        <v>716</v>
      </c>
      <c r="C388" s="22" t="s">
        <v>1450</v>
      </c>
      <c r="D388" s="18" t="s">
        <v>846</v>
      </c>
      <c r="E388" s="24" t="str">
        <f t="shared" si="37"/>
        <v>S0500552E001</v>
      </c>
      <c r="F388" s="13">
        <v>44372</v>
      </c>
      <c r="G388" s="13">
        <f t="shared" si="36"/>
        <v>44378</v>
      </c>
      <c r="H388" s="7">
        <f t="shared" ca="1" si="38"/>
        <v>-725</v>
      </c>
      <c r="I388" s="13">
        <v>44374</v>
      </c>
      <c r="J388" s="9">
        <f t="shared" ca="1" si="39"/>
        <v>0</v>
      </c>
      <c r="K388" s="10"/>
      <c r="L388" s="10" t="str">
        <f t="shared" si="40"/>
        <v>Accepted</v>
      </c>
      <c r="M388" s="11">
        <v>0</v>
      </c>
      <c r="N388" s="10" t="s">
        <v>18</v>
      </c>
      <c r="O388" s="42">
        <f t="shared" si="41"/>
        <v>15000</v>
      </c>
      <c r="P388" s="10" t="s">
        <v>19</v>
      </c>
    </row>
    <row r="389" spans="1:16" s="22" customFormat="1" ht="14.25" customHeight="1" x14ac:dyDescent="0.25">
      <c r="A389" s="5" t="s">
        <v>847</v>
      </c>
      <c r="B389" s="22" t="s">
        <v>716</v>
      </c>
      <c r="C389" s="22" t="s">
        <v>1450</v>
      </c>
      <c r="D389" s="18" t="s">
        <v>848</v>
      </c>
      <c r="E389" s="24" t="str">
        <f t="shared" si="37"/>
        <v>S0500552E002</v>
      </c>
      <c r="F389" s="13">
        <v>44372</v>
      </c>
      <c r="G389" s="13">
        <f t="shared" si="36"/>
        <v>44378</v>
      </c>
      <c r="H389" s="7">
        <f t="shared" ca="1" si="38"/>
        <v>-725</v>
      </c>
      <c r="I389" s="13">
        <v>44374</v>
      </c>
      <c r="J389" s="9">
        <f t="shared" ca="1" si="39"/>
        <v>0</v>
      </c>
      <c r="K389" s="10"/>
      <c r="L389" s="10" t="str">
        <f t="shared" si="40"/>
        <v>Accepted</v>
      </c>
      <c r="M389" s="11">
        <v>0</v>
      </c>
      <c r="N389" s="10" t="s">
        <v>18</v>
      </c>
      <c r="O389" s="42">
        <f t="shared" si="41"/>
        <v>15000</v>
      </c>
      <c r="P389" s="10" t="s">
        <v>19</v>
      </c>
    </row>
    <row r="390" spans="1:16" s="22" customFormat="1" ht="14.25" customHeight="1" x14ac:dyDescent="0.25">
      <c r="A390" s="5" t="s">
        <v>849</v>
      </c>
      <c r="B390" s="22" t="s">
        <v>716</v>
      </c>
      <c r="C390" s="22" t="s">
        <v>1450</v>
      </c>
      <c r="D390" s="18" t="s">
        <v>850</v>
      </c>
      <c r="E390" s="24" t="str">
        <f t="shared" si="37"/>
        <v>S0500552E003</v>
      </c>
      <c r="F390" s="13">
        <v>44372</v>
      </c>
      <c r="G390" s="13">
        <f t="shared" si="36"/>
        <v>44378</v>
      </c>
      <c r="H390" s="7">
        <f t="shared" ca="1" si="38"/>
        <v>-725</v>
      </c>
      <c r="I390" s="13">
        <v>44374</v>
      </c>
      <c r="J390" s="9">
        <f t="shared" ca="1" si="39"/>
        <v>0</v>
      </c>
      <c r="K390" s="10"/>
      <c r="L390" s="10" t="str">
        <f t="shared" si="40"/>
        <v>Accepted</v>
      </c>
      <c r="M390" s="11">
        <v>0</v>
      </c>
      <c r="N390" s="10" t="s">
        <v>18</v>
      </c>
      <c r="O390" s="42">
        <f t="shared" si="41"/>
        <v>15000</v>
      </c>
      <c r="P390" s="10" t="s">
        <v>19</v>
      </c>
    </row>
    <row r="391" spans="1:16" s="22" customFormat="1" ht="14.25" customHeight="1" x14ac:dyDescent="0.25">
      <c r="A391" s="5" t="s">
        <v>851</v>
      </c>
      <c r="B391" s="22" t="s">
        <v>716</v>
      </c>
      <c r="C391" s="22" t="s">
        <v>1450</v>
      </c>
      <c r="D391" s="18" t="s">
        <v>852</v>
      </c>
      <c r="E391" s="24" t="str">
        <f t="shared" si="37"/>
        <v>S0500552E004</v>
      </c>
      <c r="F391" s="13">
        <v>44372</v>
      </c>
      <c r="G391" s="13">
        <f t="shared" si="36"/>
        <v>44378</v>
      </c>
      <c r="H391" s="7">
        <f t="shared" ca="1" si="38"/>
        <v>-725</v>
      </c>
      <c r="I391" s="13">
        <v>44374</v>
      </c>
      <c r="J391" s="9">
        <f t="shared" ca="1" si="39"/>
        <v>0</v>
      </c>
      <c r="K391" s="10"/>
      <c r="L391" s="10" t="str">
        <f t="shared" si="40"/>
        <v>Accepted</v>
      </c>
      <c r="M391" s="11">
        <v>0</v>
      </c>
      <c r="N391" s="10" t="s">
        <v>18</v>
      </c>
      <c r="O391" s="42">
        <f t="shared" si="41"/>
        <v>15000</v>
      </c>
      <c r="P391" s="10" t="s">
        <v>19</v>
      </c>
    </row>
    <row r="392" spans="1:16" s="22" customFormat="1" ht="14.25" customHeight="1" x14ac:dyDescent="0.25">
      <c r="A392" s="5" t="s">
        <v>853</v>
      </c>
      <c r="B392" s="22" t="s">
        <v>716</v>
      </c>
      <c r="C392" s="22" t="s">
        <v>1450</v>
      </c>
      <c r="D392" s="18" t="s">
        <v>854</v>
      </c>
      <c r="E392" s="24" t="str">
        <f t="shared" si="37"/>
        <v>S0500552E005</v>
      </c>
      <c r="F392" s="13">
        <v>44372</v>
      </c>
      <c r="G392" s="13">
        <f t="shared" si="36"/>
        <v>44378</v>
      </c>
      <c r="H392" s="7">
        <f t="shared" ca="1" si="38"/>
        <v>-725</v>
      </c>
      <c r="I392" s="13">
        <v>44374</v>
      </c>
      <c r="J392" s="9">
        <f t="shared" ca="1" si="39"/>
        <v>0</v>
      </c>
      <c r="K392" s="10"/>
      <c r="L392" s="10" t="str">
        <f t="shared" si="40"/>
        <v>Accepted</v>
      </c>
      <c r="M392" s="11">
        <v>0</v>
      </c>
      <c r="N392" s="10" t="s">
        <v>18</v>
      </c>
      <c r="O392" s="42">
        <f t="shared" si="41"/>
        <v>15000</v>
      </c>
      <c r="P392" s="10" t="s">
        <v>19</v>
      </c>
    </row>
    <row r="393" spans="1:16" s="22" customFormat="1" ht="14.25" customHeight="1" x14ac:dyDescent="0.25">
      <c r="A393" s="5" t="s">
        <v>855</v>
      </c>
      <c r="B393" s="22" t="s">
        <v>716</v>
      </c>
      <c r="C393" s="22" t="s">
        <v>1450</v>
      </c>
      <c r="D393" s="18" t="s">
        <v>856</v>
      </c>
      <c r="E393" s="24" t="str">
        <f t="shared" si="37"/>
        <v>S0500553E001</v>
      </c>
      <c r="F393" s="13">
        <v>44372</v>
      </c>
      <c r="G393" s="13">
        <f t="shared" si="36"/>
        <v>44378</v>
      </c>
      <c r="H393" s="7">
        <f t="shared" ca="1" si="38"/>
        <v>-725</v>
      </c>
      <c r="I393" s="13">
        <v>44374</v>
      </c>
      <c r="J393" s="9">
        <f t="shared" ca="1" si="39"/>
        <v>0</v>
      </c>
      <c r="K393" s="10"/>
      <c r="L393" s="10" t="str">
        <f t="shared" si="40"/>
        <v>Accepted</v>
      </c>
      <c r="M393" s="11">
        <v>0</v>
      </c>
      <c r="N393" s="10" t="s">
        <v>18</v>
      </c>
      <c r="O393" s="42">
        <f t="shared" si="41"/>
        <v>15000</v>
      </c>
      <c r="P393" s="10" t="s">
        <v>19</v>
      </c>
    </row>
    <row r="394" spans="1:16" s="22" customFormat="1" ht="14.25" customHeight="1" x14ac:dyDescent="0.25">
      <c r="A394" s="5" t="s">
        <v>857</v>
      </c>
      <c r="B394" s="22" t="s">
        <v>716</v>
      </c>
      <c r="C394" s="22" t="s">
        <v>1450</v>
      </c>
      <c r="D394" s="18" t="s">
        <v>858</v>
      </c>
      <c r="E394" s="24" t="str">
        <f t="shared" si="37"/>
        <v>S0500553E002</v>
      </c>
      <c r="F394" s="13">
        <v>44372</v>
      </c>
      <c r="G394" s="13">
        <f t="shared" si="36"/>
        <v>44378</v>
      </c>
      <c r="H394" s="7">
        <f t="shared" ca="1" si="38"/>
        <v>-725</v>
      </c>
      <c r="I394" s="13">
        <v>44374</v>
      </c>
      <c r="J394" s="9">
        <f t="shared" ca="1" si="39"/>
        <v>0</v>
      </c>
      <c r="K394" s="10"/>
      <c r="L394" s="10" t="str">
        <f t="shared" si="40"/>
        <v>Accepted</v>
      </c>
      <c r="M394" s="11">
        <v>0</v>
      </c>
      <c r="N394" s="10" t="s">
        <v>18</v>
      </c>
      <c r="O394" s="42">
        <f t="shared" si="41"/>
        <v>15000</v>
      </c>
      <c r="P394" s="10" t="s">
        <v>19</v>
      </c>
    </row>
    <row r="395" spans="1:16" s="22" customFormat="1" ht="14.25" customHeight="1" x14ac:dyDescent="0.25">
      <c r="A395" s="5" t="s">
        <v>859</v>
      </c>
      <c r="B395" s="22" t="s">
        <v>716</v>
      </c>
      <c r="C395" s="22" t="s">
        <v>1450</v>
      </c>
      <c r="D395" s="18" t="s">
        <v>860</v>
      </c>
      <c r="E395" s="24" t="str">
        <f t="shared" si="37"/>
        <v>S0500553E003</v>
      </c>
      <c r="F395" s="13">
        <v>44372</v>
      </c>
      <c r="G395" s="13">
        <f t="shared" si="36"/>
        <v>44378</v>
      </c>
      <c r="H395" s="7">
        <f t="shared" ca="1" si="38"/>
        <v>-725</v>
      </c>
      <c r="I395" s="13">
        <v>44374</v>
      </c>
      <c r="J395" s="9">
        <f t="shared" ca="1" si="39"/>
        <v>0</v>
      </c>
      <c r="K395" s="10"/>
      <c r="L395" s="10" t="str">
        <f t="shared" si="40"/>
        <v>Accepted</v>
      </c>
      <c r="M395" s="11">
        <v>0</v>
      </c>
      <c r="N395" s="10" t="s">
        <v>18</v>
      </c>
      <c r="O395" s="42">
        <f t="shared" si="41"/>
        <v>15000</v>
      </c>
      <c r="P395" s="10" t="s">
        <v>19</v>
      </c>
    </row>
    <row r="396" spans="1:16" s="22" customFormat="1" ht="14.25" customHeight="1" x14ac:dyDescent="0.25">
      <c r="A396" s="5" t="s">
        <v>861</v>
      </c>
      <c r="B396" s="22" t="s">
        <v>716</v>
      </c>
      <c r="C396" s="22" t="s">
        <v>1450</v>
      </c>
      <c r="D396" s="18" t="s">
        <v>862</v>
      </c>
      <c r="E396" s="24" t="str">
        <f t="shared" si="37"/>
        <v>S0500553E004</v>
      </c>
      <c r="F396" s="13">
        <v>44372</v>
      </c>
      <c r="G396" s="13">
        <f t="shared" si="36"/>
        <v>44378</v>
      </c>
      <c r="H396" s="7">
        <f t="shared" ca="1" si="38"/>
        <v>-725</v>
      </c>
      <c r="I396" s="13">
        <v>44374</v>
      </c>
      <c r="J396" s="9">
        <f t="shared" ca="1" si="39"/>
        <v>0</v>
      </c>
      <c r="K396" s="10"/>
      <c r="L396" s="10" t="str">
        <f t="shared" si="40"/>
        <v>Accepted</v>
      </c>
      <c r="M396" s="11">
        <v>0</v>
      </c>
      <c r="N396" s="10" t="s">
        <v>18</v>
      </c>
      <c r="O396" s="42">
        <f t="shared" si="41"/>
        <v>15000</v>
      </c>
      <c r="P396" s="10" t="s">
        <v>19</v>
      </c>
    </row>
    <row r="397" spans="1:16" s="22" customFormat="1" ht="14.25" customHeight="1" x14ac:dyDescent="0.25">
      <c r="A397" s="5" t="s">
        <v>863</v>
      </c>
      <c r="B397" s="22" t="s">
        <v>716</v>
      </c>
      <c r="C397" s="22" t="s">
        <v>1450</v>
      </c>
      <c r="D397" s="18" t="s">
        <v>864</v>
      </c>
      <c r="E397" s="24" t="str">
        <f t="shared" si="37"/>
        <v>S0500553E005</v>
      </c>
      <c r="F397" s="13">
        <v>44372</v>
      </c>
      <c r="G397" s="13">
        <f t="shared" ref="G397:G460" si="42">F397+6</f>
        <v>44378</v>
      </c>
      <c r="H397" s="7">
        <f t="shared" ca="1" si="38"/>
        <v>-725</v>
      </c>
      <c r="I397" s="13">
        <v>44374</v>
      </c>
      <c r="J397" s="9">
        <f t="shared" ca="1" si="39"/>
        <v>0</v>
      </c>
      <c r="K397" s="10"/>
      <c r="L397" s="10" t="str">
        <f t="shared" si="40"/>
        <v>Accepted</v>
      </c>
      <c r="M397" s="11">
        <v>0</v>
      </c>
      <c r="N397" s="10" t="s">
        <v>18</v>
      </c>
      <c r="O397" s="42">
        <f t="shared" si="41"/>
        <v>15000</v>
      </c>
      <c r="P397" s="10" t="s">
        <v>19</v>
      </c>
    </row>
    <row r="398" spans="1:16" s="22" customFormat="1" ht="14.25" customHeight="1" x14ac:dyDescent="0.25">
      <c r="A398" s="5" t="s">
        <v>865</v>
      </c>
      <c r="B398" s="22" t="s">
        <v>716</v>
      </c>
      <c r="C398" s="22" t="s">
        <v>1450</v>
      </c>
      <c r="D398" s="18" t="s">
        <v>866</v>
      </c>
      <c r="E398" s="24" t="str">
        <f t="shared" si="37"/>
        <v>S0500563E006</v>
      </c>
      <c r="F398" s="13">
        <v>44372</v>
      </c>
      <c r="G398" s="13">
        <f t="shared" si="42"/>
        <v>44378</v>
      </c>
      <c r="H398" s="7">
        <f t="shared" ca="1" si="38"/>
        <v>-725</v>
      </c>
      <c r="I398" s="13">
        <v>44374</v>
      </c>
      <c r="J398" s="9">
        <f t="shared" ca="1" si="39"/>
        <v>0</v>
      </c>
      <c r="K398" s="10"/>
      <c r="L398" s="10" t="str">
        <f t="shared" si="40"/>
        <v>Accepted</v>
      </c>
      <c r="M398" s="11">
        <v>0</v>
      </c>
      <c r="N398" s="10" t="s">
        <v>18</v>
      </c>
      <c r="O398" s="42">
        <f t="shared" si="41"/>
        <v>15000</v>
      </c>
      <c r="P398" s="10" t="s">
        <v>19</v>
      </c>
    </row>
    <row r="399" spans="1:16" s="22" customFormat="1" ht="14.25" customHeight="1" x14ac:dyDescent="0.25">
      <c r="A399" s="5" t="s">
        <v>867</v>
      </c>
      <c r="B399" s="22" t="s">
        <v>716</v>
      </c>
      <c r="C399" s="22" t="s">
        <v>1450</v>
      </c>
      <c r="D399" s="18" t="s">
        <v>868</v>
      </c>
      <c r="E399" s="24" t="str">
        <f t="shared" si="37"/>
        <v>S0500563E007</v>
      </c>
      <c r="F399" s="13">
        <v>44372</v>
      </c>
      <c r="G399" s="13">
        <f t="shared" si="42"/>
        <v>44378</v>
      </c>
      <c r="H399" s="7">
        <f t="shared" ca="1" si="38"/>
        <v>-725</v>
      </c>
      <c r="I399" s="13">
        <v>44374</v>
      </c>
      <c r="J399" s="9">
        <f t="shared" ca="1" si="39"/>
        <v>0</v>
      </c>
      <c r="K399" s="10"/>
      <c r="L399" s="10" t="str">
        <f t="shared" si="40"/>
        <v>Accepted</v>
      </c>
      <c r="M399" s="11">
        <v>0</v>
      </c>
      <c r="N399" s="10" t="s">
        <v>18</v>
      </c>
      <c r="O399" s="42">
        <f t="shared" si="41"/>
        <v>15000</v>
      </c>
      <c r="P399" s="10" t="s">
        <v>19</v>
      </c>
    </row>
    <row r="400" spans="1:16" s="22" customFormat="1" ht="14.25" customHeight="1" x14ac:dyDescent="0.25">
      <c r="A400" s="5" t="s">
        <v>869</v>
      </c>
      <c r="B400" s="22" t="s">
        <v>716</v>
      </c>
      <c r="C400" s="22" t="s">
        <v>1450</v>
      </c>
      <c r="D400" s="18" t="s">
        <v>870</v>
      </c>
      <c r="E400" s="24" t="str">
        <f t="shared" si="37"/>
        <v>S0500563E008</v>
      </c>
      <c r="F400" s="13">
        <v>44372</v>
      </c>
      <c r="G400" s="13">
        <f t="shared" si="42"/>
        <v>44378</v>
      </c>
      <c r="H400" s="7">
        <f t="shared" ca="1" si="38"/>
        <v>-725</v>
      </c>
      <c r="I400" s="13">
        <v>44374</v>
      </c>
      <c r="J400" s="9">
        <f t="shared" ca="1" si="39"/>
        <v>0</v>
      </c>
      <c r="K400" s="10"/>
      <c r="L400" s="10" t="str">
        <f t="shared" si="40"/>
        <v>Accepted</v>
      </c>
      <c r="M400" s="11">
        <v>0</v>
      </c>
      <c r="N400" s="10" t="s">
        <v>18</v>
      </c>
      <c r="O400" s="42">
        <f t="shared" si="41"/>
        <v>15000</v>
      </c>
      <c r="P400" s="10" t="s">
        <v>19</v>
      </c>
    </row>
    <row r="401" spans="1:16" s="22" customFormat="1" ht="14.25" customHeight="1" x14ac:dyDescent="0.25">
      <c r="A401" s="5" t="s">
        <v>871</v>
      </c>
      <c r="B401" s="22" t="s">
        <v>716</v>
      </c>
      <c r="C401" s="22" t="s">
        <v>1450</v>
      </c>
      <c r="D401" s="18" t="s">
        <v>872</v>
      </c>
      <c r="E401" s="24" t="str">
        <f t="shared" si="37"/>
        <v>S0500563E009</v>
      </c>
      <c r="F401" s="13">
        <v>44372</v>
      </c>
      <c r="G401" s="13">
        <f t="shared" si="42"/>
        <v>44378</v>
      </c>
      <c r="H401" s="7">
        <f t="shared" ca="1" si="38"/>
        <v>-725</v>
      </c>
      <c r="I401" s="13">
        <v>44374</v>
      </c>
      <c r="J401" s="9">
        <f t="shared" ca="1" si="39"/>
        <v>0</v>
      </c>
      <c r="K401" s="10"/>
      <c r="L401" s="10" t="str">
        <f t="shared" si="40"/>
        <v>Accepted</v>
      </c>
      <c r="M401" s="11">
        <v>0</v>
      </c>
      <c r="N401" s="10" t="s">
        <v>18</v>
      </c>
      <c r="O401" s="42">
        <f t="shared" si="41"/>
        <v>15000</v>
      </c>
      <c r="P401" s="10" t="s">
        <v>19</v>
      </c>
    </row>
    <row r="402" spans="1:16" s="22" customFormat="1" ht="14.25" customHeight="1" x14ac:dyDescent="0.25">
      <c r="A402" s="5" t="s">
        <v>873</v>
      </c>
      <c r="B402" s="22" t="s">
        <v>716</v>
      </c>
      <c r="C402" s="22" t="s">
        <v>1450</v>
      </c>
      <c r="D402" s="18" t="s">
        <v>874</v>
      </c>
      <c r="E402" s="24" t="str">
        <f t="shared" si="37"/>
        <v>S0500563E010</v>
      </c>
      <c r="F402" s="13">
        <v>44372</v>
      </c>
      <c r="G402" s="13">
        <f t="shared" si="42"/>
        <v>44378</v>
      </c>
      <c r="H402" s="7">
        <f t="shared" ca="1" si="38"/>
        <v>-725</v>
      </c>
      <c r="I402" s="13">
        <v>44374</v>
      </c>
      <c r="J402" s="9">
        <f t="shared" ca="1" si="39"/>
        <v>0</v>
      </c>
      <c r="K402" s="10"/>
      <c r="L402" s="10" t="str">
        <f t="shared" si="40"/>
        <v>Accepted</v>
      </c>
      <c r="M402" s="11">
        <v>0</v>
      </c>
      <c r="N402" s="10" t="s">
        <v>18</v>
      </c>
      <c r="O402" s="42">
        <f t="shared" si="41"/>
        <v>15000</v>
      </c>
      <c r="P402" s="10" t="s">
        <v>19</v>
      </c>
    </row>
    <row r="403" spans="1:16" s="22" customFormat="1" ht="14.25" customHeight="1" x14ac:dyDescent="0.25">
      <c r="A403" s="5" t="s">
        <v>875</v>
      </c>
      <c r="B403" s="22" t="s">
        <v>716</v>
      </c>
      <c r="C403" s="22" t="s">
        <v>1450</v>
      </c>
      <c r="D403" s="18" t="s">
        <v>876</v>
      </c>
      <c r="E403" s="24" t="str">
        <f t="shared" si="37"/>
        <v>S0500561E001</v>
      </c>
      <c r="F403" s="13">
        <v>44372</v>
      </c>
      <c r="G403" s="13">
        <f t="shared" si="42"/>
        <v>44378</v>
      </c>
      <c r="H403" s="7">
        <f t="shared" ca="1" si="38"/>
        <v>-725</v>
      </c>
      <c r="I403" s="13">
        <v>44374</v>
      </c>
      <c r="J403" s="9">
        <f t="shared" ca="1" si="39"/>
        <v>0</v>
      </c>
      <c r="K403" s="10"/>
      <c r="L403" s="10" t="str">
        <f t="shared" si="40"/>
        <v>Accepted</v>
      </c>
      <c r="M403" s="11">
        <v>0</v>
      </c>
      <c r="N403" s="10" t="s">
        <v>18</v>
      </c>
      <c r="O403" s="42">
        <f t="shared" si="41"/>
        <v>15000</v>
      </c>
      <c r="P403" s="10" t="s">
        <v>19</v>
      </c>
    </row>
    <row r="404" spans="1:16" s="22" customFormat="1" ht="14.25" customHeight="1" x14ac:dyDescent="0.25">
      <c r="A404" s="5" t="s">
        <v>739</v>
      </c>
      <c r="B404" s="22" t="s">
        <v>716</v>
      </c>
      <c r="C404" s="22" t="s">
        <v>735</v>
      </c>
      <c r="D404" s="18" t="s">
        <v>740</v>
      </c>
      <c r="E404" s="24" t="str">
        <f t="shared" si="37"/>
        <v>S0371591a001</v>
      </c>
      <c r="F404" s="13">
        <v>44357</v>
      </c>
      <c r="G404" s="13">
        <f t="shared" si="42"/>
        <v>44363</v>
      </c>
      <c r="H404" s="7">
        <f t="shared" ca="1" si="38"/>
        <v>-740</v>
      </c>
      <c r="I404" s="13">
        <v>44376</v>
      </c>
      <c r="J404" s="9">
        <f t="shared" ca="1" si="39"/>
        <v>0</v>
      </c>
      <c r="K404" s="10"/>
      <c r="L404" s="10" t="str">
        <f t="shared" si="40"/>
        <v>Accepted</v>
      </c>
      <c r="M404" s="11">
        <v>1</v>
      </c>
      <c r="N404" s="10" t="s">
        <v>30</v>
      </c>
      <c r="O404" s="42">
        <f t="shared" si="41"/>
        <v>18000</v>
      </c>
      <c r="P404" s="10" t="s">
        <v>19</v>
      </c>
    </row>
    <row r="405" spans="1:16" s="22" customFormat="1" ht="14.25" customHeight="1" x14ac:dyDescent="0.25">
      <c r="A405" s="5" t="s">
        <v>805</v>
      </c>
      <c r="B405" s="22" t="s">
        <v>716</v>
      </c>
      <c r="C405" s="22" t="s">
        <v>787</v>
      </c>
      <c r="D405" s="18" t="s">
        <v>806</v>
      </c>
      <c r="E405" s="24" t="str">
        <f t="shared" si="37"/>
        <v>S0441551E010</v>
      </c>
      <c r="F405" s="13">
        <v>44367</v>
      </c>
      <c r="G405" s="13">
        <f t="shared" si="42"/>
        <v>44373</v>
      </c>
      <c r="H405" s="7">
        <f t="shared" ca="1" si="38"/>
        <v>-730</v>
      </c>
      <c r="I405" s="13">
        <v>44376</v>
      </c>
      <c r="J405" s="9">
        <f t="shared" ca="1" si="39"/>
        <v>736</v>
      </c>
      <c r="K405" s="10" t="s">
        <v>771</v>
      </c>
      <c r="L405" s="10" t="str">
        <f t="shared" si="40"/>
        <v>Rejected</v>
      </c>
      <c r="M405" s="11">
        <v>1</v>
      </c>
      <c r="N405" s="10" t="s">
        <v>30</v>
      </c>
      <c r="O405" s="42">
        <f t="shared" si="41"/>
        <v>0</v>
      </c>
      <c r="P405" s="10" t="s">
        <v>2485</v>
      </c>
    </row>
    <row r="406" spans="1:16" s="22" customFormat="1" ht="14.25" customHeight="1" x14ac:dyDescent="0.25">
      <c r="A406" s="5" t="s">
        <v>883</v>
      </c>
      <c r="B406" s="22" t="s">
        <v>716</v>
      </c>
      <c r="C406" s="22" t="s">
        <v>787</v>
      </c>
      <c r="D406" s="18" t="s">
        <v>884</v>
      </c>
      <c r="E406" s="24" t="str">
        <f t="shared" si="37"/>
        <v>S0300991E001</v>
      </c>
      <c r="F406" s="13">
        <v>44375</v>
      </c>
      <c r="G406" s="13">
        <f t="shared" si="42"/>
        <v>44381</v>
      </c>
      <c r="H406" s="7">
        <f t="shared" ca="1" si="38"/>
        <v>-722</v>
      </c>
      <c r="I406" s="13">
        <v>44377</v>
      </c>
      <c r="J406" s="9">
        <f t="shared" ca="1" si="39"/>
        <v>0</v>
      </c>
      <c r="K406" s="10"/>
      <c r="L406" s="10" t="str">
        <f t="shared" si="40"/>
        <v>Accepted</v>
      </c>
      <c r="M406" s="11">
        <v>0</v>
      </c>
      <c r="N406" s="10" t="s">
        <v>18</v>
      </c>
      <c r="O406" s="42">
        <f t="shared" si="41"/>
        <v>15000</v>
      </c>
      <c r="P406" s="10" t="s">
        <v>19</v>
      </c>
    </row>
    <row r="407" spans="1:16" s="22" customFormat="1" ht="14.25" customHeight="1" x14ac:dyDescent="0.25">
      <c r="A407" s="5" t="s">
        <v>901</v>
      </c>
      <c r="B407" s="22" t="s">
        <v>716</v>
      </c>
      <c r="C407" s="22" t="s">
        <v>787</v>
      </c>
      <c r="D407" s="18" t="s">
        <v>902</v>
      </c>
      <c r="E407" s="24" t="str">
        <f t="shared" si="37"/>
        <v>S0301003E001</v>
      </c>
      <c r="F407" s="13">
        <v>44375</v>
      </c>
      <c r="G407" s="13">
        <f t="shared" si="42"/>
        <v>44381</v>
      </c>
      <c r="H407" s="7">
        <f t="shared" ca="1" si="38"/>
        <v>-722</v>
      </c>
      <c r="I407" s="13">
        <v>44377</v>
      </c>
      <c r="J407" s="9">
        <f t="shared" ca="1" si="39"/>
        <v>0</v>
      </c>
      <c r="K407" s="10"/>
      <c r="L407" s="10" t="str">
        <f t="shared" si="40"/>
        <v>Accepted</v>
      </c>
      <c r="M407" s="11">
        <v>0</v>
      </c>
      <c r="N407" s="10" t="s">
        <v>18</v>
      </c>
      <c r="O407" s="42">
        <f t="shared" si="41"/>
        <v>15000</v>
      </c>
      <c r="P407" s="10" t="s">
        <v>19</v>
      </c>
    </row>
    <row r="408" spans="1:16" s="22" customFormat="1" ht="14.25" customHeight="1" x14ac:dyDescent="0.25">
      <c r="A408" s="5" t="s">
        <v>907</v>
      </c>
      <c r="B408" s="22" t="s">
        <v>716</v>
      </c>
      <c r="C408" s="22" t="s">
        <v>787</v>
      </c>
      <c r="D408" s="18" t="s">
        <v>908</v>
      </c>
      <c r="E408" s="24" t="str">
        <f t="shared" si="37"/>
        <v>S0301022E001</v>
      </c>
      <c r="F408" s="13">
        <v>44375</v>
      </c>
      <c r="G408" s="13">
        <f t="shared" si="42"/>
        <v>44381</v>
      </c>
      <c r="H408" s="7">
        <f t="shared" ca="1" si="38"/>
        <v>-722</v>
      </c>
      <c r="I408" s="13">
        <v>44377</v>
      </c>
      <c r="J408" s="9">
        <f t="shared" ca="1" si="39"/>
        <v>0</v>
      </c>
      <c r="K408" s="10"/>
      <c r="L408" s="10" t="str">
        <f t="shared" si="40"/>
        <v>Accepted</v>
      </c>
      <c r="M408" s="11">
        <v>0</v>
      </c>
      <c r="N408" s="10" t="s">
        <v>18</v>
      </c>
      <c r="O408" s="42">
        <f t="shared" si="41"/>
        <v>15000</v>
      </c>
      <c r="P408" s="10" t="s">
        <v>19</v>
      </c>
    </row>
    <row r="409" spans="1:16" s="22" customFormat="1" ht="14.25" customHeight="1" x14ac:dyDescent="0.25">
      <c r="A409" s="5" t="s">
        <v>915</v>
      </c>
      <c r="B409" s="22" t="s">
        <v>716</v>
      </c>
      <c r="C409" s="22" t="s">
        <v>787</v>
      </c>
      <c r="D409" s="18" t="s">
        <v>916</v>
      </c>
      <c r="E409" s="24" t="str">
        <f t="shared" si="37"/>
        <v>S0301042E006</v>
      </c>
      <c r="F409" s="13">
        <v>44375</v>
      </c>
      <c r="G409" s="13">
        <f t="shared" si="42"/>
        <v>44381</v>
      </c>
      <c r="H409" s="7">
        <f t="shared" ca="1" si="38"/>
        <v>-722</v>
      </c>
      <c r="I409" s="13">
        <v>44377</v>
      </c>
      <c r="J409" s="9">
        <f t="shared" ca="1" si="39"/>
        <v>0</v>
      </c>
      <c r="K409" s="10"/>
      <c r="L409" s="10" t="str">
        <f t="shared" si="40"/>
        <v>Accepted</v>
      </c>
      <c r="M409" s="11">
        <v>0</v>
      </c>
      <c r="N409" s="10" t="s">
        <v>18</v>
      </c>
      <c r="O409" s="42">
        <f t="shared" si="41"/>
        <v>15000</v>
      </c>
      <c r="P409" s="10" t="s">
        <v>19</v>
      </c>
    </row>
    <row r="410" spans="1:16" s="22" customFormat="1" ht="14.25" customHeight="1" x14ac:dyDescent="0.25">
      <c r="A410" s="5" t="s">
        <v>917</v>
      </c>
      <c r="B410" s="22" t="s">
        <v>716</v>
      </c>
      <c r="C410" s="22" t="s">
        <v>787</v>
      </c>
      <c r="D410" s="18" t="s">
        <v>918</v>
      </c>
      <c r="E410" s="24" t="str">
        <f t="shared" si="37"/>
        <v>S0301051E001</v>
      </c>
      <c r="F410" s="13">
        <v>44375</v>
      </c>
      <c r="G410" s="13">
        <f t="shared" si="42"/>
        <v>44381</v>
      </c>
      <c r="H410" s="7">
        <f t="shared" ca="1" si="38"/>
        <v>-722</v>
      </c>
      <c r="I410" s="13">
        <v>44377</v>
      </c>
      <c r="J410" s="9">
        <f t="shared" ca="1" si="39"/>
        <v>0</v>
      </c>
      <c r="K410" s="10"/>
      <c r="L410" s="10" t="str">
        <f t="shared" si="40"/>
        <v>Accepted</v>
      </c>
      <c r="M410" s="11">
        <v>0</v>
      </c>
      <c r="N410" s="10" t="s">
        <v>18</v>
      </c>
      <c r="O410" s="42">
        <f t="shared" si="41"/>
        <v>15000</v>
      </c>
      <c r="P410" s="10" t="s">
        <v>19</v>
      </c>
    </row>
    <row r="411" spans="1:16" s="22" customFormat="1" ht="14.25" customHeight="1" x14ac:dyDescent="0.25">
      <c r="A411" s="5" t="s">
        <v>919</v>
      </c>
      <c r="B411" s="22" t="s">
        <v>716</v>
      </c>
      <c r="C411" s="22" t="s">
        <v>787</v>
      </c>
      <c r="D411" s="18" t="s">
        <v>920</v>
      </c>
      <c r="E411" s="24" t="str">
        <f t="shared" si="37"/>
        <v>S0301051E002</v>
      </c>
      <c r="F411" s="13">
        <v>44375</v>
      </c>
      <c r="G411" s="13">
        <f t="shared" si="42"/>
        <v>44381</v>
      </c>
      <c r="H411" s="7">
        <f t="shared" ca="1" si="38"/>
        <v>-722</v>
      </c>
      <c r="I411" s="13">
        <v>44377</v>
      </c>
      <c r="J411" s="9">
        <f t="shared" ca="1" si="39"/>
        <v>0</v>
      </c>
      <c r="K411" s="10"/>
      <c r="L411" s="10" t="str">
        <f t="shared" si="40"/>
        <v>Accepted</v>
      </c>
      <c r="M411" s="11">
        <v>0</v>
      </c>
      <c r="N411" s="10" t="s">
        <v>18</v>
      </c>
      <c r="O411" s="42">
        <f t="shared" si="41"/>
        <v>15000</v>
      </c>
      <c r="P411" s="10" t="s">
        <v>19</v>
      </c>
    </row>
    <row r="412" spans="1:16" s="22" customFormat="1" ht="14.25" customHeight="1" x14ac:dyDescent="0.25">
      <c r="A412" s="5" t="s">
        <v>921</v>
      </c>
      <c r="B412" s="22" t="s">
        <v>716</v>
      </c>
      <c r="C412" s="22" t="s">
        <v>787</v>
      </c>
      <c r="D412" s="18" t="s">
        <v>922</v>
      </c>
      <c r="E412" s="24" t="str">
        <f t="shared" si="37"/>
        <v>S0301051E003</v>
      </c>
      <c r="F412" s="13">
        <v>44375</v>
      </c>
      <c r="G412" s="13">
        <f t="shared" si="42"/>
        <v>44381</v>
      </c>
      <c r="H412" s="7">
        <f t="shared" ca="1" si="38"/>
        <v>-722</v>
      </c>
      <c r="I412" s="13">
        <v>44377</v>
      </c>
      <c r="J412" s="9">
        <f t="shared" ca="1" si="39"/>
        <v>0</v>
      </c>
      <c r="K412" s="10"/>
      <c r="L412" s="10" t="str">
        <f t="shared" si="40"/>
        <v>Accepted</v>
      </c>
      <c r="M412" s="11">
        <v>0</v>
      </c>
      <c r="N412" s="10" t="s">
        <v>18</v>
      </c>
      <c r="O412" s="42">
        <f t="shared" si="41"/>
        <v>15000</v>
      </c>
      <c r="P412" s="10" t="s">
        <v>19</v>
      </c>
    </row>
    <row r="413" spans="1:16" s="22" customFormat="1" ht="14.25" customHeight="1" x14ac:dyDescent="0.25">
      <c r="A413" s="5" t="s">
        <v>925</v>
      </c>
      <c r="B413" s="22" t="s">
        <v>716</v>
      </c>
      <c r="C413" s="22" t="s">
        <v>787</v>
      </c>
      <c r="D413" s="18" t="s">
        <v>926</v>
      </c>
      <c r="E413" s="24" t="str">
        <f t="shared" si="37"/>
        <v>S0301051E005</v>
      </c>
      <c r="F413" s="13">
        <v>44375</v>
      </c>
      <c r="G413" s="13">
        <f t="shared" si="42"/>
        <v>44381</v>
      </c>
      <c r="H413" s="7">
        <f t="shared" ca="1" si="38"/>
        <v>-722</v>
      </c>
      <c r="I413" s="13">
        <v>44377</v>
      </c>
      <c r="J413" s="9">
        <f t="shared" ca="1" si="39"/>
        <v>0</v>
      </c>
      <c r="K413" s="10"/>
      <c r="L413" s="10" t="str">
        <f t="shared" si="40"/>
        <v>Accepted</v>
      </c>
      <c r="M413" s="11">
        <v>0</v>
      </c>
      <c r="N413" s="10" t="s">
        <v>18</v>
      </c>
      <c r="O413" s="42">
        <f t="shared" si="41"/>
        <v>15000</v>
      </c>
      <c r="P413" s="10" t="s">
        <v>19</v>
      </c>
    </row>
    <row r="414" spans="1:16" s="22" customFormat="1" ht="14.25" customHeight="1" x14ac:dyDescent="0.25">
      <c r="A414" s="5" t="s">
        <v>765</v>
      </c>
      <c r="B414" s="22" t="s">
        <v>716</v>
      </c>
      <c r="C414" s="22" t="s">
        <v>752</v>
      </c>
      <c r="D414" s="18" t="s">
        <v>766</v>
      </c>
      <c r="E414" s="24" t="str">
        <f t="shared" si="37"/>
        <v>S0041401P001</v>
      </c>
      <c r="F414" s="13">
        <v>44365</v>
      </c>
      <c r="G414" s="13">
        <f t="shared" si="42"/>
        <v>44371</v>
      </c>
      <c r="H414" s="7">
        <f t="shared" ca="1" si="38"/>
        <v>-732</v>
      </c>
      <c r="I414" s="13">
        <v>44378</v>
      </c>
      <c r="J414" s="9">
        <f t="shared" ca="1" si="39"/>
        <v>0</v>
      </c>
      <c r="K414" s="10"/>
      <c r="L414" s="10" t="str">
        <f t="shared" si="40"/>
        <v>Accepted</v>
      </c>
      <c r="M414" s="11">
        <v>0</v>
      </c>
      <c r="N414" s="10" t="s">
        <v>18</v>
      </c>
      <c r="O414" s="42">
        <f t="shared" si="41"/>
        <v>15000</v>
      </c>
      <c r="P414" s="10" t="s">
        <v>19</v>
      </c>
    </row>
    <row r="415" spans="1:16" s="22" customFormat="1" ht="14.25" customHeight="1" x14ac:dyDescent="0.25">
      <c r="A415" s="5" t="s">
        <v>767</v>
      </c>
      <c r="B415" s="22" t="s">
        <v>716</v>
      </c>
      <c r="C415" s="22" t="s">
        <v>752</v>
      </c>
      <c r="D415" s="18" t="s">
        <v>768</v>
      </c>
      <c r="E415" s="24" t="str">
        <f t="shared" si="37"/>
        <v>S0041401P002</v>
      </c>
      <c r="F415" s="13">
        <v>44365</v>
      </c>
      <c r="G415" s="13">
        <f t="shared" si="42"/>
        <v>44371</v>
      </c>
      <c r="H415" s="7">
        <f t="shared" ca="1" si="38"/>
        <v>-732</v>
      </c>
      <c r="I415" s="13">
        <v>44378</v>
      </c>
      <c r="J415" s="9">
        <f t="shared" ca="1" si="39"/>
        <v>0</v>
      </c>
      <c r="K415" s="10"/>
      <c r="L415" s="10" t="str">
        <f t="shared" si="40"/>
        <v>Accepted</v>
      </c>
      <c r="M415" s="11">
        <v>0</v>
      </c>
      <c r="N415" s="10" t="s">
        <v>18</v>
      </c>
      <c r="O415" s="42">
        <f t="shared" si="41"/>
        <v>15000</v>
      </c>
      <c r="P415" s="10" t="s">
        <v>19</v>
      </c>
    </row>
    <row r="416" spans="1:16" s="22" customFormat="1" ht="14.25" customHeight="1" x14ac:dyDescent="0.25">
      <c r="A416" s="5" t="s">
        <v>782</v>
      </c>
      <c r="B416" s="22" t="s">
        <v>716</v>
      </c>
      <c r="C416" s="22" t="s">
        <v>2472</v>
      </c>
      <c r="D416" s="18" t="s">
        <v>783</v>
      </c>
      <c r="E416" s="24" t="str">
        <f t="shared" si="37"/>
        <v>S0061971P019</v>
      </c>
      <c r="F416" s="13">
        <v>44367</v>
      </c>
      <c r="G416" s="13">
        <f t="shared" si="42"/>
        <v>44373</v>
      </c>
      <c r="H416" s="7">
        <f t="shared" ca="1" si="38"/>
        <v>-730</v>
      </c>
      <c r="I416" s="13">
        <v>44378</v>
      </c>
      <c r="J416" s="9">
        <f t="shared" ca="1" si="39"/>
        <v>0</v>
      </c>
      <c r="K416" s="10"/>
      <c r="L416" s="10" t="str">
        <f t="shared" si="40"/>
        <v>Accepted</v>
      </c>
      <c r="M416" s="11">
        <v>0</v>
      </c>
      <c r="N416" s="10" t="s">
        <v>18</v>
      </c>
      <c r="O416" s="42">
        <f t="shared" si="41"/>
        <v>15000</v>
      </c>
      <c r="P416" s="10" t="s">
        <v>19</v>
      </c>
    </row>
    <row r="417" spans="1:16" s="22" customFormat="1" ht="14.25" customHeight="1" x14ac:dyDescent="0.25">
      <c r="A417" s="5" t="s">
        <v>784</v>
      </c>
      <c r="B417" s="22" t="s">
        <v>716</v>
      </c>
      <c r="C417" s="22" t="s">
        <v>2472</v>
      </c>
      <c r="D417" s="18" t="s">
        <v>785</v>
      </c>
      <c r="E417" s="24" t="str">
        <f t="shared" si="37"/>
        <v>S0061971P020</v>
      </c>
      <c r="F417" s="13">
        <v>44367</v>
      </c>
      <c r="G417" s="13">
        <f t="shared" si="42"/>
        <v>44373</v>
      </c>
      <c r="H417" s="7">
        <f t="shared" ca="1" si="38"/>
        <v>-730</v>
      </c>
      <c r="I417" s="13">
        <v>44378</v>
      </c>
      <c r="J417" s="9">
        <f t="shared" ca="1" si="39"/>
        <v>0</v>
      </c>
      <c r="K417" s="10"/>
      <c r="L417" s="10" t="str">
        <f t="shared" si="40"/>
        <v>Accepted</v>
      </c>
      <c r="M417" s="11">
        <v>0</v>
      </c>
      <c r="N417" s="10" t="s">
        <v>18</v>
      </c>
      <c r="O417" s="42">
        <f t="shared" si="41"/>
        <v>15000</v>
      </c>
      <c r="P417" s="10" t="s">
        <v>19</v>
      </c>
    </row>
    <row r="418" spans="1:16" s="22" customFormat="1" ht="14.25" customHeight="1" x14ac:dyDescent="0.25">
      <c r="A418" s="5" t="s">
        <v>877</v>
      </c>
      <c r="B418" s="22" t="s">
        <v>716</v>
      </c>
      <c r="C418" s="22" t="s">
        <v>787</v>
      </c>
      <c r="D418" s="18" t="s">
        <v>878</v>
      </c>
      <c r="E418" s="24" t="str">
        <f t="shared" si="37"/>
        <v>S0300962E001</v>
      </c>
      <c r="F418" s="13">
        <v>44375</v>
      </c>
      <c r="G418" s="13">
        <f t="shared" si="42"/>
        <v>44381</v>
      </c>
      <c r="H418" s="7">
        <f t="shared" ca="1" si="38"/>
        <v>-722</v>
      </c>
      <c r="I418" s="13">
        <v>44378</v>
      </c>
      <c r="J418" s="9">
        <f t="shared" ca="1" si="39"/>
        <v>0</v>
      </c>
      <c r="K418" s="10"/>
      <c r="L418" s="10" t="str">
        <f t="shared" si="40"/>
        <v>Accepted</v>
      </c>
      <c r="M418" s="11">
        <v>0</v>
      </c>
      <c r="N418" s="10" t="s">
        <v>18</v>
      </c>
      <c r="O418" s="42">
        <f t="shared" si="41"/>
        <v>15000</v>
      </c>
      <c r="P418" s="10" t="s">
        <v>19</v>
      </c>
    </row>
    <row r="419" spans="1:16" s="22" customFormat="1" ht="14.25" customHeight="1" x14ac:dyDescent="0.25">
      <c r="A419" s="5" t="s">
        <v>879</v>
      </c>
      <c r="B419" s="22" t="s">
        <v>716</v>
      </c>
      <c r="C419" s="22" t="s">
        <v>787</v>
      </c>
      <c r="D419" s="18" t="s">
        <v>880</v>
      </c>
      <c r="E419" s="24" t="str">
        <f t="shared" si="37"/>
        <v>S0300962E002</v>
      </c>
      <c r="F419" s="13">
        <v>44375</v>
      </c>
      <c r="G419" s="13">
        <f t="shared" si="42"/>
        <v>44381</v>
      </c>
      <c r="H419" s="7">
        <f t="shared" ca="1" si="38"/>
        <v>-722</v>
      </c>
      <c r="I419" s="13">
        <v>44378</v>
      </c>
      <c r="J419" s="9">
        <f t="shared" ca="1" si="39"/>
        <v>0</v>
      </c>
      <c r="K419" s="10"/>
      <c r="L419" s="10" t="str">
        <f t="shared" si="40"/>
        <v>Accepted</v>
      </c>
      <c r="M419" s="11">
        <v>0</v>
      </c>
      <c r="N419" s="10" t="s">
        <v>18</v>
      </c>
      <c r="O419" s="42">
        <f t="shared" si="41"/>
        <v>15000</v>
      </c>
      <c r="P419" s="10" t="s">
        <v>19</v>
      </c>
    </row>
    <row r="420" spans="1:16" s="22" customFormat="1" ht="14.25" customHeight="1" x14ac:dyDescent="0.25">
      <c r="A420" s="5" t="s">
        <v>881</v>
      </c>
      <c r="B420" s="22" t="s">
        <v>716</v>
      </c>
      <c r="C420" s="22" t="s">
        <v>787</v>
      </c>
      <c r="D420" s="18" t="s">
        <v>882</v>
      </c>
      <c r="E420" s="24" t="str">
        <f t="shared" si="37"/>
        <v>S0300962E003</v>
      </c>
      <c r="F420" s="13">
        <v>44375</v>
      </c>
      <c r="G420" s="13">
        <f t="shared" si="42"/>
        <v>44381</v>
      </c>
      <c r="H420" s="7">
        <f t="shared" ca="1" si="38"/>
        <v>-722</v>
      </c>
      <c r="I420" s="13">
        <v>44378</v>
      </c>
      <c r="J420" s="9">
        <f t="shared" ca="1" si="39"/>
        <v>0</v>
      </c>
      <c r="K420" s="10"/>
      <c r="L420" s="10" t="str">
        <f t="shared" si="40"/>
        <v>Accepted</v>
      </c>
      <c r="M420" s="11">
        <v>0</v>
      </c>
      <c r="N420" s="10" t="s">
        <v>18</v>
      </c>
      <c r="O420" s="42">
        <f t="shared" si="41"/>
        <v>15000</v>
      </c>
      <c r="P420" s="10" t="s">
        <v>19</v>
      </c>
    </row>
    <row r="421" spans="1:16" s="22" customFormat="1" ht="14.25" customHeight="1" x14ac:dyDescent="0.25">
      <c r="A421" s="5" t="s">
        <v>885</v>
      </c>
      <c r="B421" s="22" t="s">
        <v>716</v>
      </c>
      <c r="C421" s="22" t="s">
        <v>787</v>
      </c>
      <c r="D421" s="18" t="s">
        <v>886</v>
      </c>
      <c r="E421" s="24" t="str">
        <f t="shared" si="37"/>
        <v>S0301001E001</v>
      </c>
      <c r="F421" s="13">
        <v>44375</v>
      </c>
      <c r="G421" s="13">
        <f t="shared" si="42"/>
        <v>44381</v>
      </c>
      <c r="H421" s="7">
        <f t="shared" ca="1" si="38"/>
        <v>-722</v>
      </c>
      <c r="I421" s="13">
        <v>44379</v>
      </c>
      <c r="J421" s="9">
        <f t="shared" ca="1" si="39"/>
        <v>0</v>
      </c>
      <c r="K421" s="10"/>
      <c r="L421" s="10" t="str">
        <f t="shared" si="40"/>
        <v>Accepted</v>
      </c>
      <c r="M421" s="11">
        <v>0</v>
      </c>
      <c r="N421" s="10" t="s">
        <v>18</v>
      </c>
      <c r="O421" s="42">
        <f t="shared" si="41"/>
        <v>15000</v>
      </c>
      <c r="P421" s="10" t="s">
        <v>19</v>
      </c>
    </row>
    <row r="422" spans="1:16" s="22" customFormat="1" ht="14.25" customHeight="1" x14ac:dyDescent="0.25">
      <c r="A422" s="5" t="s">
        <v>887</v>
      </c>
      <c r="B422" s="22" t="s">
        <v>716</v>
      </c>
      <c r="C422" s="22" t="s">
        <v>787</v>
      </c>
      <c r="D422" s="18" t="s">
        <v>888</v>
      </c>
      <c r="E422" s="24" t="str">
        <f t="shared" si="37"/>
        <v>S0301001E002</v>
      </c>
      <c r="F422" s="13">
        <v>44375</v>
      </c>
      <c r="G422" s="13">
        <f t="shared" si="42"/>
        <v>44381</v>
      </c>
      <c r="H422" s="7">
        <f t="shared" ca="1" si="38"/>
        <v>-722</v>
      </c>
      <c r="I422" s="13">
        <v>44379</v>
      </c>
      <c r="J422" s="9">
        <f t="shared" ca="1" si="39"/>
        <v>0</v>
      </c>
      <c r="K422" s="10"/>
      <c r="L422" s="10" t="str">
        <f t="shared" si="40"/>
        <v>Accepted</v>
      </c>
      <c r="M422" s="11">
        <v>0</v>
      </c>
      <c r="N422" s="10" t="s">
        <v>18</v>
      </c>
      <c r="O422" s="42">
        <f t="shared" si="41"/>
        <v>15000</v>
      </c>
      <c r="P422" s="10" t="s">
        <v>19</v>
      </c>
    </row>
    <row r="423" spans="1:16" s="22" customFormat="1" ht="14.25" customHeight="1" x14ac:dyDescent="0.25">
      <c r="A423" s="5" t="s">
        <v>889</v>
      </c>
      <c r="B423" s="22" t="s">
        <v>716</v>
      </c>
      <c r="C423" s="22" t="s">
        <v>787</v>
      </c>
      <c r="D423" s="18" t="s">
        <v>890</v>
      </c>
      <c r="E423" s="24" t="str">
        <f t="shared" si="37"/>
        <v>S0301001E003</v>
      </c>
      <c r="F423" s="13">
        <v>44375</v>
      </c>
      <c r="G423" s="13">
        <f t="shared" si="42"/>
        <v>44381</v>
      </c>
      <c r="H423" s="7">
        <f t="shared" ca="1" si="38"/>
        <v>-722</v>
      </c>
      <c r="I423" s="13">
        <v>44379</v>
      </c>
      <c r="J423" s="9">
        <f t="shared" ca="1" si="39"/>
        <v>0</v>
      </c>
      <c r="K423" s="10"/>
      <c r="L423" s="10" t="str">
        <f t="shared" si="40"/>
        <v>Accepted</v>
      </c>
      <c r="M423" s="11">
        <v>0</v>
      </c>
      <c r="N423" s="10" t="s">
        <v>18</v>
      </c>
      <c r="O423" s="42">
        <f t="shared" si="41"/>
        <v>15000</v>
      </c>
      <c r="P423" s="10" t="s">
        <v>19</v>
      </c>
    </row>
    <row r="424" spans="1:16" s="22" customFormat="1" ht="14.25" customHeight="1" x14ac:dyDescent="0.25">
      <c r="A424" s="5" t="s">
        <v>891</v>
      </c>
      <c r="B424" s="22" t="s">
        <v>716</v>
      </c>
      <c r="C424" s="22" t="s">
        <v>787</v>
      </c>
      <c r="D424" s="18" t="s">
        <v>892</v>
      </c>
      <c r="E424" s="24" t="str">
        <f t="shared" si="37"/>
        <v>S0301001E004</v>
      </c>
      <c r="F424" s="13">
        <v>44375</v>
      </c>
      <c r="G424" s="13">
        <f t="shared" si="42"/>
        <v>44381</v>
      </c>
      <c r="H424" s="7">
        <f t="shared" ca="1" si="38"/>
        <v>-722</v>
      </c>
      <c r="I424" s="13">
        <v>44379</v>
      </c>
      <c r="J424" s="9">
        <f t="shared" ca="1" si="39"/>
        <v>0</v>
      </c>
      <c r="K424" s="10"/>
      <c r="L424" s="10" t="str">
        <f t="shared" si="40"/>
        <v>Accepted</v>
      </c>
      <c r="M424" s="11">
        <v>0</v>
      </c>
      <c r="N424" s="10" t="s">
        <v>18</v>
      </c>
      <c r="O424" s="42">
        <f t="shared" si="41"/>
        <v>15000</v>
      </c>
      <c r="P424" s="10" t="s">
        <v>19</v>
      </c>
    </row>
    <row r="425" spans="1:16" s="22" customFormat="1" ht="14.25" customHeight="1" x14ac:dyDescent="0.25">
      <c r="A425" s="5" t="s">
        <v>893</v>
      </c>
      <c r="B425" s="22" t="s">
        <v>716</v>
      </c>
      <c r="C425" s="22" t="s">
        <v>787</v>
      </c>
      <c r="D425" s="18" t="s">
        <v>894</v>
      </c>
      <c r="E425" s="24" t="str">
        <f t="shared" si="37"/>
        <v>S0301002E001</v>
      </c>
      <c r="F425" s="13">
        <v>44375</v>
      </c>
      <c r="G425" s="13">
        <f t="shared" si="42"/>
        <v>44381</v>
      </c>
      <c r="H425" s="7">
        <f t="shared" ca="1" si="38"/>
        <v>-722</v>
      </c>
      <c r="I425" s="13">
        <v>44379</v>
      </c>
      <c r="J425" s="9">
        <f t="shared" ca="1" si="39"/>
        <v>0</v>
      </c>
      <c r="K425" s="10"/>
      <c r="L425" s="10" t="str">
        <f t="shared" si="40"/>
        <v>Accepted</v>
      </c>
      <c r="M425" s="11">
        <v>0</v>
      </c>
      <c r="N425" s="10" t="s">
        <v>18</v>
      </c>
      <c r="O425" s="42">
        <f t="shared" si="41"/>
        <v>15000</v>
      </c>
      <c r="P425" s="10" t="s">
        <v>19</v>
      </c>
    </row>
    <row r="426" spans="1:16" s="22" customFormat="1" ht="14.25" customHeight="1" x14ac:dyDescent="0.25">
      <c r="A426" s="5" t="s">
        <v>895</v>
      </c>
      <c r="B426" s="22" t="s">
        <v>716</v>
      </c>
      <c r="C426" s="22" t="s">
        <v>787</v>
      </c>
      <c r="D426" s="18" t="s">
        <v>896</v>
      </c>
      <c r="E426" s="24" t="str">
        <f t="shared" si="37"/>
        <v>S0301002E002</v>
      </c>
      <c r="F426" s="13">
        <v>44375</v>
      </c>
      <c r="G426" s="13">
        <f t="shared" si="42"/>
        <v>44381</v>
      </c>
      <c r="H426" s="7">
        <f t="shared" ca="1" si="38"/>
        <v>-722</v>
      </c>
      <c r="I426" s="13">
        <v>44379</v>
      </c>
      <c r="J426" s="9">
        <f t="shared" ca="1" si="39"/>
        <v>0</v>
      </c>
      <c r="K426" s="10"/>
      <c r="L426" s="10" t="str">
        <f t="shared" si="40"/>
        <v>Accepted</v>
      </c>
      <c r="M426" s="11">
        <v>0</v>
      </c>
      <c r="N426" s="10" t="s">
        <v>18</v>
      </c>
      <c r="O426" s="42">
        <f t="shared" si="41"/>
        <v>15000</v>
      </c>
      <c r="P426" s="10" t="s">
        <v>19</v>
      </c>
    </row>
    <row r="427" spans="1:16" s="22" customFormat="1" ht="14.25" customHeight="1" x14ac:dyDescent="0.25">
      <c r="A427" s="5" t="s">
        <v>897</v>
      </c>
      <c r="B427" s="22" t="s">
        <v>716</v>
      </c>
      <c r="C427" s="22" t="s">
        <v>787</v>
      </c>
      <c r="D427" s="18" t="s">
        <v>898</v>
      </c>
      <c r="E427" s="24" t="str">
        <f t="shared" si="37"/>
        <v>S0301002E003</v>
      </c>
      <c r="F427" s="13">
        <v>44375</v>
      </c>
      <c r="G427" s="13">
        <f t="shared" si="42"/>
        <v>44381</v>
      </c>
      <c r="H427" s="7">
        <f t="shared" ca="1" si="38"/>
        <v>-722</v>
      </c>
      <c r="I427" s="13">
        <v>44380</v>
      </c>
      <c r="J427" s="9">
        <f t="shared" ca="1" si="39"/>
        <v>0</v>
      </c>
      <c r="K427" s="10"/>
      <c r="L427" s="10" t="str">
        <f t="shared" si="40"/>
        <v>Accepted</v>
      </c>
      <c r="M427" s="11">
        <v>0</v>
      </c>
      <c r="N427" s="10" t="s">
        <v>18</v>
      </c>
      <c r="O427" s="42">
        <f t="shared" si="41"/>
        <v>15000</v>
      </c>
      <c r="P427" s="10" t="s">
        <v>19</v>
      </c>
    </row>
    <row r="428" spans="1:16" s="22" customFormat="1" ht="14.25" customHeight="1" x14ac:dyDescent="0.25">
      <c r="A428" s="5" t="s">
        <v>899</v>
      </c>
      <c r="B428" s="22" t="s">
        <v>716</v>
      </c>
      <c r="C428" s="22" t="s">
        <v>787</v>
      </c>
      <c r="D428" s="18" t="s">
        <v>900</v>
      </c>
      <c r="E428" s="24" t="str">
        <f t="shared" si="37"/>
        <v>S0301002E004</v>
      </c>
      <c r="F428" s="13">
        <v>44375</v>
      </c>
      <c r="G428" s="13">
        <f t="shared" si="42"/>
        <v>44381</v>
      </c>
      <c r="H428" s="7">
        <f t="shared" ca="1" si="38"/>
        <v>-722</v>
      </c>
      <c r="I428" s="13">
        <v>44380</v>
      </c>
      <c r="J428" s="9">
        <f t="shared" ca="1" si="39"/>
        <v>0</v>
      </c>
      <c r="K428" s="10"/>
      <c r="L428" s="10" t="str">
        <f t="shared" si="40"/>
        <v>Accepted</v>
      </c>
      <c r="M428" s="11">
        <v>0</v>
      </c>
      <c r="N428" s="10" t="s">
        <v>18</v>
      </c>
      <c r="O428" s="42">
        <f t="shared" si="41"/>
        <v>15000</v>
      </c>
      <c r="P428" s="10" t="s">
        <v>19</v>
      </c>
    </row>
    <row r="429" spans="1:16" s="22" customFormat="1" ht="14.25" customHeight="1" x14ac:dyDescent="0.25">
      <c r="A429" s="5" t="s">
        <v>903</v>
      </c>
      <c r="B429" s="22" t="s">
        <v>716</v>
      </c>
      <c r="C429" s="22" t="s">
        <v>787</v>
      </c>
      <c r="D429" s="18" t="s">
        <v>904</v>
      </c>
      <c r="E429" s="24" t="str">
        <f t="shared" si="37"/>
        <v>S0301021E001</v>
      </c>
      <c r="F429" s="13">
        <v>44375</v>
      </c>
      <c r="G429" s="13">
        <f t="shared" si="42"/>
        <v>44381</v>
      </c>
      <c r="H429" s="7">
        <f t="shared" ca="1" si="38"/>
        <v>-722</v>
      </c>
      <c r="I429" s="13">
        <v>44380</v>
      </c>
      <c r="J429" s="9">
        <f t="shared" ca="1" si="39"/>
        <v>0</v>
      </c>
      <c r="K429" s="10"/>
      <c r="L429" s="10" t="str">
        <f t="shared" si="40"/>
        <v>Accepted</v>
      </c>
      <c r="M429" s="11">
        <v>0</v>
      </c>
      <c r="N429" s="10" t="s">
        <v>18</v>
      </c>
      <c r="O429" s="42">
        <f t="shared" si="41"/>
        <v>15000</v>
      </c>
      <c r="P429" s="10" t="s">
        <v>19</v>
      </c>
    </row>
    <row r="430" spans="1:16" s="22" customFormat="1" ht="14.25" customHeight="1" x14ac:dyDescent="0.25">
      <c r="A430" s="5" t="s">
        <v>905</v>
      </c>
      <c r="B430" s="22" t="s">
        <v>716</v>
      </c>
      <c r="C430" s="22" t="s">
        <v>787</v>
      </c>
      <c r="D430" s="18" t="s">
        <v>906</v>
      </c>
      <c r="E430" s="24" t="str">
        <f t="shared" si="37"/>
        <v>S0301021E004</v>
      </c>
      <c r="F430" s="13">
        <v>44375</v>
      </c>
      <c r="G430" s="13">
        <f t="shared" si="42"/>
        <v>44381</v>
      </c>
      <c r="H430" s="7">
        <f t="shared" ca="1" si="38"/>
        <v>-722</v>
      </c>
      <c r="I430" s="13">
        <v>44380</v>
      </c>
      <c r="J430" s="9">
        <f t="shared" ca="1" si="39"/>
        <v>0</v>
      </c>
      <c r="K430" s="10"/>
      <c r="L430" s="10" t="str">
        <f t="shared" si="40"/>
        <v>Accepted</v>
      </c>
      <c r="M430" s="11">
        <v>0</v>
      </c>
      <c r="N430" s="10" t="s">
        <v>18</v>
      </c>
      <c r="O430" s="42">
        <f t="shared" si="41"/>
        <v>15000</v>
      </c>
      <c r="P430" s="10" t="s">
        <v>19</v>
      </c>
    </row>
    <row r="431" spans="1:16" s="22" customFormat="1" ht="14.25" customHeight="1" x14ac:dyDescent="0.25">
      <c r="A431" s="5" t="s">
        <v>909</v>
      </c>
      <c r="B431" s="22" t="s">
        <v>716</v>
      </c>
      <c r="C431" s="22" t="s">
        <v>787</v>
      </c>
      <c r="D431" s="18" t="s">
        <v>910</v>
      </c>
      <c r="E431" s="24" t="str">
        <f t="shared" si="37"/>
        <v>S0301032E002</v>
      </c>
      <c r="F431" s="13">
        <v>44375</v>
      </c>
      <c r="G431" s="13">
        <f t="shared" si="42"/>
        <v>44381</v>
      </c>
      <c r="H431" s="7">
        <f t="shared" ca="1" si="38"/>
        <v>-722</v>
      </c>
      <c r="I431" s="13">
        <v>44380</v>
      </c>
      <c r="J431" s="9">
        <f t="shared" ca="1" si="39"/>
        <v>0</v>
      </c>
      <c r="K431" s="10"/>
      <c r="L431" s="10" t="str">
        <f t="shared" si="40"/>
        <v>Accepted</v>
      </c>
      <c r="M431" s="11">
        <v>0</v>
      </c>
      <c r="N431" s="10" t="s">
        <v>18</v>
      </c>
      <c r="O431" s="42">
        <f t="shared" si="41"/>
        <v>15000</v>
      </c>
      <c r="P431" s="10" t="s">
        <v>19</v>
      </c>
    </row>
    <row r="432" spans="1:16" s="22" customFormat="1" ht="14.25" customHeight="1" x14ac:dyDescent="0.25">
      <c r="A432" s="5" t="s">
        <v>913</v>
      </c>
      <c r="B432" s="22" t="s">
        <v>716</v>
      </c>
      <c r="C432" s="22" t="s">
        <v>787</v>
      </c>
      <c r="D432" s="18" t="s">
        <v>914</v>
      </c>
      <c r="E432" s="24" t="str">
        <f t="shared" si="37"/>
        <v>S0301032E004</v>
      </c>
      <c r="F432" s="13">
        <v>44375</v>
      </c>
      <c r="G432" s="13">
        <f t="shared" si="42"/>
        <v>44381</v>
      </c>
      <c r="H432" s="7">
        <f t="shared" ca="1" si="38"/>
        <v>-722</v>
      </c>
      <c r="I432" s="13">
        <v>44380</v>
      </c>
      <c r="J432" s="9">
        <f t="shared" ca="1" si="39"/>
        <v>0</v>
      </c>
      <c r="K432" s="10"/>
      <c r="L432" s="10" t="str">
        <f t="shared" si="40"/>
        <v>Accepted</v>
      </c>
      <c r="M432" s="11">
        <v>0</v>
      </c>
      <c r="N432" s="10" t="s">
        <v>18</v>
      </c>
      <c r="O432" s="42">
        <f t="shared" si="41"/>
        <v>15000</v>
      </c>
      <c r="P432" s="10" t="s">
        <v>19</v>
      </c>
    </row>
    <row r="433" spans="1:16" s="22" customFormat="1" ht="14.25" customHeight="1" x14ac:dyDescent="0.25">
      <c r="A433" s="5" t="s">
        <v>923</v>
      </c>
      <c r="B433" s="22" t="s">
        <v>716</v>
      </c>
      <c r="C433" s="22" t="s">
        <v>787</v>
      </c>
      <c r="D433" s="18" t="s">
        <v>924</v>
      </c>
      <c r="E433" s="24" t="str">
        <f t="shared" si="37"/>
        <v>S0301051E004</v>
      </c>
      <c r="F433" s="13">
        <v>44375</v>
      </c>
      <c r="G433" s="13">
        <f t="shared" si="42"/>
        <v>44381</v>
      </c>
      <c r="H433" s="7">
        <f t="shared" ca="1" si="38"/>
        <v>-722</v>
      </c>
      <c r="I433" s="13">
        <v>44380</v>
      </c>
      <c r="J433" s="9">
        <f t="shared" ca="1" si="39"/>
        <v>0</v>
      </c>
      <c r="K433" s="10"/>
      <c r="L433" s="10" t="str">
        <f t="shared" si="40"/>
        <v>Accepted</v>
      </c>
      <c r="M433" s="11">
        <v>0</v>
      </c>
      <c r="N433" s="10" t="s">
        <v>18</v>
      </c>
      <c r="O433" s="42">
        <f t="shared" si="41"/>
        <v>15000</v>
      </c>
      <c r="P433" s="10" t="s">
        <v>19</v>
      </c>
    </row>
    <row r="434" spans="1:16" s="22" customFormat="1" ht="14.25" customHeight="1" x14ac:dyDescent="0.25">
      <c r="A434" s="5" t="s">
        <v>927</v>
      </c>
      <c r="B434" s="22" t="s">
        <v>716</v>
      </c>
      <c r="C434" s="22" t="s">
        <v>787</v>
      </c>
      <c r="D434" s="18" t="s">
        <v>928</v>
      </c>
      <c r="E434" s="24" t="str">
        <f t="shared" si="37"/>
        <v>S0301051E007</v>
      </c>
      <c r="F434" s="13">
        <v>44375</v>
      </c>
      <c r="G434" s="13">
        <f t="shared" si="42"/>
        <v>44381</v>
      </c>
      <c r="H434" s="7">
        <f t="shared" ca="1" si="38"/>
        <v>-722</v>
      </c>
      <c r="I434" s="13">
        <v>44380</v>
      </c>
      <c r="J434" s="9">
        <f t="shared" ca="1" si="39"/>
        <v>0</v>
      </c>
      <c r="K434" s="10"/>
      <c r="L434" s="10" t="str">
        <f t="shared" si="40"/>
        <v>Accepted</v>
      </c>
      <c r="M434" s="11">
        <v>0</v>
      </c>
      <c r="N434" s="10" t="s">
        <v>18</v>
      </c>
      <c r="O434" s="42">
        <f t="shared" si="41"/>
        <v>15000</v>
      </c>
      <c r="P434" s="10" t="s">
        <v>19</v>
      </c>
    </row>
    <row r="435" spans="1:16" s="22" customFormat="1" ht="14.25" customHeight="1" x14ac:dyDescent="0.25">
      <c r="A435" s="5" t="s">
        <v>929</v>
      </c>
      <c r="B435" s="22" t="s">
        <v>716</v>
      </c>
      <c r="C435" s="22" t="s">
        <v>787</v>
      </c>
      <c r="D435" s="18" t="s">
        <v>930</v>
      </c>
      <c r="E435" s="24" t="str">
        <f t="shared" si="37"/>
        <v>S0301051E008</v>
      </c>
      <c r="F435" s="13">
        <v>44375</v>
      </c>
      <c r="G435" s="13">
        <f t="shared" si="42"/>
        <v>44381</v>
      </c>
      <c r="H435" s="7">
        <f t="shared" ca="1" si="38"/>
        <v>-722</v>
      </c>
      <c r="I435" s="13">
        <v>44380</v>
      </c>
      <c r="J435" s="9">
        <f t="shared" ca="1" si="39"/>
        <v>0</v>
      </c>
      <c r="K435" s="10"/>
      <c r="L435" s="10" t="str">
        <f t="shared" si="40"/>
        <v>Accepted</v>
      </c>
      <c r="M435" s="11">
        <v>0</v>
      </c>
      <c r="N435" s="10" t="s">
        <v>18</v>
      </c>
      <c r="O435" s="42">
        <f t="shared" si="41"/>
        <v>15000</v>
      </c>
      <c r="P435" s="10" t="s">
        <v>19</v>
      </c>
    </row>
    <row r="436" spans="1:16" s="22" customFormat="1" ht="14.25" customHeight="1" x14ac:dyDescent="0.25">
      <c r="A436" s="5" t="s">
        <v>931</v>
      </c>
      <c r="B436" s="22" t="s">
        <v>716</v>
      </c>
      <c r="C436" s="22" t="s">
        <v>932</v>
      </c>
      <c r="D436" s="18" t="s">
        <v>933</v>
      </c>
      <c r="E436" s="24" t="str">
        <f t="shared" si="37"/>
        <v>S0380912E011</v>
      </c>
      <c r="F436" s="13">
        <v>44375</v>
      </c>
      <c r="G436" s="13">
        <f t="shared" si="42"/>
        <v>44381</v>
      </c>
      <c r="H436" s="7">
        <f t="shared" ca="1" si="38"/>
        <v>-722</v>
      </c>
      <c r="I436" s="13">
        <v>44380</v>
      </c>
      <c r="J436" s="9">
        <f t="shared" ca="1" si="39"/>
        <v>0</v>
      </c>
      <c r="K436" s="10"/>
      <c r="L436" s="10" t="str">
        <f t="shared" si="40"/>
        <v>Accepted</v>
      </c>
      <c r="M436" s="11">
        <v>0</v>
      </c>
      <c r="N436" s="10" t="s">
        <v>18</v>
      </c>
      <c r="O436" s="42">
        <f t="shared" si="41"/>
        <v>15000</v>
      </c>
      <c r="P436" s="10" t="s">
        <v>19</v>
      </c>
    </row>
    <row r="437" spans="1:16" s="22" customFormat="1" ht="14.25" customHeight="1" x14ac:dyDescent="0.25">
      <c r="A437" s="5" t="s">
        <v>934</v>
      </c>
      <c r="B437" s="22" t="s">
        <v>716</v>
      </c>
      <c r="C437" s="22" t="s">
        <v>932</v>
      </c>
      <c r="D437" s="18" t="s">
        <v>935</v>
      </c>
      <c r="E437" s="24" t="str">
        <f t="shared" si="37"/>
        <v>S0380912E012</v>
      </c>
      <c r="F437" s="13">
        <v>44375</v>
      </c>
      <c r="G437" s="13">
        <f t="shared" si="42"/>
        <v>44381</v>
      </c>
      <c r="H437" s="7">
        <f t="shared" ca="1" si="38"/>
        <v>-722</v>
      </c>
      <c r="I437" s="13">
        <v>44380</v>
      </c>
      <c r="J437" s="9">
        <f t="shared" ca="1" si="39"/>
        <v>0</v>
      </c>
      <c r="K437" s="10"/>
      <c r="L437" s="10" t="str">
        <f t="shared" si="40"/>
        <v>Accepted</v>
      </c>
      <c r="M437" s="11">
        <v>0</v>
      </c>
      <c r="N437" s="10" t="s">
        <v>18</v>
      </c>
      <c r="O437" s="42">
        <f t="shared" si="41"/>
        <v>15000</v>
      </c>
      <c r="P437" s="10" t="s">
        <v>19</v>
      </c>
    </row>
    <row r="438" spans="1:16" s="22" customFormat="1" ht="14.25" customHeight="1" x14ac:dyDescent="0.25">
      <c r="A438" s="5" t="s">
        <v>936</v>
      </c>
      <c r="B438" s="22" t="s">
        <v>716</v>
      </c>
      <c r="C438" s="22" t="s">
        <v>932</v>
      </c>
      <c r="D438" s="18" t="s">
        <v>937</v>
      </c>
      <c r="E438" s="24" t="str">
        <f t="shared" si="37"/>
        <v>S0380912E013</v>
      </c>
      <c r="F438" s="13">
        <v>44375</v>
      </c>
      <c r="G438" s="13">
        <f t="shared" si="42"/>
        <v>44381</v>
      </c>
      <c r="H438" s="7">
        <f t="shared" ca="1" si="38"/>
        <v>-722</v>
      </c>
      <c r="I438" s="13">
        <v>44380</v>
      </c>
      <c r="J438" s="9">
        <f t="shared" ca="1" si="39"/>
        <v>0</v>
      </c>
      <c r="K438" s="10"/>
      <c r="L438" s="10" t="str">
        <f t="shared" si="40"/>
        <v>Accepted</v>
      </c>
      <c r="M438" s="11">
        <v>0</v>
      </c>
      <c r="N438" s="10" t="s">
        <v>18</v>
      </c>
      <c r="O438" s="42">
        <f t="shared" si="41"/>
        <v>15000</v>
      </c>
      <c r="P438" s="10" t="s">
        <v>19</v>
      </c>
    </row>
    <row r="439" spans="1:16" s="22" customFormat="1" ht="14.25" customHeight="1" x14ac:dyDescent="0.25">
      <c r="A439" s="5" t="s">
        <v>940</v>
      </c>
      <c r="B439" s="22" t="s">
        <v>716</v>
      </c>
      <c r="C439" s="22" t="s">
        <v>932</v>
      </c>
      <c r="D439" s="18" t="s">
        <v>941</v>
      </c>
      <c r="E439" s="24" t="str">
        <f t="shared" si="37"/>
        <v>S0380912E015</v>
      </c>
      <c r="F439" s="13">
        <v>44375</v>
      </c>
      <c r="G439" s="13">
        <f t="shared" si="42"/>
        <v>44381</v>
      </c>
      <c r="H439" s="7">
        <f t="shared" ca="1" si="38"/>
        <v>-722</v>
      </c>
      <c r="I439" s="13">
        <v>44380</v>
      </c>
      <c r="J439" s="9">
        <f t="shared" ca="1" si="39"/>
        <v>0</v>
      </c>
      <c r="K439" s="10"/>
      <c r="L439" s="10" t="str">
        <f t="shared" si="40"/>
        <v>Accepted</v>
      </c>
      <c r="M439" s="11">
        <v>0</v>
      </c>
      <c r="N439" s="10" t="s">
        <v>18</v>
      </c>
      <c r="O439" s="42">
        <f t="shared" si="41"/>
        <v>15000</v>
      </c>
      <c r="P439" s="10" t="s">
        <v>19</v>
      </c>
    </row>
    <row r="440" spans="1:16" s="22" customFormat="1" ht="14.25" customHeight="1" x14ac:dyDescent="0.25">
      <c r="A440" s="5" t="s">
        <v>911</v>
      </c>
      <c r="B440" s="22" t="s">
        <v>716</v>
      </c>
      <c r="C440" s="22" t="s">
        <v>787</v>
      </c>
      <c r="D440" s="18" t="s">
        <v>912</v>
      </c>
      <c r="E440" s="24" t="str">
        <f t="shared" si="37"/>
        <v>S0301032E003</v>
      </c>
      <c r="F440" s="13">
        <v>44375</v>
      </c>
      <c r="G440" s="13">
        <f t="shared" si="42"/>
        <v>44381</v>
      </c>
      <c r="H440" s="7">
        <f t="shared" ca="1" si="38"/>
        <v>-722</v>
      </c>
      <c r="I440" s="13">
        <v>44381</v>
      </c>
      <c r="J440" s="9">
        <f t="shared" ca="1" si="39"/>
        <v>0</v>
      </c>
      <c r="K440" s="10"/>
      <c r="L440" s="10" t="str">
        <f t="shared" si="40"/>
        <v>Accepted</v>
      </c>
      <c r="M440" s="11">
        <v>0</v>
      </c>
      <c r="N440" s="10" t="s">
        <v>18</v>
      </c>
      <c r="O440" s="42">
        <f t="shared" si="41"/>
        <v>15000</v>
      </c>
      <c r="P440" s="10" t="s">
        <v>19</v>
      </c>
    </row>
    <row r="441" spans="1:16" s="22" customFormat="1" ht="14.25" customHeight="1" x14ac:dyDescent="0.25">
      <c r="A441" s="5" t="s">
        <v>938</v>
      </c>
      <c r="B441" s="22" t="s">
        <v>716</v>
      </c>
      <c r="C441" s="22" t="s">
        <v>932</v>
      </c>
      <c r="D441" s="18" t="s">
        <v>939</v>
      </c>
      <c r="E441" s="24" t="str">
        <f t="shared" si="37"/>
        <v>S0380912E014</v>
      </c>
      <c r="F441" s="13">
        <v>44375</v>
      </c>
      <c r="G441" s="13">
        <f t="shared" si="42"/>
        <v>44381</v>
      </c>
      <c r="H441" s="7">
        <f t="shared" ca="1" si="38"/>
        <v>-722</v>
      </c>
      <c r="I441" s="13">
        <v>44381</v>
      </c>
      <c r="J441" s="9">
        <f t="shared" ca="1" si="39"/>
        <v>0</v>
      </c>
      <c r="K441" s="10"/>
      <c r="L441" s="10" t="str">
        <f t="shared" si="40"/>
        <v>Accepted</v>
      </c>
      <c r="M441" s="11">
        <v>0</v>
      </c>
      <c r="N441" s="10" t="s">
        <v>18</v>
      </c>
      <c r="O441" s="42">
        <f t="shared" si="41"/>
        <v>15000</v>
      </c>
      <c r="P441" s="10" t="s">
        <v>19</v>
      </c>
    </row>
    <row r="442" spans="1:16" s="22" customFormat="1" ht="14.25" customHeight="1" x14ac:dyDescent="0.25">
      <c r="A442" s="5" t="s">
        <v>942</v>
      </c>
      <c r="B442" s="22" t="s">
        <v>716</v>
      </c>
      <c r="C442" s="22" t="s">
        <v>787</v>
      </c>
      <c r="D442" s="18" t="s">
        <v>943</v>
      </c>
      <c r="E442" s="24" t="str">
        <f t="shared" si="37"/>
        <v>S0380922E001</v>
      </c>
      <c r="F442" s="13">
        <v>44375</v>
      </c>
      <c r="G442" s="13">
        <f t="shared" si="42"/>
        <v>44381</v>
      </c>
      <c r="H442" s="7">
        <f t="shared" ca="1" si="38"/>
        <v>-722</v>
      </c>
      <c r="I442" s="13">
        <v>44381</v>
      </c>
      <c r="J442" s="9">
        <f t="shared" ca="1" si="39"/>
        <v>0</v>
      </c>
      <c r="K442" s="10"/>
      <c r="L442" s="10" t="str">
        <f t="shared" si="40"/>
        <v>Accepted</v>
      </c>
      <c r="M442" s="11">
        <v>0</v>
      </c>
      <c r="N442" s="10" t="s">
        <v>18</v>
      </c>
      <c r="O442" s="42">
        <f t="shared" si="41"/>
        <v>15000</v>
      </c>
      <c r="P442" s="10" t="s">
        <v>19</v>
      </c>
    </row>
    <row r="443" spans="1:16" s="22" customFormat="1" ht="14.25" customHeight="1" x14ac:dyDescent="0.25">
      <c r="A443" s="5" t="s">
        <v>946</v>
      </c>
      <c r="B443" s="22" t="s">
        <v>716</v>
      </c>
      <c r="C443" s="22" t="s">
        <v>2472</v>
      </c>
      <c r="D443" s="18" t="s">
        <v>947</v>
      </c>
      <c r="E443" s="24" t="str">
        <f t="shared" si="37"/>
        <v>S0061961P016</v>
      </c>
      <c r="F443" s="13">
        <v>44382</v>
      </c>
      <c r="G443" s="13">
        <f t="shared" si="42"/>
        <v>44388</v>
      </c>
      <c r="H443" s="7">
        <f t="shared" ca="1" si="38"/>
        <v>-715</v>
      </c>
      <c r="I443" s="13">
        <v>44382</v>
      </c>
      <c r="J443" s="9">
        <f t="shared" ca="1" si="39"/>
        <v>0</v>
      </c>
      <c r="K443" s="10"/>
      <c r="L443" s="10" t="str">
        <f t="shared" si="40"/>
        <v>Accepted</v>
      </c>
      <c r="M443" s="11">
        <v>1</v>
      </c>
      <c r="N443" s="10" t="s">
        <v>18</v>
      </c>
      <c r="O443" s="42">
        <f t="shared" si="41"/>
        <v>15000</v>
      </c>
      <c r="P443" s="10" t="s">
        <v>19</v>
      </c>
    </row>
    <row r="444" spans="1:16" s="22" customFormat="1" ht="14.25" customHeight="1" x14ac:dyDescent="0.25">
      <c r="A444" s="5" t="s">
        <v>944</v>
      </c>
      <c r="B444" s="22" t="s">
        <v>716</v>
      </c>
      <c r="C444" s="22" t="s">
        <v>787</v>
      </c>
      <c r="D444" s="18" t="s">
        <v>945</v>
      </c>
      <c r="E444" s="24" t="str">
        <f t="shared" si="37"/>
        <v>S0442363E004</v>
      </c>
      <c r="F444" s="13">
        <v>44382</v>
      </c>
      <c r="G444" s="13">
        <f t="shared" si="42"/>
        <v>44388</v>
      </c>
      <c r="H444" s="7">
        <f t="shared" ca="1" si="38"/>
        <v>-715</v>
      </c>
      <c r="I444" s="13">
        <v>44383</v>
      </c>
      <c r="J444" s="9">
        <f t="shared" ca="1" si="39"/>
        <v>0</v>
      </c>
      <c r="K444" s="10"/>
      <c r="L444" s="10" t="str">
        <f t="shared" si="40"/>
        <v>Accepted</v>
      </c>
      <c r="M444" s="11">
        <v>1</v>
      </c>
      <c r="N444" s="10" t="s">
        <v>30</v>
      </c>
      <c r="O444" s="42">
        <f t="shared" si="41"/>
        <v>18000</v>
      </c>
      <c r="P444" s="10" t="s">
        <v>19</v>
      </c>
    </row>
    <row r="445" spans="1:16" s="22" customFormat="1" ht="14.25" customHeight="1" x14ac:dyDescent="0.25">
      <c r="A445" s="5" t="s">
        <v>952</v>
      </c>
      <c r="B445" s="22" t="s">
        <v>716</v>
      </c>
      <c r="C445" s="22" t="s">
        <v>787</v>
      </c>
      <c r="D445" s="18" t="s">
        <v>953</v>
      </c>
      <c r="E445" s="24" t="str">
        <f t="shared" si="37"/>
        <v>S0300952E004</v>
      </c>
      <c r="F445" s="13">
        <v>44382</v>
      </c>
      <c r="G445" s="13">
        <f t="shared" si="42"/>
        <v>44388</v>
      </c>
      <c r="H445" s="7">
        <f t="shared" ca="1" si="38"/>
        <v>-715</v>
      </c>
      <c r="I445" s="13">
        <v>44384</v>
      </c>
      <c r="J445" s="9">
        <f t="shared" ca="1" si="39"/>
        <v>0</v>
      </c>
      <c r="K445" s="10"/>
      <c r="L445" s="10" t="str">
        <f t="shared" si="40"/>
        <v>Accepted</v>
      </c>
      <c r="M445" s="11">
        <v>0</v>
      </c>
      <c r="N445" s="10" t="s">
        <v>30</v>
      </c>
      <c r="O445" s="42">
        <f t="shared" si="41"/>
        <v>18000</v>
      </c>
      <c r="P445" s="10" t="s">
        <v>19</v>
      </c>
    </row>
    <row r="446" spans="1:16" s="22" customFormat="1" ht="14.25" customHeight="1" x14ac:dyDescent="0.25">
      <c r="A446" s="5" t="s">
        <v>948</v>
      </c>
      <c r="B446" s="22" t="s">
        <v>716</v>
      </c>
      <c r="C446" s="22" t="s">
        <v>2472</v>
      </c>
      <c r="D446" s="18" t="s">
        <v>949</v>
      </c>
      <c r="E446" s="24" t="str">
        <f t="shared" si="37"/>
        <v>S0061961P017</v>
      </c>
      <c r="F446" s="13">
        <v>44382</v>
      </c>
      <c r="G446" s="13">
        <f t="shared" si="42"/>
        <v>44388</v>
      </c>
      <c r="H446" s="7">
        <f t="shared" ca="1" si="38"/>
        <v>-715</v>
      </c>
      <c r="I446" s="13">
        <v>44385</v>
      </c>
      <c r="J446" s="9">
        <f t="shared" ca="1" si="39"/>
        <v>0</v>
      </c>
      <c r="K446" s="10"/>
      <c r="L446" s="10" t="str">
        <f t="shared" si="40"/>
        <v>Accepted</v>
      </c>
      <c r="M446" s="11">
        <v>1</v>
      </c>
      <c r="N446" s="10" t="s">
        <v>18</v>
      </c>
      <c r="O446" s="42">
        <f t="shared" si="41"/>
        <v>15000</v>
      </c>
      <c r="P446" s="10" t="s">
        <v>19</v>
      </c>
    </row>
    <row r="447" spans="1:16" s="22" customFormat="1" ht="14.25" customHeight="1" x14ac:dyDescent="0.25">
      <c r="A447" s="5" t="s">
        <v>982</v>
      </c>
      <c r="B447" s="22" t="s">
        <v>716</v>
      </c>
      <c r="C447" s="22" t="s">
        <v>787</v>
      </c>
      <c r="D447" s="18" t="s">
        <v>983</v>
      </c>
      <c r="E447" s="24" t="str">
        <f t="shared" si="37"/>
        <v>S0380922E002</v>
      </c>
      <c r="F447" s="13">
        <v>44382</v>
      </c>
      <c r="G447" s="13">
        <f t="shared" si="42"/>
        <v>44388</v>
      </c>
      <c r="H447" s="7">
        <f t="shared" ca="1" si="38"/>
        <v>-715</v>
      </c>
      <c r="I447" s="13">
        <v>44385</v>
      </c>
      <c r="J447" s="9">
        <f t="shared" ca="1" si="39"/>
        <v>0</v>
      </c>
      <c r="K447" s="10"/>
      <c r="L447" s="10" t="str">
        <f t="shared" si="40"/>
        <v>Accepted</v>
      </c>
      <c r="M447" s="11">
        <v>0</v>
      </c>
      <c r="N447" s="10" t="s">
        <v>30</v>
      </c>
      <c r="O447" s="42">
        <f t="shared" si="41"/>
        <v>18000</v>
      </c>
      <c r="P447" s="10" t="s">
        <v>19</v>
      </c>
    </row>
    <row r="448" spans="1:16" s="22" customFormat="1" ht="14.25" customHeight="1" x14ac:dyDescent="0.25">
      <c r="A448" s="5" t="s">
        <v>984</v>
      </c>
      <c r="B448" s="22" t="s">
        <v>716</v>
      </c>
      <c r="C448" s="22" t="s">
        <v>985</v>
      </c>
      <c r="D448" s="18" t="s">
        <v>986</v>
      </c>
      <c r="E448" s="24" t="str">
        <f t="shared" si="37"/>
        <v>S0041513E004</v>
      </c>
      <c r="F448" s="13">
        <v>44382</v>
      </c>
      <c r="G448" s="13">
        <f t="shared" si="42"/>
        <v>44388</v>
      </c>
      <c r="H448" s="7">
        <f t="shared" ca="1" si="38"/>
        <v>-715</v>
      </c>
      <c r="I448" s="13">
        <v>44385</v>
      </c>
      <c r="J448" s="9">
        <f t="shared" ca="1" si="39"/>
        <v>0</v>
      </c>
      <c r="K448" s="10"/>
      <c r="L448" s="10" t="str">
        <f t="shared" si="40"/>
        <v>Accepted</v>
      </c>
      <c r="M448" s="11">
        <v>0</v>
      </c>
      <c r="N448" s="10" t="s">
        <v>18</v>
      </c>
      <c r="O448" s="42">
        <f t="shared" si="41"/>
        <v>15000</v>
      </c>
      <c r="P448" s="10" t="s">
        <v>19</v>
      </c>
    </row>
    <row r="449" spans="1:16" s="22" customFormat="1" ht="14.25" customHeight="1" x14ac:dyDescent="0.25">
      <c r="A449" s="5" t="s">
        <v>987</v>
      </c>
      <c r="B449" s="22" t="s">
        <v>716</v>
      </c>
      <c r="C449" s="22" t="s">
        <v>985</v>
      </c>
      <c r="D449" s="18" t="s">
        <v>988</v>
      </c>
      <c r="E449" s="24" t="str">
        <f t="shared" si="37"/>
        <v>S0050931E001</v>
      </c>
      <c r="F449" s="13">
        <v>44382</v>
      </c>
      <c r="G449" s="13">
        <f t="shared" si="42"/>
        <v>44388</v>
      </c>
      <c r="H449" s="7">
        <f t="shared" ca="1" si="38"/>
        <v>-715</v>
      </c>
      <c r="I449" s="13">
        <v>44385</v>
      </c>
      <c r="J449" s="9">
        <f t="shared" ca="1" si="39"/>
        <v>0</v>
      </c>
      <c r="K449" s="10"/>
      <c r="L449" s="10" t="str">
        <f t="shared" si="40"/>
        <v>Accepted</v>
      </c>
      <c r="M449" s="11">
        <v>0</v>
      </c>
      <c r="N449" s="10" t="s">
        <v>18</v>
      </c>
      <c r="O449" s="42">
        <f t="shared" si="41"/>
        <v>15000</v>
      </c>
      <c r="P449" s="10" t="s">
        <v>19</v>
      </c>
    </row>
    <row r="450" spans="1:16" s="22" customFormat="1" ht="14.25" customHeight="1" x14ac:dyDescent="0.25">
      <c r="A450" s="5" t="s">
        <v>1055</v>
      </c>
      <c r="B450" s="22" t="s">
        <v>716</v>
      </c>
      <c r="C450" s="22" t="s">
        <v>985</v>
      </c>
      <c r="D450" s="18" t="s">
        <v>1056</v>
      </c>
      <c r="E450" s="24" t="str">
        <f t="shared" ref="E450:E513" si="43">HYPERLINK(D450,A450)</f>
        <v>S0041541P022</v>
      </c>
      <c r="F450" s="13">
        <v>44382</v>
      </c>
      <c r="G450" s="13">
        <f t="shared" si="42"/>
        <v>44388</v>
      </c>
      <c r="H450" s="7">
        <f t="shared" ref="H450:H513" ca="1" si="44">G450-TODAY()</f>
        <v>-715</v>
      </c>
      <c r="I450" s="13">
        <v>44385</v>
      </c>
      <c r="J450" s="9">
        <f t="shared" ref="J450:J513" ca="1" si="45">IF(L450="Accepted",0,TODAY()-F450)</f>
        <v>0</v>
      </c>
      <c r="K450" s="10"/>
      <c r="L450" s="10" t="str">
        <f t="shared" ref="L450:L513" si="46">IF(AND(NOT(ISBLANK(I450)), ISBLANK(K450)),"Accepted", IF(AND(ISBLANK(I450),ISBLANK(K450)),"Not Submitted", "Rejected"))</f>
        <v>Accepted</v>
      </c>
      <c r="M450" s="11">
        <v>0</v>
      </c>
      <c r="N450" s="10" t="s">
        <v>18</v>
      </c>
      <c r="O450" s="42">
        <f t="shared" ref="O450:O513" si="47">IF(AND(L450="Accepted",B450="SMA",N450="no"),20000,
IF(AND(L450="Accepted",OR(B450="SMP",B450="SD"),N450="no"),15000,
IF(AND(L450="Accepted",B450="SMA",N450="yes"),25000,
IF(AND(L450="Accepted",OR(B450="SMP",B450="SD"),N450="yes"),18000,
0))))</f>
        <v>15000</v>
      </c>
      <c r="P450" s="10" t="s">
        <v>19</v>
      </c>
    </row>
    <row r="451" spans="1:16" s="22" customFormat="1" ht="14.25" customHeight="1" x14ac:dyDescent="0.25">
      <c r="A451" s="5" t="s">
        <v>1057</v>
      </c>
      <c r="B451" s="22" t="s">
        <v>716</v>
      </c>
      <c r="C451" s="22" t="s">
        <v>985</v>
      </c>
      <c r="D451" s="18" t="s">
        <v>1058</v>
      </c>
      <c r="E451" s="24" t="str">
        <f t="shared" si="43"/>
        <v>S0041562E004</v>
      </c>
      <c r="F451" s="13">
        <v>44382</v>
      </c>
      <c r="G451" s="13">
        <f t="shared" si="42"/>
        <v>44388</v>
      </c>
      <c r="H451" s="7">
        <f t="shared" ca="1" si="44"/>
        <v>-715</v>
      </c>
      <c r="I451" s="13">
        <v>44385</v>
      </c>
      <c r="J451" s="9">
        <f t="shared" ca="1" si="45"/>
        <v>0</v>
      </c>
      <c r="K451" s="10"/>
      <c r="L451" s="10" t="str">
        <f t="shared" si="46"/>
        <v>Accepted</v>
      </c>
      <c r="M451" s="11">
        <v>0</v>
      </c>
      <c r="N451" s="10" t="s">
        <v>18</v>
      </c>
      <c r="O451" s="42">
        <f t="shared" si="47"/>
        <v>15000</v>
      </c>
      <c r="P451" s="10" t="s">
        <v>19</v>
      </c>
    </row>
    <row r="452" spans="1:16" s="22" customFormat="1" ht="14.25" customHeight="1" x14ac:dyDescent="0.25">
      <c r="A452" s="5" t="s">
        <v>1059</v>
      </c>
      <c r="B452" s="22" t="s">
        <v>716</v>
      </c>
      <c r="C452" s="22" t="s">
        <v>985</v>
      </c>
      <c r="D452" s="18" t="s">
        <v>1060</v>
      </c>
      <c r="E452" s="24" t="str">
        <f t="shared" si="43"/>
        <v>S0050892E001</v>
      </c>
      <c r="F452" s="13">
        <v>44382</v>
      </c>
      <c r="G452" s="13">
        <f t="shared" si="42"/>
        <v>44388</v>
      </c>
      <c r="H452" s="7">
        <f t="shared" ca="1" si="44"/>
        <v>-715</v>
      </c>
      <c r="I452" s="13">
        <v>44385</v>
      </c>
      <c r="J452" s="9">
        <f t="shared" ca="1" si="45"/>
        <v>0</v>
      </c>
      <c r="K452" s="10"/>
      <c r="L452" s="10" t="str">
        <f t="shared" si="46"/>
        <v>Accepted</v>
      </c>
      <c r="M452" s="11">
        <v>0</v>
      </c>
      <c r="N452" s="10" t="s">
        <v>18</v>
      </c>
      <c r="O452" s="42">
        <f t="shared" si="47"/>
        <v>15000</v>
      </c>
      <c r="P452" s="10" t="s">
        <v>19</v>
      </c>
    </row>
    <row r="453" spans="1:16" s="22" customFormat="1" ht="14.25" customHeight="1" x14ac:dyDescent="0.25">
      <c r="A453" s="5" t="s">
        <v>1063</v>
      </c>
      <c r="B453" s="22" t="s">
        <v>716</v>
      </c>
      <c r="C453" s="22" t="s">
        <v>985</v>
      </c>
      <c r="D453" s="18" t="s">
        <v>1064</v>
      </c>
      <c r="E453" s="24" t="str">
        <f t="shared" si="43"/>
        <v>S0050901E003</v>
      </c>
      <c r="F453" s="13">
        <v>44382</v>
      </c>
      <c r="G453" s="13">
        <f t="shared" si="42"/>
        <v>44388</v>
      </c>
      <c r="H453" s="7">
        <f t="shared" ca="1" si="44"/>
        <v>-715</v>
      </c>
      <c r="I453" s="13">
        <v>44385</v>
      </c>
      <c r="J453" s="9">
        <f t="shared" ca="1" si="45"/>
        <v>0</v>
      </c>
      <c r="K453" s="10"/>
      <c r="L453" s="10" t="str">
        <f t="shared" si="46"/>
        <v>Accepted</v>
      </c>
      <c r="M453" s="11">
        <v>0</v>
      </c>
      <c r="N453" s="10" t="s">
        <v>18</v>
      </c>
      <c r="O453" s="42">
        <f t="shared" si="47"/>
        <v>15000</v>
      </c>
      <c r="P453" s="10" t="s">
        <v>19</v>
      </c>
    </row>
    <row r="454" spans="1:16" s="22" customFormat="1" ht="14.25" customHeight="1" x14ac:dyDescent="0.25">
      <c r="A454" s="5" t="s">
        <v>1067</v>
      </c>
      <c r="B454" s="22" t="s">
        <v>716</v>
      </c>
      <c r="C454" s="22" t="s">
        <v>985</v>
      </c>
      <c r="D454" s="18" t="s">
        <v>1068</v>
      </c>
      <c r="E454" s="24" t="str">
        <f t="shared" si="43"/>
        <v>S0050901E004</v>
      </c>
      <c r="F454" s="13">
        <v>44382</v>
      </c>
      <c r="G454" s="13">
        <f t="shared" si="42"/>
        <v>44388</v>
      </c>
      <c r="H454" s="7">
        <f t="shared" ca="1" si="44"/>
        <v>-715</v>
      </c>
      <c r="I454" s="13">
        <v>44385</v>
      </c>
      <c r="J454" s="9">
        <f t="shared" ca="1" si="45"/>
        <v>0</v>
      </c>
      <c r="K454" s="10"/>
      <c r="L454" s="10" t="str">
        <f t="shared" si="46"/>
        <v>Accepted</v>
      </c>
      <c r="M454" s="11">
        <v>0</v>
      </c>
      <c r="N454" s="10" t="s">
        <v>18</v>
      </c>
      <c r="O454" s="42">
        <f t="shared" si="47"/>
        <v>15000</v>
      </c>
      <c r="P454" s="10" t="s">
        <v>19</v>
      </c>
    </row>
    <row r="455" spans="1:16" s="22" customFormat="1" ht="14.25" customHeight="1" x14ac:dyDescent="0.25">
      <c r="A455" s="5" t="s">
        <v>1069</v>
      </c>
      <c r="B455" s="22" t="s">
        <v>716</v>
      </c>
      <c r="C455" s="22" t="s">
        <v>985</v>
      </c>
      <c r="D455" s="18" t="s">
        <v>1070</v>
      </c>
      <c r="E455" s="24" t="str">
        <f t="shared" si="43"/>
        <v>S0050921E001</v>
      </c>
      <c r="F455" s="13">
        <v>44382</v>
      </c>
      <c r="G455" s="13">
        <f t="shared" si="42"/>
        <v>44388</v>
      </c>
      <c r="H455" s="7">
        <f t="shared" ca="1" si="44"/>
        <v>-715</v>
      </c>
      <c r="I455" s="13">
        <v>44385</v>
      </c>
      <c r="J455" s="9">
        <f t="shared" ca="1" si="45"/>
        <v>0</v>
      </c>
      <c r="K455" s="10"/>
      <c r="L455" s="10" t="str">
        <f t="shared" si="46"/>
        <v>Accepted</v>
      </c>
      <c r="M455" s="11">
        <v>0</v>
      </c>
      <c r="N455" s="10" t="s">
        <v>18</v>
      </c>
      <c r="O455" s="42">
        <f t="shared" si="47"/>
        <v>15000</v>
      </c>
      <c r="P455" s="10" t="s">
        <v>19</v>
      </c>
    </row>
    <row r="456" spans="1:16" s="22" customFormat="1" ht="14.25" customHeight="1" x14ac:dyDescent="0.25">
      <c r="A456" s="5" t="s">
        <v>950</v>
      </c>
      <c r="B456" s="22" t="s">
        <v>716</v>
      </c>
      <c r="C456" s="22" t="s">
        <v>787</v>
      </c>
      <c r="D456" s="18" t="s">
        <v>951</v>
      </c>
      <c r="E456" s="24" t="str">
        <f t="shared" si="43"/>
        <v>S0442352E010</v>
      </c>
      <c r="F456" s="13">
        <v>44382</v>
      </c>
      <c r="G456" s="13">
        <f t="shared" si="42"/>
        <v>44388</v>
      </c>
      <c r="H456" s="7">
        <f t="shared" ca="1" si="44"/>
        <v>-715</v>
      </c>
      <c r="I456" s="13">
        <v>44386</v>
      </c>
      <c r="J456" s="9">
        <f t="shared" ca="1" si="45"/>
        <v>0</v>
      </c>
      <c r="K456" s="10"/>
      <c r="L456" s="10" t="str">
        <f t="shared" si="46"/>
        <v>Accepted</v>
      </c>
      <c r="M456" s="11">
        <v>1</v>
      </c>
      <c r="N456" s="10" t="s">
        <v>18</v>
      </c>
      <c r="O456" s="42">
        <f t="shared" si="47"/>
        <v>15000</v>
      </c>
      <c r="P456" s="10" t="s">
        <v>19</v>
      </c>
    </row>
    <row r="457" spans="1:16" s="22" customFormat="1" ht="14.25" customHeight="1" x14ac:dyDescent="0.25">
      <c r="A457" s="5" t="s">
        <v>970</v>
      </c>
      <c r="B457" s="22" t="s">
        <v>716</v>
      </c>
      <c r="C457" s="22" t="s">
        <v>787</v>
      </c>
      <c r="D457" s="18" t="s">
        <v>971</v>
      </c>
      <c r="E457" s="24" t="str">
        <f t="shared" si="43"/>
        <v>S0300952E005</v>
      </c>
      <c r="F457" s="13">
        <v>44382</v>
      </c>
      <c r="G457" s="13">
        <f t="shared" si="42"/>
        <v>44388</v>
      </c>
      <c r="H457" s="7">
        <f t="shared" ca="1" si="44"/>
        <v>-715</v>
      </c>
      <c r="I457" s="13">
        <v>44386</v>
      </c>
      <c r="J457" s="9">
        <f t="shared" ca="1" si="45"/>
        <v>0</v>
      </c>
      <c r="K457" s="10"/>
      <c r="L457" s="10" t="str">
        <f t="shared" si="46"/>
        <v>Accepted</v>
      </c>
      <c r="M457" s="11">
        <v>0</v>
      </c>
      <c r="N457" s="10" t="s">
        <v>30</v>
      </c>
      <c r="O457" s="42">
        <f t="shared" si="47"/>
        <v>18000</v>
      </c>
      <c r="P457" s="10" t="s">
        <v>19</v>
      </c>
    </row>
    <row r="458" spans="1:16" s="22" customFormat="1" ht="14.25" customHeight="1" x14ac:dyDescent="0.25">
      <c r="A458" s="5" t="s">
        <v>972</v>
      </c>
      <c r="B458" s="22" t="s">
        <v>716</v>
      </c>
      <c r="C458" s="22" t="s">
        <v>787</v>
      </c>
      <c r="D458" s="18" t="s">
        <v>973</v>
      </c>
      <c r="E458" s="24" t="str">
        <f t="shared" si="43"/>
        <v>S0300952E006</v>
      </c>
      <c r="F458" s="13">
        <v>44382</v>
      </c>
      <c r="G458" s="13">
        <f t="shared" si="42"/>
        <v>44388</v>
      </c>
      <c r="H458" s="7">
        <f t="shared" ca="1" si="44"/>
        <v>-715</v>
      </c>
      <c r="I458" s="13">
        <v>44386</v>
      </c>
      <c r="J458" s="9">
        <f t="shared" ca="1" si="45"/>
        <v>0</v>
      </c>
      <c r="K458" s="10"/>
      <c r="L458" s="10" t="str">
        <f t="shared" si="46"/>
        <v>Accepted</v>
      </c>
      <c r="M458" s="11">
        <v>0</v>
      </c>
      <c r="N458" s="10" t="s">
        <v>30</v>
      </c>
      <c r="O458" s="42">
        <f t="shared" si="47"/>
        <v>18000</v>
      </c>
      <c r="P458" s="10" t="s">
        <v>19</v>
      </c>
    </row>
    <row r="459" spans="1:16" s="22" customFormat="1" ht="14.25" customHeight="1" x14ac:dyDescent="0.25">
      <c r="A459" s="5" t="s">
        <v>974</v>
      </c>
      <c r="B459" s="22" t="s">
        <v>716</v>
      </c>
      <c r="C459" s="22" t="s">
        <v>787</v>
      </c>
      <c r="D459" s="18" t="s">
        <v>975</v>
      </c>
      <c r="E459" s="24" t="str">
        <f t="shared" si="43"/>
        <v>S0300952E007</v>
      </c>
      <c r="F459" s="13">
        <v>44382</v>
      </c>
      <c r="G459" s="13">
        <f t="shared" si="42"/>
        <v>44388</v>
      </c>
      <c r="H459" s="7">
        <f t="shared" ca="1" si="44"/>
        <v>-715</v>
      </c>
      <c r="I459" s="13">
        <v>44386</v>
      </c>
      <c r="J459" s="9">
        <f t="shared" ca="1" si="45"/>
        <v>0</v>
      </c>
      <c r="K459" s="10"/>
      <c r="L459" s="10" t="str">
        <f t="shared" si="46"/>
        <v>Accepted</v>
      </c>
      <c r="M459" s="11">
        <v>0</v>
      </c>
      <c r="N459" s="10" t="s">
        <v>30</v>
      </c>
      <c r="O459" s="42">
        <f t="shared" si="47"/>
        <v>18000</v>
      </c>
      <c r="P459" s="10" t="s">
        <v>19</v>
      </c>
    </row>
    <row r="460" spans="1:16" s="22" customFormat="1" ht="14.25" customHeight="1" x14ac:dyDescent="0.25">
      <c r="A460" s="5" t="s">
        <v>976</v>
      </c>
      <c r="B460" s="22" t="s">
        <v>716</v>
      </c>
      <c r="C460" s="22" t="s">
        <v>787</v>
      </c>
      <c r="D460" s="18" t="s">
        <v>977</v>
      </c>
      <c r="E460" s="24" t="str">
        <f t="shared" si="43"/>
        <v>S0300952E008</v>
      </c>
      <c r="F460" s="13">
        <v>44382</v>
      </c>
      <c r="G460" s="13">
        <f t="shared" si="42"/>
        <v>44388</v>
      </c>
      <c r="H460" s="7">
        <f t="shared" ca="1" si="44"/>
        <v>-715</v>
      </c>
      <c r="I460" s="13">
        <v>44386</v>
      </c>
      <c r="J460" s="9">
        <f t="shared" ca="1" si="45"/>
        <v>0</v>
      </c>
      <c r="K460" s="10"/>
      <c r="L460" s="10" t="str">
        <f t="shared" si="46"/>
        <v>Accepted</v>
      </c>
      <c r="M460" s="11">
        <v>0</v>
      </c>
      <c r="N460" s="10" t="s">
        <v>30</v>
      </c>
      <c r="O460" s="42">
        <f t="shared" si="47"/>
        <v>18000</v>
      </c>
      <c r="P460" s="10" t="s">
        <v>19</v>
      </c>
    </row>
    <row r="461" spans="1:16" s="22" customFormat="1" ht="14.25" customHeight="1" x14ac:dyDescent="0.25">
      <c r="A461" s="5" t="s">
        <v>989</v>
      </c>
      <c r="B461" s="22" t="s">
        <v>716</v>
      </c>
      <c r="C461" s="22" t="s">
        <v>985</v>
      </c>
      <c r="D461" s="18" t="s">
        <v>990</v>
      </c>
      <c r="E461" s="24" t="str">
        <f t="shared" si="43"/>
        <v>S0050952E001</v>
      </c>
      <c r="F461" s="13">
        <v>44382</v>
      </c>
      <c r="G461" s="13">
        <f t="shared" ref="G461:G524" si="48">F461+6</f>
        <v>44388</v>
      </c>
      <c r="H461" s="7">
        <f t="shared" ca="1" si="44"/>
        <v>-715</v>
      </c>
      <c r="I461" s="13">
        <v>44386</v>
      </c>
      <c r="J461" s="9">
        <f t="shared" ca="1" si="45"/>
        <v>0</v>
      </c>
      <c r="K461" s="10"/>
      <c r="L461" s="10" t="str">
        <f t="shared" si="46"/>
        <v>Accepted</v>
      </c>
      <c r="M461" s="11">
        <v>0</v>
      </c>
      <c r="N461" s="10" t="s">
        <v>18</v>
      </c>
      <c r="O461" s="42">
        <f t="shared" si="47"/>
        <v>15000</v>
      </c>
      <c r="P461" s="10" t="s">
        <v>19</v>
      </c>
    </row>
    <row r="462" spans="1:16" s="22" customFormat="1" ht="14.25" customHeight="1" x14ac:dyDescent="0.25">
      <c r="A462" s="5" t="s">
        <v>991</v>
      </c>
      <c r="B462" s="22" t="s">
        <v>716</v>
      </c>
      <c r="C462" s="22" t="s">
        <v>992</v>
      </c>
      <c r="D462" s="18" t="s">
        <v>993</v>
      </c>
      <c r="E462" s="24" t="str">
        <f t="shared" si="43"/>
        <v>S0501001E001</v>
      </c>
      <c r="F462" s="13">
        <v>44382</v>
      </c>
      <c r="G462" s="13">
        <f t="shared" si="48"/>
        <v>44388</v>
      </c>
      <c r="H462" s="7">
        <f t="shared" ca="1" si="44"/>
        <v>-715</v>
      </c>
      <c r="I462" s="13">
        <v>44386</v>
      </c>
      <c r="J462" s="9">
        <f t="shared" ca="1" si="45"/>
        <v>0</v>
      </c>
      <c r="K462" s="10"/>
      <c r="L462" s="10" t="str">
        <f t="shared" si="46"/>
        <v>Accepted</v>
      </c>
      <c r="M462" s="11">
        <v>0</v>
      </c>
      <c r="N462" s="10" t="s">
        <v>18</v>
      </c>
      <c r="O462" s="42">
        <f t="shared" si="47"/>
        <v>15000</v>
      </c>
      <c r="P462" s="10" t="s">
        <v>19</v>
      </c>
    </row>
    <row r="463" spans="1:16" s="22" customFormat="1" ht="14.25" customHeight="1" x14ac:dyDescent="0.25">
      <c r="A463" s="5" t="s">
        <v>994</v>
      </c>
      <c r="B463" s="22" t="s">
        <v>716</v>
      </c>
      <c r="C463" s="22" t="s">
        <v>992</v>
      </c>
      <c r="D463" s="18" t="s">
        <v>995</v>
      </c>
      <c r="E463" s="24" t="str">
        <f t="shared" si="43"/>
        <v>S0501001E002</v>
      </c>
      <c r="F463" s="13">
        <v>44382</v>
      </c>
      <c r="G463" s="13">
        <f t="shared" si="48"/>
        <v>44388</v>
      </c>
      <c r="H463" s="7">
        <f t="shared" ca="1" si="44"/>
        <v>-715</v>
      </c>
      <c r="I463" s="13">
        <v>44386</v>
      </c>
      <c r="J463" s="9">
        <f t="shared" ca="1" si="45"/>
        <v>0</v>
      </c>
      <c r="K463" s="10"/>
      <c r="L463" s="10" t="str">
        <f t="shared" si="46"/>
        <v>Accepted</v>
      </c>
      <c r="M463" s="11">
        <v>0</v>
      </c>
      <c r="N463" s="10" t="s">
        <v>18</v>
      </c>
      <c r="O463" s="42">
        <f t="shared" si="47"/>
        <v>15000</v>
      </c>
      <c r="P463" s="10" t="s">
        <v>19</v>
      </c>
    </row>
    <row r="464" spans="1:16" s="22" customFormat="1" ht="14.25" customHeight="1" x14ac:dyDescent="0.25">
      <c r="A464" s="5" t="s">
        <v>998</v>
      </c>
      <c r="B464" s="22" t="s">
        <v>716</v>
      </c>
      <c r="C464" s="22" t="s">
        <v>992</v>
      </c>
      <c r="D464" s="18" t="s">
        <v>999</v>
      </c>
      <c r="E464" s="24" t="str">
        <f t="shared" si="43"/>
        <v>S0501011E004</v>
      </c>
      <c r="F464" s="13">
        <v>44382</v>
      </c>
      <c r="G464" s="13">
        <f t="shared" si="48"/>
        <v>44388</v>
      </c>
      <c r="H464" s="7">
        <f t="shared" ca="1" si="44"/>
        <v>-715</v>
      </c>
      <c r="I464" s="13">
        <v>44386</v>
      </c>
      <c r="J464" s="9">
        <f t="shared" ca="1" si="45"/>
        <v>0</v>
      </c>
      <c r="K464" s="10"/>
      <c r="L464" s="10" t="str">
        <f t="shared" si="46"/>
        <v>Accepted</v>
      </c>
      <c r="M464" s="11">
        <v>0</v>
      </c>
      <c r="N464" s="10" t="s">
        <v>18</v>
      </c>
      <c r="O464" s="42">
        <f t="shared" si="47"/>
        <v>15000</v>
      </c>
      <c r="P464" s="10" t="s">
        <v>19</v>
      </c>
    </row>
    <row r="465" spans="1:16" s="22" customFormat="1" ht="14.25" customHeight="1" x14ac:dyDescent="0.25">
      <c r="A465" s="5" t="s">
        <v>1000</v>
      </c>
      <c r="B465" s="22" t="s">
        <v>716</v>
      </c>
      <c r="C465" s="22" t="s">
        <v>992</v>
      </c>
      <c r="D465" s="18" t="s">
        <v>1001</v>
      </c>
      <c r="E465" s="24" t="str">
        <f t="shared" si="43"/>
        <v>S0501011E005</v>
      </c>
      <c r="F465" s="13">
        <v>44382</v>
      </c>
      <c r="G465" s="13">
        <f t="shared" si="48"/>
        <v>44388</v>
      </c>
      <c r="H465" s="7">
        <f t="shared" ca="1" si="44"/>
        <v>-715</v>
      </c>
      <c r="I465" s="13">
        <v>44386</v>
      </c>
      <c r="J465" s="9">
        <f t="shared" ca="1" si="45"/>
        <v>0</v>
      </c>
      <c r="K465" s="10"/>
      <c r="L465" s="10" t="str">
        <f t="shared" si="46"/>
        <v>Accepted</v>
      </c>
      <c r="M465" s="11">
        <v>0</v>
      </c>
      <c r="N465" s="10" t="s">
        <v>18</v>
      </c>
      <c r="O465" s="42">
        <f t="shared" si="47"/>
        <v>15000</v>
      </c>
      <c r="P465" s="10" t="s">
        <v>19</v>
      </c>
    </row>
    <row r="466" spans="1:16" s="22" customFormat="1" ht="14.25" customHeight="1" x14ac:dyDescent="0.25">
      <c r="A466" s="5" t="s">
        <v>1006</v>
      </c>
      <c r="B466" s="22" t="s">
        <v>716</v>
      </c>
      <c r="C466" s="22" t="s">
        <v>992</v>
      </c>
      <c r="D466" s="18" t="s">
        <v>1007</v>
      </c>
      <c r="E466" s="24" t="str">
        <f t="shared" si="43"/>
        <v>S0501011E008</v>
      </c>
      <c r="F466" s="13">
        <v>44382</v>
      </c>
      <c r="G466" s="13">
        <f t="shared" si="48"/>
        <v>44388</v>
      </c>
      <c r="H466" s="7">
        <f t="shared" ca="1" si="44"/>
        <v>-715</v>
      </c>
      <c r="I466" s="13">
        <v>44386</v>
      </c>
      <c r="J466" s="9">
        <f t="shared" ca="1" si="45"/>
        <v>0</v>
      </c>
      <c r="K466" s="10"/>
      <c r="L466" s="10" t="str">
        <f t="shared" si="46"/>
        <v>Accepted</v>
      </c>
      <c r="M466" s="11">
        <v>0</v>
      </c>
      <c r="N466" s="10" t="s">
        <v>18</v>
      </c>
      <c r="O466" s="42">
        <f t="shared" si="47"/>
        <v>15000</v>
      </c>
      <c r="P466" s="10" t="s">
        <v>19</v>
      </c>
    </row>
    <row r="467" spans="1:16" s="22" customFormat="1" ht="14.25" customHeight="1" x14ac:dyDescent="0.25">
      <c r="A467" s="5" t="s">
        <v>1008</v>
      </c>
      <c r="B467" s="22" t="s">
        <v>716</v>
      </c>
      <c r="C467" s="22" t="s">
        <v>992</v>
      </c>
      <c r="D467" s="18" t="s">
        <v>1009</v>
      </c>
      <c r="E467" s="24" t="str">
        <f t="shared" si="43"/>
        <v>S0501011E009</v>
      </c>
      <c r="F467" s="13">
        <v>44382</v>
      </c>
      <c r="G467" s="13">
        <f t="shared" si="48"/>
        <v>44388</v>
      </c>
      <c r="H467" s="7">
        <f t="shared" ca="1" si="44"/>
        <v>-715</v>
      </c>
      <c r="I467" s="13">
        <v>44386</v>
      </c>
      <c r="J467" s="9">
        <f t="shared" ca="1" si="45"/>
        <v>0</v>
      </c>
      <c r="K467" s="10"/>
      <c r="L467" s="10" t="str">
        <f t="shared" si="46"/>
        <v>Accepted</v>
      </c>
      <c r="M467" s="11">
        <v>0</v>
      </c>
      <c r="N467" s="10" t="s">
        <v>18</v>
      </c>
      <c r="O467" s="42">
        <f t="shared" si="47"/>
        <v>15000</v>
      </c>
      <c r="P467" s="10" t="s">
        <v>19</v>
      </c>
    </row>
    <row r="468" spans="1:16" s="22" customFormat="1" ht="14.25" customHeight="1" x14ac:dyDescent="0.25">
      <c r="A468" s="5" t="s">
        <v>1010</v>
      </c>
      <c r="B468" s="22" t="s">
        <v>716</v>
      </c>
      <c r="C468" s="22" t="s">
        <v>992</v>
      </c>
      <c r="D468" s="18" t="s">
        <v>1011</v>
      </c>
      <c r="E468" s="24" t="str">
        <f t="shared" si="43"/>
        <v>S0501011E010</v>
      </c>
      <c r="F468" s="13">
        <v>44382</v>
      </c>
      <c r="G468" s="13">
        <f t="shared" si="48"/>
        <v>44388</v>
      </c>
      <c r="H468" s="7">
        <f t="shared" ca="1" si="44"/>
        <v>-715</v>
      </c>
      <c r="I468" s="13">
        <v>44386</v>
      </c>
      <c r="J468" s="9">
        <f t="shared" ca="1" si="45"/>
        <v>0</v>
      </c>
      <c r="K468" s="10"/>
      <c r="L468" s="10" t="str">
        <f t="shared" si="46"/>
        <v>Accepted</v>
      </c>
      <c r="M468" s="11">
        <v>0</v>
      </c>
      <c r="N468" s="10" t="s">
        <v>18</v>
      </c>
      <c r="O468" s="42">
        <f t="shared" si="47"/>
        <v>15000</v>
      </c>
      <c r="P468" s="10" t="s">
        <v>19</v>
      </c>
    </row>
    <row r="469" spans="1:16" s="22" customFormat="1" ht="14.25" customHeight="1" x14ac:dyDescent="0.25">
      <c r="A469" s="5" t="s">
        <v>1012</v>
      </c>
      <c r="B469" s="22" t="s">
        <v>716</v>
      </c>
      <c r="C469" s="22" t="s">
        <v>992</v>
      </c>
      <c r="D469" s="18" t="s">
        <v>1013</v>
      </c>
      <c r="E469" s="24" t="str">
        <f t="shared" si="43"/>
        <v>S0501031E005</v>
      </c>
      <c r="F469" s="13">
        <v>44382</v>
      </c>
      <c r="G469" s="13">
        <f t="shared" si="48"/>
        <v>44388</v>
      </c>
      <c r="H469" s="7">
        <f t="shared" ca="1" si="44"/>
        <v>-715</v>
      </c>
      <c r="I469" s="13">
        <v>44386</v>
      </c>
      <c r="J469" s="9">
        <f t="shared" ca="1" si="45"/>
        <v>0</v>
      </c>
      <c r="K469" s="10"/>
      <c r="L469" s="10" t="str">
        <f t="shared" si="46"/>
        <v>Accepted</v>
      </c>
      <c r="M469" s="11">
        <v>0</v>
      </c>
      <c r="N469" s="10" t="s">
        <v>18</v>
      </c>
      <c r="O469" s="42">
        <f t="shared" si="47"/>
        <v>15000</v>
      </c>
      <c r="P469" s="10" t="s">
        <v>19</v>
      </c>
    </row>
    <row r="470" spans="1:16" s="22" customFormat="1" ht="14.25" customHeight="1" x14ac:dyDescent="0.25">
      <c r="A470" s="5" t="s">
        <v>1061</v>
      </c>
      <c r="B470" s="22" t="s">
        <v>716</v>
      </c>
      <c r="C470" s="22" t="s">
        <v>985</v>
      </c>
      <c r="D470" s="18" t="s">
        <v>1062</v>
      </c>
      <c r="E470" s="24" t="str">
        <f t="shared" si="43"/>
        <v>S0050901E001</v>
      </c>
      <c r="F470" s="13">
        <v>44382</v>
      </c>
      <c r="G470" s="13">
        <f t="shared" si="48"/>
        <v>44388</v>
      </c>
      <c r="H470" s="7">
        <f t="shared" ca="1" si="44"/>
        <v>-715</v>
      </c>
      <c r="I470" s="13">
        <v>44386</v>
      </c>
      <c r="J470" s="9">
        <f t="shared" ca="1" si="45"/>
        <v>0</v>
      </c>
      <c r="K470" s="10"/>
      <c r="L470" s="10" t="str">
        <f t="shared" si="46"/>
        <v>Accepted</v>
      </c>
      <c r="M470" s="11">
        <v>0</v>
      </c>
      <c r="N470" s="10" t="s">
        <v>18</v>
      </c>
      <c r="O470" s="42">
        <f t="shared" si="47"/>
        <v>15000</v>
      </c>
      <c r="P470" s="10" t="s">
        <v>19</v>
      </c>
    </row>
    <row r="471" spans="1:16" s="22" customFormat="1" ht="14.25" customHeight="1" x14ac:dyDescent="0.25">
      <c r="A471" s="5" t="s">
        <v>1073</v>
      </c>
      <c r="B471" s="22" t="s">
        <v>716</v>
      </c>
      <c r="C471" s="22" t="s">
        <v>985</v>
      </c>
      <c r="D471" s="18" t="s">
        <v>1074</v>
      </c>
      <c r="E471" s="24" t="str">
        <f t="shared" si="43"/>
        <v>S0050931E004</v>
      </c>
      <c r="F471" s="13">
        <v>44382</v>
      </c>
      <c r="G471" s="13">
        <f t="shared" si="48"/>
        <v>44388</v>
      </c>
      <c r="H471" s="7">
        <f t="shared" ca="1" si="44"/>
        <v>-715</v>
      </c>
      <c r="I471" s="13">
        <v>44386</v>
      </c>
      <c r="J471" s="9">
        <f t="shared" ca="1" si="45"/>
        <v>0</v>
      </c>
      <c r="K471" s="10"/>
      <c r="L471" s="10" t="str">
        <f t="shared" si="46"/>
        <v>Accepted</v>
      </c>
      <c r="M471" s="11">
        <v>0</v>
      </c>
      <c r="N471" s="10" t="s">
        <v>18</v>
      </c>
      <c r="O471" s="42">
        <f t="shared" si="47"/>
        <v>15000</v>
      </c>
      <c r="P471" s="10" t="s">
        <v>19</v>
      </c>
    </row>
    <row r="472" spans="1:16" s="22" customFormat="1" ht="14.25" customHeight="1" x14ac:dyDescent="0.25">
      <c r="A472" s="5" t="s">
        <v>954</v>
      </c>
      <c r="B472" s="22" t="s">
        <v>716</v>
      </c>
      <c r="C472" s="22" t="s">
        <v>2505</v>
      </c>
      <c r="D472" s="18" t="s">
        <v>955</v>
      </c>
      <c r="E472" s="24" t="str">
        <f t="shared" si="43"/>
        <v>S0490091E001</v>
      </c>
      <c r="F472" s="13">
        <v>44382</v>
      </c>
      <c r="G472" s="13">
        <f t="shared" si="48"/>
        <v>44388</v>
      </c>
      <c r="H472" s="7">
        <f t="shared" ca="1" si="44"/>
        <v>-715</v>
      </c>
      <c r="I472" s="13">
        <v>44388</v>
      </c>
      <c r="J472" s="9">
        <f t="shared" ca="1" si="45"/>
        <v>0</v>
      </c>
      <c r="K472" s="10"/>
      <c r="L472" s="10" t="str">
        <f t="shared" si="46"/>
        <v>Accepted</v>
      </c>
      <c r="M472" s="11">
        <v>1</v>
      </c>
      <c r="N472" s="10" t="s">
        <v>18</v>
      </c>
      <c r="O472" s="42">
        <f t="shared" si="47"/>
        <v>15000</v>
      </c>
      <c r="P472" s="10" t="s">
        <v>19</v>
      </c>
    </row>
    <row r="473" spans="1:16" s="22" customFormat="1" ht="14.25" customHeight="1" x14ac:dyDescent="0.25">
      <c r="A473" s="5" t="s">
        <v>956</v>
      </c>
      <c r="B473" s="22" t="s">
        <v>716</v>
      </c>
      <c r="C473" s="22" t="s">
        <v>2505</v>
      </c>
      <c r="D473" s="18" t="s">
        <v>957</v>
      </c>
      <c r="E473" s="24" t="str">
        <f t="shared" si="43"/>
        <v>S0490101E005</v>
      </c>
      <c r="F473" s="13">
        <v>44382</v>
      </c>
      <c r="G473" s="13">
        <f t="shared" si="48"/>
        <v>44388</v>
      </c>
      <c r="H473" s="7">
        <f t="shared" ca="1" si="44"/>
        <v>-715</v>
      </c>
      <c r="I473" s="13">
        <v>44388</v>
      </c>
      <c r="J473" s="9">
        <f t="shared" ca="1" si="45"/>
        <v>0</v>
      </c>
      <c r="K473" s="10"/>
      <c r="L473" s="10" t="str">
        <f t="shared" si="46"/>
        <v>Accepted</v>
      </c>
      <c r="M473" s="11">
        <v>1</v>
      </c>
      <c r="N473" s="10" t="s">
        <v>18</v>
      </c>
      <c r="O473" s="42">
        <f t="shared" si="47"/>
        <v>15000</v>
      </c>
      <c r="P473" s="10" t="s">
        <v>19</v>
      </c>
    </row>
    <row r="474" spans="1:16" s="22" customFormat="1" ht="14.25" customHeight="1" x14ac:dyDescent="0.25">
      <c r="A474" s="5" t="s">
        <v>958</v>
      </c>
      <c r="B474" s="22" t="s">
        <v>716</v>
      </c>
      <c r="C474" s="22" t="s">
        <v>2505</v>
      </c>
      <c r="D474" s="18" t="s">
        <v>959</v>
      </c>
      <c r="E474" s="24" t="str">
        <f t="shared" si="43"/>
        <v>S0490101E007</v>
      </c>
      <c r="F474" s="13">
        <v>44382</v>
      </c>
      <c r="G474" s="13">
        <f t="shared" si="48"/>
        <v>44388</v>
      </c>
      <c r="H474" s="7">
        <f t="shared" ca="1" si="44"/>
        <v>-715</v>
      </c>
      <c r="I474" s="13">
        <v>44388</v>
      </c>
      <c r="J474" s="9">
        <f t="shared" ca="1" si="45"/>
        <v>0</v>
      </c>
      <c r="K474" s="10"/>
      <c r="L474" s="10" t="str">
        <f t="shared" si="46"/>
        <v>Accepted</v>
      </c>
      <c r="M474" s="11">
        <v>1</v>
      </c>
      <c r="N474" s="10" t="s">
        <v>18</v>
      </c>
      <c r="O474" s="42">
        <f t="shared" si="47"/>
        <v>15000</v>
      </c>
      <c r="P474" s="10" t="s">
        <v>19</v>
      </c>
    </row>
    <row r="475" spans="1:16" s="22" customFormat="1" ht="14.25" customHeight="1" x14ac:dyDescent="0.25">
      <c r="A475" s="5" t="s">
        <v>960</v>
      </c>
      <c r="B475" s="22" t="s">
        <v>716</v>
      </c>
      <c r="C475" s="22" t="s">
        <v>2505</v>
      </c>
      <c r="D475" s="18" t="s">
        <v>961</v>
      </c>
      <c r="E475" s="24" t="str">
        <f t="shared" si="43"/>
        <v>S0490101E008</v>
      </c>
      <c r="F475" s="13">
        <v>44382</v>
      </c>
      <c r="G475" s="13">
        <f t="shared" si="48"/>
        <v>44388</v>
      </c>
      <c r="H475" s="7">
        <f t="shared" ca="1" si="44"/>
        <v>-715</v>
      </c>
      <c r="I475" s="13">
        <v>44388</v>
      </c>
      <c r="J475" s="9">
        <f t="shared" ca="1" si="45"/>
        <v>0</v>
      </c>
      <c r="K475" s="10"/>
      <c r="L475" s="10" t="str">
        <f t="shared" si="46"/>
        <v>Accepted</v>
      </c>
      <c r="M475" s="11">
        <v>1</v>
      </c>
      <c r="N475" s="10" t="s">
        <v>18</v>
      </c>
      <c r="O475" s="42">
        <f t="shared" si="47"/>
        <v>15000</v>
      </c>
      <c r="P475" s="10" t="s">
        <v>19</v>
      </c>
    </row>
    <row r="476" spans="1:16" s="22" customFormat="1" ht="14.25" customHeight="1" x14ac:dyDescent="0.25">
      <c r="A476" s="5" t="s">
        <v>962</v>
      </c>
      <c r="B476" s="22" t="s">
        <v>716</v>
      </c>
      <c r="C476" s="22" t="s">
        <v>2505</v>
      </c>
      <c r="D476" s="18" t="s">
        <v>963</v>
      </c>
      <c r="E476" s="24" t="str">
        <f t="shared" si="43"/>
        <v>S0490101E010</v>
      </c>
      <c r="F476" s="13">
        <v>44382</v>
      </c>
      <c r="G476" s="13">
        <f t="shared" si="48"/>
        <v>44388</v>
      </c>
      <c r="H476" s="7">
        <f t="shared" ca="1" si="44"/>
        <v>-715</v>
      </c>
      <c r="I476" s="13">
        <v>44388</v>
      </c>
      <c r="J476" s="9">
        <f t="shared" ca="1" si="45"/>
        <v>0</v>
      </c>
      <c r="K476" s="10"/>
      <c r="L476" s="10" t="str">
        <f t="shared" si="46"/>
        <v>Accepted</v>
      </c>
      <c r="M476" s="11">
        <v>1</v>
      </c>
      <c r="N476" s="10" t="s">
        <v>18</v>
      </c>
      <c r="O476" s="42">
        <f t="shared" si="47"/>
        <v>15000</v>
      </c>
      <c r="P476" s="10" t="s">
        <v>19</v>
      </c>
    </row>
    <row r="477" spans="1:16" s="22" customFormat="1" ht="14.25" customHeight="1" x14ac:dyDescent="0.25">
      <c r="A477" s="5" t="s">
        <v>964</v>
      </c>
      <c r="B477" s="22" t="s">
        <v>716</v>
      </c>
      <c r="C477" s="22" t="s">
        <v>2505</v>
      </c>
      <c r="D477" s="18" t="s">
        <v>965</v>
      </c>
      <c r="E477" s="24" t="str">
        <f t="shared" si="43"/>
        <v>S0490102E001</v>
      </c>
      <c r="F477" s="13">
        <v>44382</v>
      </c>
      <c r="G477" s="13">
        <f t="shared" si="48"/>
        <v>44388</v>
      </c>
      <c r="H477" s="7">
        <f t="shared" ca="1" si="44"/>
        <v>-715</v>
      </c>
      <c r="I477" s="13">
        <v>44388</v>
      </c>
      <c r="J477" s="9">
        <f t="shared" ca="1" si="45"/>
        <v>0</v>
      </c>
      <c r="K477" s="10"/>
      <c r="L477" s="10" t="str">
        <f t="shared" si="46"/>
        <v>Accepted</v>
      </c>
      <c r="M477" s="11">
        <v>1</v>
      </c>
      <c r="N477" s="10" t="s">
        <v>18</v>
      </c>
      <c r="O477" s="42">
        <f t="shared" si="47"/>
        <v>15000</v>
      </c>
      <c r="P477" s="10" t="s">
        <v>19</v>
      </c>
    </row>
    <row r="478" spans="1:16" s="22" customFormat="1" ht="14.25" customHeight="1" x14ac:dyDescent="0.25">
      <c r="A478" s="5" t="s">
        <v>966</v>
      </c>
      <c r="B478" s="22" t="s">
        <v>716</v>
      </c>
      <c r="C478" s="22" t="s">
        <v>2505</v>
      </c>
      <c r="D478" s="18" t="s">
        <v>967</v>
      </c>
      <c r="E478" s="24" t="str">
        <f t="shared" si="43"/>
        <v>S0490112E002</v>
      </c>
      <c r="F478" s="13">
        <v>44382</v>
      </c>
      <c r="G478" s="13">
        <f t="shared" si="48"/>
        <v>44388</v>
      </c>
      <c r="H478" s="7">
        <f t="shared" ca="1" si="44"/>
        <v>-715</v>
      </c>
      <c r="I478" s="13">
        <v>44388</v>
      </c>
      <c r="J478" s="9">
        <f t="shared" ca="1" si="45"/>
        <v>0</v>
      </c>
      <c r="K478" s="10"/>
      <c r="L478" s="10" t="str">
        <f t="shared" si="46"/>
        <v>Accepted</v>
      </c>
      <c r="M478" s="11">
        <v>1</v>
      </c>
      <c r="N478" s="10" t="s">
        <v>18</v>
      </c>
      <c r="O478" s="42">
        <f t="shared" si="47"/>
        <v>15000</v>
      </c>
      <c r="P478" s="10" t="s">
        <v>19</v>
      </c>
    </row>
    <row r="479" spans="1:16" s="22" customFormat="1" ht="14.25" customHeight="1" x14ac:dyDescent="0.25">
      <c r="A479" s="5" t="s">
        <v>968</v>
      </c>
      <c r="B479" s="22" t="s">
        <v>716</v>
      </c>
      <c r="C479" s="22" t="s">
        <v>2505</v>
      </c>
      <c r="D479" s="18" t="s">
        <v>969</v>
      </c>
      <c r="E479" s="24" t="str">
        <f t="shared" si="43"/>
        <v>S0490112E004</v>
      </c>
      <c r="F479" s="13">
        <v>44382</v>
      </c>
      <c r="G479" s="13">
        <f t="shared" si="48"/>
        <v>44388</v>
      </c>
      <c r="H479" s="7">
        <f t="shared" ca="1" si="44"/>
        <v>-715</v>
      </c>
      <c r="I479" s="13">
        <v>44388</v>
      </c>
      <c r="J479" s="9">
        <f t="shared" ca="1" si="45"/>
        <v>0</v>
      </c>
      <c r="K479" s="10"/>
      <c r="L479" s="10" t="str">
        <f t="shared" si="46"/>
        <v>Accepted</v>
      </c>
      <c r="M479" s="11">
        <v>1</v>
      </c>
      <c r="N479" s="10" t="s">
        <v>30</v>
      </c>
      <c r="O479" s="42">
        <f t="shared" si="47"/>
        <v>18000</v>
      </c>
      <c r="P479" s="10" t="s">
        <v>19</v>
      </c>
    </row>
    <row r="480" spans="1:16" s="22" customFormat="1" ht="14.25" customHeight="1" x14ac:dyDescent="0.25">
      <c r="A480" s="5" t="s">
        <v>978</v>
      </c>
      <c r="B480" s="22" t="s">
        <v>716</v>
      </c>
      <c r="C480" s="22" t="s">
        <v>787</v>
      </c>
      <c r="D480" s="18" t="s">
        <v>979</v>
      </c>
      <c r="E480" s="24" t="str">
        <f t="shared" si="43"/>
        <v>S0300961E001</v>
      </c>
      <c r="F480" s="13">
        <v>44382</v>
      </c>
      <c r="G480" s="13">
        <f t="shared" si="48"/>
        <v>44388</v>
      </c>
      <c r="H480" s="7">
        <f t="shared" ca="1" si="44"/>
        <v>-715</v>
      </c>
      <c r="I480" s="13">
        <v>44388</v>
      </c>
      <c r="J480" s="9">
        <f t="shared" ca="1" si="45"/>
        <v>0</v>
      </c>
      <c r="K480" s="10"/>
      <c r="L480" s="10" t="str">
        <f t="shared" si="46"/>
        <v>Accepted</v>
      </c>
      <c r="M480" s="11">
        <v>1</v>
      </c>
      <c r="N480" s="10" t="s">
        <v>18</v>
      </c>
      <c r="O480" s="42">
        <f t="shared" si="47"/>
        <v>15000</v>
      </c>
      <c r="P480" s="10" t="s">
        <v>19</v>
      </c>
    </row>
    <row r="481" spans="1:16" s="22" customFormat="1" ht="14.25" customHeight="1" x14ac:dyDescent="0.25">
      <c r="A481" s="5" t="s">
        <v>980</v>
      </c>
      <c r="B481" s="22" t="s">
        <v>716</v>
      </c>
      <c r="C481" s="22" t="s">
        <v>787</v>
      </c>
      <c r="D481" s="18" t="s">
        <v>981</v>
      </c>
      <c r="E481" s="24" t="str">
        <f t="shared" si="43"/>
        <v>S0300962E004</v>
      </c>
      <c r="F481" s="13">
        <v>44382</v>
      </c>
      <c r="G481" s="13">
        <f t="shared" si="48"/>
        <v>44388</v>
      </c>
      <c r="H481" s="7">
        <f t="shared" ca="1" si="44"/>
        <v>-715</v>
      </c>
      <c r="I481" s="13">
        <v>44388</v>
      </c>
      <c r="J481" s="9">
        <f t="shared" ca="1" si="45"/>
        <v>0</v>
      </c>
      <c r="K481" s="10"/>
      <c r="L481" s="10" t="str">
        <f t="shared" si="46"/>
        <v>Accepted</v>
      </c>
      <c r="M481" s="11">
        <v>1</v>
      </c>
      <c r="N481" s="10" t="s">
        <v>18</v>
      </c>
      <c r="O481" s="42">
        <f t="shared" si="47"/>
        <v>15000</v>
      </c>
      <c r="P481" s="10" t="s">
        <v>19</v>
      </c>
    </row>
    <row r="482" spans="1:16" s="22" customFormat="1" ht="14.25" customHeight="1" x14ac:dyDescent="0.25">
      <c r="A482" s="5" t="s">
        <v>1014</v>
      </c>
      <c r="B482" s="22" t="s">
        <v>716</v>
      </c>
      <c r="C482" s="22" t="s">
        <v>992</v>
      </c>
      <c r="D482" s="18" t="s">
        <v>1015</v>
      </c>
      <c r="E482" s="24" t="str">
        <f t="shared" si="43"/>
        <v>S0501031E006</v>
      </c>
      <c r="F482" s="13">
        <v>44382</v>
      </c>
      <c r="G482" s="13">
        <f t="shared" si="48"/>
        <v>44388</v>
      </c>
      <c r="H482" s="7">
        <f t="shared" ca="1" si="44"/>
        <v>-715</v>
      </c>
      <c r="I482" s="13">
        <v>44388</v>
      </c>
      <c r="J482" s="9">
        <f t="shared" ca="1" si="45"/>
        <v>0</v>
      </c>
      <c r="K482" s="10"/>
      <c r="L482" s="10" t="str">
        <f t="shared" si="46"/>
        <v>Accepted</v>
      </c>
      <c r="M482" s="11">
        <v>0</v>
      </c>
      <c r="N482" s="10" t="s">
        <v>18</v>
      </c>
      <c r="O482" s="42">
        <f t="shared" si="47"/>
        <v>15000</v>
      </c>
      <c r="P482" s="10" t="s">
        <v>19</v>
      </c>
    </row>
    <row r="483" spans="1:16" s="22" customFormat="1" ht="14.25" customHeight="1" x14ac:dyDescent="0.25">
      <c r="A483" s="5" t="s">
        <v>1016</v>
      </c>
      <c r="B483" s="22" t="s">
        <v>716</v>
      </c>
      <c r="C483" s="22" t="s">
        <v>992</v>
      </c>
      <c r="D483" s="18" t="s">
        <v>1017</v>
      </c>
      <c r="E483" s="24" t="str">
        <f t="shared" si="43"/>
        <v>S0501031E007</v>
      </c>
      <c r="F483" s="13">
        <v>44382</v>
      </c>
      <c r="G483" s="13">
        <f t="shared" si="48"/>
        <v>44388</v>
      </c>
      <c r="H483" s="7">
        <f t="shared" ca="1" si="44"/>
        <v>-715</v>
      </c>
      <c r="I483" s="13">
        <v>44388</v>
      </c>
      <c r="J483" s="9">
        <f t="shared" ca="1" si="45"/>
        <v>0</v>
      </c>
      <c r="K483" s="10"/>
      <c r="L483" s="10" t="str">
        <f t="shared" si="46"/>
        <v>Accepted</v>
      </c>
      <c r="M483" s="11">
        <v>0</v>
      </c>
      <c r="N483" s="10" t="s">
        <v>18</v>
      </c>
      <c r="O483" s="42">
        <f t="shared" si="47"/>
        <v>15000</v>
      </c>
      <c r="P483" s="10" t="s">
        <v>19</v>
      </c>
    </row>
    <row r="484" spans="1:16" s="22" customFormat="1" ht="14.25" customHeight="1" x14ac:dyDescent="0.25">
      <c r="A484" s="5" t="s">
        <v>1018</v>
      </c>
      <c r="B484" s="22" t="s">
        <v>716</v>
      </c>
      <c r="C484" s="22" t="s">
        <v>992</v>
      </c>
      <c r="D484" s="18" t="s">
        <v>1019</v>
      </c>
      <c r="E484" s="24" t="str">
        <f t="shared" si="43"/>
        <v>S0501031E008</v>
      </c>
      <c r="F484" s="13">
        <v>44382</v>
      </c>
      <c r="G484" s="13">
        <f t="shared" si="48"/>
        <v>44388</v>
      </c>
      <c r="H484" s="7">
        <f t="shared" ca="1" si="44"/>
        <v>-715</v>
      </c>
      <c r="I484" s="13">
        <v>44388</v>
      </c>
      <c r="J484" s="9">
        <f t="shared" ca="1" si="45"/>
        <v>0</v>
      </c>
      <c r="K484" s="10"/>
      <c r="L484" s="10" t="str">
        <f t="shared" si="46"/>
        <v>Accepted</v>
      </c>
      <c r="M484" s="11">
        <v>0</v>
      </c>
      <c r="N484" s="10" t="s">
        <v>18</v>
      </c>
      <c r="O484" s="42">
        <f t="shared" si="47"/>
        <v>15000</v>
      </c>
      <c r="P484" s="10" t="s">
        <v>19</v>
      </c>
    </row>
    <row r="485" spans="1:16" s="22" customFormat="1" ht="14.25" customHeight="1" x14ac:dyDescent="0.25">
      <c r="A485" s="5" t="s">
        <v>1020</v>
      </c>
      <c r="B485" s="22" t="s">
        <v>716</v>
      </c>
      <c r="C485" s="22" t="s">
        <v>992</v>
      </c>
      <c r="D485" s="18" t="s">
        <v>1021</v>
      </c>
      <c r="E485" s="24" t="str">
        <f t="shared" si="43"/>
        <v>S0501031E009</v>
      </c>
      <c r="F485" s="13">
        <v>44382</v>
      </c>
      <c r="G485" s="13">
        <f t="shared" si="48"/>
        <v>44388</v>
      </c>
      <c r="H485" s="7">
        <f t="shared" ca="1" si="44"/>
        <v>-715</v>
      </c>
      <c r="I485" s="13">
        <v>44388</v>
      </c>
      <c r="J485" s="9">
        <f t="shared" ca="1" si="45"/>
        <v>0</v>
      </c>
      <c r="K485" s="10"/>
      <c r="L485" s="10" t="str">
        <f t="shared" si="46"/>
        <v>Accepted</v>
      </c>
      <c r="M485" s="11">
        <v>0</v>
      </c>
      <c r="N485" s="10" t="s">
        <v>18</v>
      </c>
      <c r="O485" s="42">
        <f t="shared" si="47"/>
        <v>15000</v>
      </c>
      <c r="P485" s="10" t="s">
        <v>19</v>
      </c>
    </row>
    <row r="486" spans="1:16" s="22" customFormat="1" ht="14.25" customHeight="1" x14ac:dyDescent="0.25">
      <c r="A486" s="5" t="s">
        <v>1022</v>
      </c>
      <c r="B486" s="22" t="s">
        <v>716</v>
      </c>
      <c r="C486" s="22" t="s">
        <v>992</v>
      </c>
      <c r="D486" s="18" t="s">
        <v>1023</v>
      </c>
      <c r="E486" s="24" t="str">
        <f t="shared" si="43"/>
        <v>S0501031E010</v>
      </c>
      <c r="F486" s="13">
        <v>44382</v>
      </c>
      <c r="G486" s="13">
        <f t="shared" si="48"/>
        <v>44388</v>
      </c>
      <c r="H486" s="7">
        <f t="shared" ca="1" si="44"/>
        <v>-715</v>
      </c>
      <c r="I486" s="13">
        <v>44388</v>
      </c>
      <c r="J486" s="9">
        <f t="shared" ca="1" si="45"/>
        <v>0</v>
      </c>
      <c r="K486" s="10"/>
      <c r="L486" s="10" t="str">
        <f t="shared" si="46"/>
        <v>Accepted</v>
      </c>
      <c r="M486" s="11">
        <v>0</v>
      </c>
      <c r="N486" s="10" t="s">
        <v>18</v>
      </c>
      <c r="O486" s="42">
        <f t="shared" si="47"/>
        <v>15000</v>
      </c>
      <c r="P486" s="10" t="s">
        <v>19</v>
      </c>
    </row>
    <row r="487" spans="1:16" s="22" customFormat="1" ht="14.25" customHeight="1" x14ac:dyDescent="0.25">
      <c r="A487" s="5" t="s">
        <v>1036</v>
      </c>
      <c r="B487" s="22" t="s">
        <v>716</v>
      </c>
      <c r="C487" s="22" t="s">
        <v>992</v>
      </c>
      <c r="D487" s="18" t="s">
        <v>1037</v>
      </c>
      <c r="E487" s="24" t="str">
        <f t="shared" si="43"/>
        <v>S0501051E001</v>
      </c>
      <c r="F487" s="13">
        <v>44382</v>
      </c>
      <c r="G487" s="13">
        <f t="shared" si="48"/>
        <v>44388</v>
      </c>
      <c r="H487" s="7">
        <f t="shared" ca="1" si="44"/>
        <v>-715</v>
      </c>
      <c r="I487" s="13">
        <v>44388</v>
      </c>
      <c r="J487" s="9">
        <f t="shared" ca="1" si="45"/>
        <v>0</v>
      </c>
      <c r="K487" s="10"/>
      <c r="L487" s="10" t="str">
        <f t="shared" si="46"/>
        <v>Accepted</v>
      </c>
      <c r="M487" s="11">
        <v>0</v>
      </c>
      <c r="N487" s="10" t="s">
        <v>18</v>
      </c>
      <c r="O487" s="42">
        <f t="shared" si="47"/>
        <v>15000</v>
      </c>
      <c r="P487" s="10" t="s">
        <v>19</v>
      </c>
    </row>
    <row r="488" spans="1:16" s="22" customFormat="1" ht="14.25" customHeight="1" x14ac:dyDescent="0.25">
      <c r="A488" s="5" t="s">
        <v>1038</v>
      </c>
      <c r="B488" s="22" t="s">
        <v>716</v>
      </c>
      <c r="C488" s="22" t="s">
        <v>992</v>
      </c>
      <c r="D488" s="18" t="s">
        <v>1039</v>
      </c>
      <c r="E488" s="24" t="str">
        <f t="shared" si="43"/>
        <v>S0501052E001</v>
      </c>
      <c r="F488" s="13">
        <v>44382</v>
      </c>
      <c r="G488" s="13">
        <f t="shared" si="48"/>
        <v>44388</v>
      </c>
      <c r="H488" s="7">
        <f t="shared" ca="1" si="44"/>
        <v>-715</v>
      </c>
      <c r="I488" s="13">
        <v>44388</v>
      </c>
      <c r="J488" s="9">
        <f t="shared" ca="1" si="45"/>
        <v>0</v>
      </c>
      <c r="K488" s="10"/>
      <c r="L488" s="10" t="str">
        <f t="shared" si="46"/>
        <v>Accepted</v>
      </c>
      <c r="M488" s="11">
        <v>0</v>
      </c>
      <c r="N488" s="10" t="s">
        <v>18</v>
      </c>
      <c r="O488" s="42">
        <f t="shared" si="47"/>
        <v>15000</v>
      </c>
      <c r="P488" s="10" t="s">
        <v>19</v>
      </c>
    </row>
    <row r="489" spans="1:16" s="22" customFormat="1" ht="14.25" customHeight="1" x14ac:dyDescent="0.25">
      <c r="A489" s="5" t="s">
        <v>1040</v>
      </c>
      <c r="B489" s="22" t="s">
        <v>716</v>
      </c>
      <c r="C489" s="22" t="s">
        <v>992</v>
      </c>
      <c r="D489" s="18" t="s">
        <v>1041</v>
      </c>
      <c r="E489" s="24" t="str">
        <f t="shared" si="43"/>
        <v>S0501052E002</v>
      </c>
      <c r="F489" s="13">
        <v>44382</v>
      </c>
      <c r="G489" s="13">
        <f t="shared" si="48"/>
        <v>44388</v>
      </c>
      <c r="H489" s="7">
        <f t="shared" ca="1" si="44"/>
        <v>-715</v>
      </c>
      <c r="I489" s="13">
        <v>44388</v>
      </c>
      <c r="J489" s="9">
        <f t="shared" ca="1" si="45"/>
        <v>0</v>
      </c>
      <c r="K489" s="10"/>
      <c r="L489" s="10" t="str">
        <f t="shared" si="46"/>
        <v>Accepted</v>
      </c>
      <c r="M489" s="11">
        <v>0</v>
      </c>
      <c r="N489" s="10" t="s">
        <v>18</v>
      </c>
      <c r="O489" s="42">
        <f t="shared" si="47"/>
        <v>15000</v>
      </c>
      <c r="P489" s="10" t="s">
        <v>19</v>
      </c>
    </row>
    <row r="490" spans="1:16" s="22" customFormat="1" ht="14.25" customHeight="1" x14ac:dyDescent="0.25">
      <c r="A490" s="5" t="s">
        <v>1042</v>
      </c>
      <c r="B490" s="22" t="s">
        <v>716</v>
      </c>
      <c r="C490" s="22" t="s">
        <v>1043</v>
      </c>
      <c r="D490" s="18" t="s">
        <v>1044</v>
      </c>
      <c r="E490" s="24" t="str">
        <f t="shared" si="43"/>
        <v>S0501101E002</v>
      </c>
      <c r="F490" s="13">
        <v>44382</v>
      </c>
      <c r="G490" s="13">
        <f t="shared" si="48"/>
        <v>44388</v>
      </c>
      <c r="H490" s="7">
        <f t="shared" ca="1" si="44"/>
        <v>-715</v>
      </c>
      <c r="I490" s="13">
        <v>44388</v>
      </c>
      <c r="J490" s="9">
        <f t="shared" ca="1" si="45"/>
        <v>0</v>
      </c>
      <c r="K490" s="10"/>
      <c r="L490" s="10" t="str">
        <f t="shared" si="46"/>
        <v>Accepted</v>
      </c>
      <c r="M490" s="11">
        <v>0</v>
      </c>
      <c r="N490" s="10" t="s">
        <v>18</v>
      </c>
      <c r="O490" s="42">
        <f t="shared" si="47"/>
        <v>15000</v>
      </c>
      <c r="P490" s="10" t="s">
        <v>19</v>
      </c>
    </row>
    <row r="491" spans="1:16" s="22" customFormat="1" ht="14.25" customHeight="1" x14ac:dyDescent="0.25">
      <c r="A491" s="5" t="s">
        <v>1045</v>
      </c>
      <c r="B491" s="22" t="s">
        <v>716</v>
      </c>
      <c r="C491" s="22" t="s">
        <v>1043</v>
      </c>
      <c r="D491" s="18" t="s">
        <v>1046</v>
      </c>
      <c r="E491" s="24" t="str">
        <f t="shared" si="43"/>
        <v>S0501101E003</v>
      </c>
      <c r="F491" s="13">
        <v>44382</v>
      </c>
      <c r="G491" s="13">
        <f t="shared" si="48"/>
        <v>44388</v>
      </c>
      <c r="H491" s="7">
        <f t="shared" ca="1" si="44"/>
        <v>-715</v>
      </c>
      <c r="I491" s="13">
        <v>44388</v>
      </c>
      <c r="J491" s="9">
        <f t="shared" ca="1" si="45"/>
        <v>0</v>
      </c>
      <c r="K491" s="10"/>
      <c r="L491" s="10" t="str">
        <f t="shared" si="46"/>
        <v>Accepted</v>
      </c>
      <c r="M491" s="11">
        <v>0</v>
      </c>
      <c r="N491" s="10" t="s">
        <v>18</v>
      </c>
      <c r="O491" s="42">
        <f t="shared" si="47"/>
        <v>15000</v>
      </c>
      <c r="P491" s="10" t="s">
        <v>19</v>
      </c>
    </row>
    <row r="492" spans="1:16" s="22" customFormat="1" ht="14.25" customHeight="1" x14ac:dyDescent="0.25">
      <c r="A492" s="5" t="s">
        <v>1047</v>
      </c>
      <c r="B492" s="22" t="s">
        <v>716</v>
      </c>
      <c r="C492" s="22" t="s">
        <v>1043</v>
      </c>
      <c r="D492" s="18" t="s">
        <v>1048</v>
      </c>
      <c r="E492" s="24" t="str">
        <f t="shared" si="43"/>
        <v>S0501101E004</v>
      </c>
      <c r="F492" s="13">
        <v>44382</v>
      </c>
      <c r="G492" s="13">
        <f t="shared" si="48"/>
        <v>44388</v>
      </c>
      <c r="H492" s="7">
        <f t="shared" ca="1" si="44"/>
        <v>-715</v>
      </c>
      <c r="I492" s="13">
        <v>44388</v>
      </c>
      <c r="J492" s="9">
        <f t="shared" ca="1" si="45"/>
        <v>0</v>
      </c>
      <c r="K492" s="10"/>
      <c r="L492" s="10" t="str">
        <f t="shared" si="46"/>
        <v>Accepted</v>
      </c>
      <c r="M492" s="11">
        <v>0</v>
      </c>
      <c r="N492" s="10" t="s">
        <v>18</v>
      </c>
      <c r="O492" s="42">
        <f t="shared" si="47"/>
        <v>15000</v>
      </c>
      <c r="P492" s="10" t="s">
        <v>19</v>
      </c>
    </row>
    <row r="493" spans="1:16" s="22" customFormat="1" ht="14.25" customHeight="1" x14ac:dyDescent="0.25">
      <c r="A493" s="5" t="s">
        <v>1049</v>
      </c>
      <c r="B493" s="22" t="s">
        <v>716</v>
      </c>
      <c r="C493" s="22" t="s">
        <v>1043</v>
      </c>
      <c r="D493" s="18" t="s">
        <v>1050</v>
      </c>
      <c r="E493" s="24" t="str">
        <f t="shared" si="43"/>
        <v>S0501101E005</v>
      </c>
      <c r="F493" s="13">
        <v>44382</v>
      </c>
      <c r="G493" s="13">
        <f t="shared" si="48"/>
        <v>44388</v>
      </c>
      <c r="H493" s="7">
        <f t="shared" ca="1" si="44"/>
        <v>-715</v>
      </c>
      <c r="I493" s="13">
        <v>44388</v>
      </c>
      <c r="J493" s="9">
        <f t="shared" ca="1" si="45"/>
        <v>0</v>
      </c>
      <c r="K493" s="10"/>
      <c r="L493" s="10" t="str">
        <f t="shared" si="46"/>
        <v>Accepted</v>
      </c>
      <c r="M493" s="11">
        <v>0</v>
      </c>
      <c r="N493" s="10" t="s">
        <v>18</v>
      </c>
      <c r="O493" s="42">
        <f t="shared" si="47"/>
        <v>15000</v>
      </c>
      <c r="P493" s="10" t="s">
        <v>19</v>
      </c>
    </row>
    <row r="494" spans="1:16" s="22" customFormat="1" ht="14.25" customHeight="1" x14ac:dyDescent="0.25">
      <c r="A494" s="5" t="s">
        <v>1051</v>
      </c>
      <c r="B494" s="22" t="s">
        <v>716</v>
      </c>
      <c r="C494" s="22" t="s">
        <v>1043</v>
      </c>
      <c r="D494" s="18" t="s">
        <v>1052</v>
      </c>
      <c r="E494" s="24" t="str">
        <f t="shared" si="43"/>
        <v>S0501112E001</v>
      </c>
      <c r="F494" s="13">
        <v>44382</v>
      </c>
      <c r="G494" s="13">
        <f t="shared" si="48"/>
        <v>44388</v>
      </c>
      <c r="H494" s="7">
        <f t="shared" ca="1" si="44"/>
        <v>-715</v>
      </c>
      <c r="I494" s="13">
        <v>44388</v>
      </c>
      <c r="J494" s="9">
        <f t="shared" ca="1" si="45"/>
        <v>0</v>
      </c>
      <c r="K494" s="10"/>
      <c r="L494" s="10" t="str">
        <f t="shared" si="46"/>
        <v>Accepted</v>
      </c>
      <c r="M494" s="11">
        <v>0</v>
      </c>
      <c r="N494" s="10" t="s">
        <v>18</v>
      </c>
      <c r="O494" s="42">
        <f t="shared" si="47"/>
        <v>15000</v>
      </c>
      <c r="P494" s="10" t="s">
        <v>19</v>
      </c>
    </row>
    <row r="495" spans="1:16" s="22" customFormat="1" ht="14.25" customHeight="1" x14ac:dyDescent="0.25">
      <c r="A495" s="5" t="s">
        <v>1107</v>
      </c>
      <c r="B495" s="22" t="s">
        <v>716</v>
      </c>
      <c r="C495" s="22" t="s">
        <v>2505</v>
      </c>
      <c r="D495" s="18" t="s">
        <v>1108</v>
      </c>
      <c r="E495" s="24" t="str">
        <f t="shared" si="43"/>
        <v>S0490101E006</v>
      </c>
      <c r="F495" s="13">
        <v>44389</v>
      </c>
      <c r="G495" s="13">
        <f t="shared" si="48"/>
        <v>44395</v>
      </c>
      <c r="H495" s="7">
        <f t="shared" ca="1" si="44"/>
        <v>-708</v>
      </c>
      <c r="I495" s="13">
        <v>44391</v>
      </c>
      <c r="J495" s="9">
        <f t="shared" ca="1" si="45"/>
        <v>714</v>
      </c>
      <c r="K495" s="10" t="s">
        <v>771</v>
      </c>
      <c r="L495" s="10" t="str">
        <f t="shared" si="46"/>
        <v>Rejected</v>
      </c>
      <c r="M495" s="11">
        <v>1</v>
      </c>
      <c r="N495" s="10" t="s">
        <v>18</v>
      </c>
      <c r="O495" s="42">
        <f t="shared" si="47"/>
        <v>0</v>
      </c>
      <c r="P495" s="10" t="s">
        <v>2485</v>
      </c>
    </row>
    <row r="496" spans="1:16" s="22" customFormat="1" ht="14.25" customHeight="1" x14ac:dyDescent="0.25">
      <c r="A496" s="5" t="s">
        <v>1105</v>
      </c>
      <c r="B496" s="22" t="s">
        <v>716</v>
      </c>
      <c r="C496" s="22" t="s">
        <v>787</v>
      </c>
      <c r="D496" s="18" t="s">
        <v>1106</v>
      </c>
      <c r="E496" s="24" t="str">
        <f t="shared" si="43"/>
        <v>S0441723E001</v>
      </c>
      <c r="F496" s="13">
        <v>44389</v>
      </c>
      <c r="G496" s="13">
        <f t="shared" si="48"/>
        <v>44395</v>
      </c>
      <c r="H496" s="7">
        <f t="shared" ca="1" si="44"/>
        <v>-708</v>
      </c>
      <c r="I496" s="13">
        <v>44392</v>
      </c>
      <c r="J496" s="9">
        <f t="shared" ca="1" si="45"/>
        <v>714</v>
      </c>
      <c r="K496" s="10" t="s">
        <v>771</v>
      </c>
      <c r="L496" s="10" t="str">
        <f t="shared" si="46"/>
        <v>Rejected</v>
      </c>
      <c r="M496" s="11">
        <v>1</v>
      </c>
      <c r="N496" s="10" t="s">
        <v>30</v>
      </c>
      <c r="O496" s="42">
        <f t="shared" si="47"/>
        <v>0</v>
      </c>
      <c r="P496" s="10" t="s">
        <v>2485</v>
      </c>
    </row>
    <row r="497" spans="1:16" s="22" customFormat="1" ht="14.25" customHeight="1" x14ac:dyDescent="0.25">
      <c r="A497" s="5" t="s">
        <v>996</v>
      </c>
      <c r="B497" s="22" t="s">
        <v>716</v>
      </c>
      <c r="C497" s="22" t="s">
        <v>992</v>
      </c>
      <c r="D497" s="18" t="s">
        <v>997</v>
      </c>
      <c r="E497" s="24" t="str">
        <f t="shared" si="43"/>
        <v>S0501011E003</v>
      </c>
      <c r="F497" s="13">
        <v>44382</v>
      </c>
      <c r="G497" s="13">
        <f t="shared" si="48"/>
        <v>44388</v>
      </c>
      <c r="H497" s="7">
        <f t="shared" ca="1" si="44"/>
        <v>-715</v>
      </c>
      <c r="I497" s="13">
        <v>44394</v>
      </c>
      <c r="J497" s="9">
        <f t="shared" ca="1" si="45"/>
        <v>0</v>
      </c>
      <c r="K497" s="10"/>
      <c r="L497" s="10" t="str">
        <f t="shared" si="46"/>
        <v>Accepted</v>
      </c>
      <c r="M497" s="11">
        <v>0</v>
      </c>
      <c r="N497" s="10" t="s">
        <v>30</v>
      </c>
      <c r="O497" s="42">
        <f t="shared" si="47"/>
        <v>18000</v>
      </c>
      <c r="P497" s="10" t="s">
        <v>19</v>
      </c>
    </row>
    <row r="498" spans="1:16" s="22" customFormat="1" ht="14.25" customHeight="1" x14ac:dyDescent="0.25">
      <c r="A498" s="5" t="s">
        <v>1002</v>
      </c>
      <c r="B498" s="22" t="s">
        <v>716</v>
      </c>
      <c r="C498" s="22" t="s">
        <v>992</v>
      </c>
      <c r="D498" s="18" t="s">
        <v>1003</v>
      </c>
      <c r="E498" s="24" t="str">
        <f t="shared" si="43"/>
        <v>S0501011E006</v>
      </c>
      <c r="F498" s="13">
        <v>44382</v>
      </c>
      <c r="G498" s="13">
        <f t="shared" si="48"/>
        <v>44388</v>
      </c>
      <c r="H498" s="7">
        <f t="shared" ca="1" si="44"/>
        <v>-715</v>
      </c>
      <c r="I498" s="13">
        <v>44394</v>
      </c>
      <c r="J498" s="9">
        <f t="shared" ca="1" si="45"/>
        <v>0</v>
      </c>
      <c r="K498" s="10"/>
      <c r="L498" s="10" t="str">
        <f t="shared" si="46"/>
        <v>Accepted</v>
      </c>
      <c r="M498" s="11">
        <v>0</v>
      </c>
      <c r="N498" s="10" t="s">
        <v>30</v>
      </c>
      <c r="O498" s="42">
        <f t="shared" si="47"/>
        <v>18000</v>
      </c>
      <c r="P498" s="10" t="s">
        <v>19</v>
      </c>
    </row>
    <row r="499" spans="1:16" s="22" customFormat="1" ht="14.25" customHeight="1" x14ac:dyDescent="0.25">
      <c r="A499" s="5" t="s">
        <v>1004</v>
      </c>
      <c r="B499" s="22" t="s">
        <v>716</v>
      </c>
      <c r="C499" s="22" t="s">
        <v>992</v>
      </c>
      <c r="D499" s="18" t="s">
        <v>1005</v>
      </c>
      <c r="E499" s="24" t="str">
        <f t="shared" si="43"/>
        <v>S0501011E007</v>
      </c>
      <c r="F499" s="13">
        <v>44382</v>
      </c>
      <c r="G499" s="13">
        <f t="shared" si="48"/>
        <v>44388</v>
      </c>
      <c r="H499" s="7">
        <f t="shared" ca="1" si="44"/>
        <v>-715</v>
      </c>
      <c r="I499" s="13">
        <v>44394</v>
      </c>
      <c r="J499" s="9">
        <f t="shared" ca="1" si="45"/>
        <v>0</v>
      </c>
      <c r="K499" s="10"/>
      <c r="L499" s="10" t="str">
        <f t="shared" si="46"/>
        <v>Accepted</v>
      </c>
      <c r="M499" s="11">
        <v>0</v>
      </c>
      <c r="N499" s="10" t="s">
        <v>30</v>
      </c>
      <c r="O499" s="42">
        <f t="shared" si="47"/>
        <v>18000</v>
      </c>
      <c r="P499" s="10" t="s">
        <v>19</v>
      </c>
    </row>
    <row r="500" spans="1:16" s="22" customFormat="1" ht="14.25" customHeight="1" x14ac:dyDescent="0.25">
      <c r="A500" s="5" t="s">
        <v>1024</v>
      </c>
      <c r="B500" s="22" t="s">
        <v>716</v>
      </c>
      <c r="C500" s="22" t="s">
        <v>992</v>
      </c>
      <c r="D500" s="18" t="s">
        <v>1025</v>
      </c>
      <c r="E500" s="24" t="str">
        <f t="shared" si="43"/>
        <v>S0501041E001</v>
      </c>
      <c r="F500" s="13">
        <v>44382</v>
      </c>
      <c r="G500" s="13">
        <f t="shared" si="48"/>
        <v>44388</v>
      </c>
      <c r="H500" s="7">
        <f t="shared" ca="1" si="44"/>
        <v>-715</v>
      </c>
      <c r="I500" s="13">
        <v>44394</v>
      </c>
      <c r="J500" s="9">
        <f t="shared" ca="1" si="45"/>
        <v>0</v>
      </c>
      <c r="K500" s="10"/>
      <c r="L500" s="10" t="str">
        <f t="shared" si="46"/>
        <v>Accepted</v>
      </c>
      <c r="M500" s="11">
        <v>0</v>
      </c>
      <c r="N500" s="10" t="s">
        <v>30</v>
      </c>
      <c r="O500" s="42">
        <f t="shared" si="47"/>
        <v>18000</v>
      </c>
      <c r="P500" s="10" t="s">
        <v>19</v>
      </c>
    </row>
    <row r="501" spans="1:16" s="22" customFormat="1" ht="14.25" customHeight="1" x14ac:dyDescent="0.25">
      <c r="A501" s="5" t="s">
        <v>1026</v>
      </c>
      <c r="B501" s="22" t="s">
        <v>716</v>
      </c>
      <c r="C501" s="22" t="s">
        <v>992</v>
      </c>
      <c r="D501" s="18" t="s">
        <v>1027</v>
      </c>
      <c r="E501" s="24" t="str">
        <f t="shared" si="43"/>
        <v>S0501041E002</v>
      </c>
      <c r="F501" s="13">
        <v>44382</v>
      </c>
      <c r="G501" s="13">
        <f t="shared" si="48"/>
        <v>44388</v>
      </c>
      <c r="H501" s="7">
        <f t="shared" ca="1" si="44"/>
        <v>-715</v>
      </c>
      <c r="I501" s="13">
        <v>44394</v>
      </c>
      <c r="J501" s="9">
        <f t="shared" ca="1" si="45"/>
        <v>0</v>
      </c>
      <c r="K501" s="10"/>
      <c r="L501" s="10" t="str">
        <f t="shared" si="46"/>
        <v>Accepted</v>
      </c>
      <c r="M501" s="11">
        <v>0</v>
      </c>
      <c r="N501" s="10" t="s">
        <v>30</v>
      </c>
      <c r="O501" s="42">
        <f t="shared" si="47"/>
        <v>18000</v>
      </c>
      <c r="P501" s="10" t="s">
        <v>19</v>
      </c>
    </row>
    <row r="502" spans="1:16" s="22" customFormat="1" ht="14.25" customHeight="1" x14ac:dyDescent="0.25">
      <c r="A502" s="5" t="s">
        <v>1028</v>
      </c>
      <c r="B502" s="22" t="s">
        <v>716</v>
      </c>
      <c r="C502" s="22" t="s">
        <v>992</v>
      </c>
      <c r="D502" s="18" t="s">
        <v>1029</v>
      </c>
      <c r="E502" s="24" t="str">
        <f t="shared" si="43"/>
        <v>S0501042E001</v>
      </c>
      <c r="F502" s="13">
        <v>44382</v>
      </c>
      <c r="G502" s="13">
        <f t="shared" si="48"/>
        <v>44388</v>
      </c>
      <c r="H502" s="7">
        <f t="shared" ca="1" si="44"/>
        <v>-715</v>
      </c>
      <c r="I502" s="13">
        <v>44394</v>
      </c>
      <c r="J502" s="9">
        <f t="shared" ca="1" si="45"/>
        <v>0</v>
      </c>
      <c r="K502" s="10"/>
      <c r="L502" s="10" t="str">
        <f t="shared" si="46"/>
        <v>Accepted</v>
      </c>
      <c r="M502" s="11">
        <v>0</v>
      </c>
      <c r="N502" s="10" t="s">
        <v>30</v>
      </c>
      <c r="O502" s="42">
        <f t="shared" si="47"/>
        <v>18000</v>
      </c>
      <c r="P502" s="10" t="s">
        <v>19</v>
      </c>
    </row>
    <row r="503" spans="1:16" s="22" customFormat="1" ht="14.25" customHeight="1" x14ac:dyDescent="0.25">
      <c r="A503" s="5" t="s">
        <v>1030</v>
      </c>
      <c r="B503" s="22" t="s">
        <v>716</v>
      </c>
      <c r="C503" s="22" t="s">
        <v>992</v>
      </c>
      <c r="D503" s="18" t="s">
        <v>1031</v>
      </c>
      <c r="E503" s="24" t="str">
        <f t="shared" si="43"/>
        <v>S0501042E002</v>
      </c>
      <c r="F503" s="13">
        <v>44382</v>
      </c>
      <c r="G503" s="13">
        <f t="shared" si="48"/>
        <v>44388</v>
      </c>
      <c r="H503" s="7">
        <f t="shared" ca="1" si="44"/>
        <v>-715</v>
      </c>
      <c r="I503" s="13">
        <v>44394</v>
      </c>
      <c r="J503" s="9">
        <f t="shared" ca="1" si="45"/>
        <v>0</v>
      </c>
      <c r="K503" s="10"/>
      <c r="L503" s="10" t="str">
        <f t="shared" si="46"/>
        <v>Accepted</v>
      </c>
      <c r="M503" s="11">
        <v>0</v>
      </c>
      <c r="N503" s="10" t="s">
        <v>30</v>
      </c>
      <c r="O503" s="42">
        <f t="shared" si="47"/>
        <v>18000</v>
      </c>
      <c r="P503" s="10" t="s">
        <v>19</v>
      </c>
    </row>
    <row r="504" spans="1:16" s="22" customFormat="1" ht="14.25" customHeight="1" x14ac:dyDescent="0.25">
      <c r="A504" s="5" t="s">
        <v>1032</v>
      </c>
      <c r="B504" s="22" t="s">
        <v>716</v>
      </c>
      <c r="C504" s="22" t="s">
        <v>992</v>
      </c>
      <c r="D504" s="18" t="s">
        <v>1033</v>
      </c>
      <c r="E504" s="24" t="str">
        <f t="shared" si="43"/>
        <v>S0501042E003</v>
      </c>
      <c r="F504" s="13">
        <v>44382</v>
      </c>
      <c r="G504" s="13">
        <f t="shared" si="48"/>
        <v>44388</v>
      </c>
      <c r="H504" s="7">
        <f t="shared" ca="1" si="44"/>
        <v>-715</v>
      </c>
      <c r="I504" s="13">
        <v>44394</v>
      </c>
      <c r="J504" s="9">
        <f t="shared" ca="1" si="45"/>
        <v>721</v>
      </c>
      <c r="K504" s="10" t="s">
        <v>771</v>
      </c>
      <c r="L504" s="10" t="str">
        <f t="shared" si="46"/>
        <v>Rejected</v>
      </c>
      <c r="M504" s="11">
        <v>1</v>
      </c>
      <c r="N504" s="10" t="s">
        <v>30</v>
      </c>
      <c r="O504" s="42">
        <f t="shared" si="47"/>
        <v>0</v>
      </c>
      <c r="P504" s="10" t="s">
        <v>2485</v>
      </c>
    </row>
    <row r="505" spans="1:16" s="22" customFormat="1" ht="14.25" customHeight="1" x14ac:dyDescent="0.25">
      <c r="A505" s="5" t="s">
        <v>1034</v>
      </c>
      <c r="B505" s="22" t="s">
        <v>716</v>
      </c>
      <c r="C505" s="22" t="s">
        <v>992</v>
      </c>
      <c r="D505" s="18" t="s">
        <v>1035</v>
      </c>
      <c r="E505" s="24" t="str">
        <f t="shared" si="43"/>
        <v>S0501042E004</v>
      </c>
      <c r="F505" s="13">
        <v>44382</v>
      </c>
      <c r="G505" s="13">
        <f t="shared" si="48"/>
        <v>44388</v>
      </c>
      <c r="H505" s="7">
        <f t="shared" ca="1" si="44"/>
        <v>-715</v>
      </c>
      <c r="I505" s="13">
        <v>44394</v>
      </c>
      <c r="J505" s="9">
        <f t="shared" ca="1" si="45"/>
        <v>721</v>
      </c>
      <c r="K505" s="10" t="s">
        <v>771</v>
      </c>
      <c r="L505" s="10" t="str">
        <f t="shared" si="46"/>
        <v>Rejected</v>
      </c>
      <c r="M505" s="11">
        <v>1</v>
      </c>
      <c r="N505" s="10" t="s">
        <v>30</v>
      </c>
      <c r="O505" s="42">
        <f t="shared" si="47"/>
        <v>0</v>
      </c>
      <c r="P505" s="10" t="s">
        <v>2485</v>
      </c>
    </row>
    <row r="506" spans="1:16" s="22" customFormat="1" ht="14.25" customHeight="1" x14ac:dyDescent="0.25">
      <c r="A506" s="5" t="s">
        <v>1065</v>
      </c>
      <c r="B506" s="22" t="s">
        <v>716</v>
      </c>
      <c r="C506" s="22" t="s">
        <v>985</v>
      </c>
      <c r="D506" s="18" t="s">
        <v>1066</v>
      </c>
      <c r="E506" s="24" t="str">
        <f t="shared" si="43"/>
        <v>S0050922E001</v>
      </c>
      <c r="F506" s="13">
        <v>44382</v>
      </c>
      <c r="G506" s="13">
        <f t="shared" si="48"/>
        <v>44388</v>
      </c>
      <c r="H506" s="7">
        <f t="shared" ca="1" si="44"/>
        <v>-715</v>
      </c>
      <c r="I506" s="13">
        <v>44394</v>
      </c>
      <c r="J506" s="9">
        <f t="shared" ca="1" si="45"/>
        <v>721</v>
      </c>
      <c r="K506" s="10" t="s">
        <v>771</v>
      </c>
      <c r="L506" s="10" t="str">
        <f t="shared" si="46"/>
        <v>Rejected</v>
      </c>
      <c r="M506" s="11">
        <v>1</v>
      </c>
      <c r="N506" s="10" t="s">
        <v>30</v>
      </c>
      <c r="O506" s="42">
        <f t="shared" si="47"/>
        <v>0</v>
      </c>
      <c r="P506" s="10" t="s">
        <v>2485</v>
      </c>
    </row>
    <row r="507" spans="1:16" s="22" customFormat="1" ht="14.25" customHeight="1" x14ac:dyDescent="0.25">
      <c r="A507" s="5" t="s">
        <v>1071</v>
      </c>
      <c r="B507" s="22" t="s">
        <v>716</v>
      </c>
      <c r="C507" s="22" t="s">
        <v>985</v>
      </c>
      <c r="D507" s="18" t="s">
        <v>1072</v>
      </c>
      <c r="E507" s="24" t="str">
        <f t="shared" si="43"/>
        <v>S0050931E002</v>
      </c>
      <c r="F507" s="13">
        <v>44382</v>
      </c>
      <c r="G507" s="13">
        <f t="shared" si="48"/>
        <v>44388</v>
      </c>
      <c r="H507" s="7">
        <f t="shared" ca="1" si="44"/>
        <v>-715</v>
      </c>
      <c r="I507" s="13">
        <v>44394</v>
      </c>
      <c r="J507" s="9">
        <f t="shared" ca="1" si="45"/>
        <v>721</v>
      </c>
      <c r="K507" s="10" t="s">
        <v>771</v>
      </c>
      <c r="L507" s="10" t="str">
        <f t="shared" si="46"/>
        <v>Rejected</v>
      </c>
      <c r="M507" s="11">
        <v>1</v>
      </c>
      <c r="N507" s="10" t="s">
        <v>30</v>
      </c>
      <c r="O507" s="42">
        <f t="shared" si="47"/>
        <v>0</v>
      </c>
      <c r="P507" s="10" t="s">
        <v>2485</v>
      </c>
    </row>
    <row r="508" spans="1:16" s="22" customFormat="1" ht="14.25" customHeight="1" x14ac:dyDescent="0.25">
      <c r="A508" s="5" t="s">
        <v>1111</v>
      </c>
      <c r="B508" s="22" t="s">
        <v>716</v>
      </c>
      <c r="C508" s="22" t="s">
        <v>735</v>
      </c>
      <c r="D508" s="18" t="s">
        <v>1112</v>
      </c>
      <c r="E508" s="24" t="str">
        <f t="shared" si="43"/>
        <v>S0371591b001</v>
      </c>
      <c r="F508" s="13">
        <v>44389</v>
      </c>
      <c r="G508" s="13">
        <f t="shared" si="48"/>
        <v>44395</v>
      </c>
      <c r="H508" s="7">
        <f t="shared" ca="1" si="44"/>
        <v>-708</v>
      </c>
      <c r="I508" s="13">
        <v>44394</v>
      </c>
      <c r="J508" s="9">
        <f t="shared" ca="1" si="45"/>
        <v>0</v>
      </c>
      <c r="K508" s="10"/>
      <c r="L508" s="10" t="str">
        <f t="shared" si="46"/>
        <v>Accepted</v>
      </c>
      <c r="M508" s="11">
        <v>0</v>
      </c>
      <c r="N508" s="10" t="s">
        <v>30</v>
      </c>
      <c r="O508" s="42">
        <f t="shared" si="47"/>
        <v>18000</v>
      </c>
      <c r="P508" s="10" t="s">
        <v>19</v>
      </c>
    </row>
    <row r="509" spans="1:16" s="22" customFormat="1" ht="14.25" customHeight="1" x14ac:dyDescent="0.25">
      <c r="A509" s="5" t="s">
        <v>1113</v>
      </c>
      <c r="B509" s="22" t="s">
        <v>716</v>
      </c>
      <c r="C509" s="22" t="s">
        <v>787</v>
      </c>
      <c r="D509" s="18" t="s">
        <v>1114</v>
      </c>
      <c r="E509" s="24" t="str">
        <f t="shared" si="43"/>
        <v>S0441451E001</v>
      </c>
      <c r="F509" s="13">
        <v>44389</v>
      </c>
      <c r="G509" s="13">
        <f t="shared" si="48"/>
        <v>44395</v>
      </c>
      <c r="H509" s="7">
        <f t="shared" ca="1" si="44"/>
        <v>-708</v>
      </c>
      <c r="I509" s="13">
        <v>44394</v>
      </c>
      <c r="J509" s="9">
        <f t="shared" ca="1" si="45"/>
        <v>714</v>
      </c>
      <c r="K509" s="10" t="s">
        <v>771</v>
      </c>
      <c r="L509" s="10" t="str">
        <f t="shared" si="46"/>
        <v>Rejected</v>
      </c>
      <c r="M509" s="11">
        <v>1</v>
      </c>
      <c r="N509" s="10" t="s">
        <v>18</v>
      </c>
      <c r="O509" s="42">
        <f t="shared" si="47"/>
        <v>0</v>
      </c>
      <c r="P509" s="10" t="s">
        <v>2485</v>
      </c>
    </row>
    <row r="510" spans="1:16" s="22" customFormat="1" ht="14.25" customHeight="1" x14ac:dyDescent="0.25">
      <c r="A510" s="5" t="s">
        <v>1115</v>
      </c>
      <c r="B510" s="22" t="s">
        <v>716</v>
      </c>
      <c r="C510" s="22" t="s">
        <v>787</v>
      </c>
      <c r="D510" s="18" t="s">
        <v>1116</v>
      </c>
      <c r="E510" s="24" t="str">
        <f t="shared" si="43"/>
        <v>S0301021E003</v>
      </c>
      <c r="F510" s="13">
        <v>44389</v>
      </c>
      <c r="G510" s="13">
        <f t="shared" si="48"/>
        <v>44395</v>
      </c>
      <c r="H510" s="7">
        <f t="shared" ca="1" si="44"/>
        <v>-708</v>
      </c>
      <c r="I510" s="13">
        <v>44394</v>
      </c>
      <c r="J510" s="9">
        <f t="shared" ca="1" si="45"/>
        <v>0</v>
      </c>
      <c r="K510" s="10"/>
      <c r="L510" s="10" t="str">
        <f t="shared" si="46"/>
        <v>Accepted</v>
      </c>
      <c r="M510" s="11">
        <v>1</v>
      </c>
      <c r="N510" s="10" t="s">
        <v>18</v>
      </c>
      <c r="O510" s="42">
        <f t="shared" si="47"/>
        <v>15000</v>
      </c>
      <c r="P510" s="10" t="s">
        <v>19</v>
      </c>
    </row>
    <row r="511" spans="1:16" s="22" customFormat="1" ht="14.25" customHeight="1" x14ac:dyDescent="0.25">
      <c r="A511" s="5" t="s">
        <v>1117</v>
      </c>
      <c r="B511" s="22" t="s">
        <v>716</v>
      </c>
      <c r="C511" s="22" t="s">
        <v>787</v>
      </c>
      <c r="D511" s="18" t="s">
        <v>1118</v>
      </c>
      <c r="E511" s="24" t="str">
        <f t="shared" si="43"/>
        <v>S0301031E001</v>
      </c>
      <c r="F511" s="13">
        <v>44389</v>
      </c>
      <c r="G511" s="13">
        <f t="shared" si="48"/>
        <v>44395</v>
      </c>
      <c r="H511" s="7">
        <f t="shared" ca="1" si="44"/>
        <v>-708</v>
      </c>
      <c r="I511" s="13">
        <v>44394</v>
      </c>
      <c r="J511" s="9">
        <f t="shared" ca="1" si="45"/>
        <v>0</v>
      </c>
      <c r="K511" s="10"/>
      <c r="L511" s="10" t="str">
        <f t="shared" si="46"/>
        <v>Accepted</v>
      </c>
      <c r="M511" s="11">
        <v>1</v>
      </c>
      <c r="N511" s="10" t="s">
        <v>18</v>
      </c>
      <c r="O511" s="42">
        <f t="shared" si="47"/>
        <v>15000</v>
      </c>
      <c r="P511" s="10" t="s">
        <v>19</v>
      </c>
    </row>
    <row r="512" spans="1:16" s="22" customFormat="1" ht="14.25" customHeight="1" x14ac:dyDescent="0.25">
      <c r="A512" s="5" t="s">
        <v>1119</v>
      </c>
      <c r="B512" s="22" t="s">
        <v>716</v>
      </c>
      <c r="C512" s="22" t="s">
        <v>787</v>
      </c>
      <c r="D512" s="18" t="s">
        <v>1120</v>
      </c>
      <c r="E512" s="24" t="str">
        <f t="shared" si="43"/>
        <v>S0301042E005</v>
      </c>
      <c r="F512" s="13">
        <v>44389</v>
      </c>
      <c r="G512" s="13">
        <f t="shared" si="48"/>
        <v>44395</v>
      </c>
      <c r="H512" s="7">
        <f t="shared" ca="1" si="44"/>
        <v>-708</v>
      </c>
      <c r="I512" s="13">
        <v>44394</v>
      </c>
      <c r="J512" s="9">
        <f t="shared" ca="1" si="45"/>
        <v>0</v>
      </c>
      <c r="K512" s="10"/>
      <c r="L512" s="10" t="str">
        <f t="shared" si="46"/>
        <v>Accepted</v>
      </c>
      <c r="M512" s="11">
        <v>1</v>
      </c>
      <c r="N512" s="10" t="s">
        <v>18</v>
      </c>
      <c r="O512" s="42">
        <f t="shared" si="47"/>
        <v>15000</v>
      </c>
      <c r="P512" s="10" t="s">
        <v>19</v>
      </c>
    </row>
    <row r="513" spans="1:16" s="22" customFormat="1" ht="14.25" customHeight="1" x14ac:dyDescent="0.25">
      <c r="A513" s="5" t="s">
        <v>1121</v>
      </c>
      <c r="B513" s="22" t="s">
        <v>716</v>
      </c>
      <c r="C513" s="22" t="s">
        <v>787</v>
      </c>
      <c r="D513" s="18" t="s">
        <v>1122</v>
      </c>
      <c r="E513" s="24" t="str">
        <f t="shared" si="43"/>
        <v>S0301051E006</v>
      </c>
      <c r="F513" s="13">
        <v>44389</v>
      </c>
      <c r="G513" s="13">
        <f t="shared" si="48"/>
        <v>44395</v>
      </c>
      <c r="H513" s="7">
        <f t="shared" ca="1" si="44"/>
        <v>-708</v>
      </c>
      <c r="I513" s="13">
        <v>44394</v>
      </c>
      <c r="J513" s="9">
        <f t="shared" ca="1" si="45"/>
        <v>0</v>
      </c>
      <c r="K513" s="10"/>
      <c r="L513" s="10" t="str">
        <f t="shared" si="46"/>
        <v>Accepted</v>
      </c>
      <c r="M513" s="11">
        <v>1</v>
      </c>
      <c r="N513" s="10" t="s">
        <v>18</v>
      </c>
      <c r="O513" s="42">
        <f t="shared" si="47"/>
        <v>15000</v>
      </c>
      <c r="P513" s="10" t="s">
        <v>19</v>
      </c>
    </row>
    <row r="514" spans="1:16" s="22" customFormat="1" ht="14.25" customHeight="1" x14ac:dyDescent="0.25">
      <c r="A514" s="5" t="s">
        <v>1123</v>
      </c>
      <c r="B514" s="22" t="s">
        <v>716</v>
      </c>
      <c r="C514" s="22" t="s">
        <v>787</v>
      </c>
      <c r="D514" s="18" t="s">
        <v>1124</v>
      </c>
      <c r="E514" s="24" t="str">
        <f t="shared" ref="E514:E577" si="49">HYPERLINK(D514,A514)</f>
        <v>S0301051E009</v>
      </c>
      <c r="F514" s="13">
        <v>44389</v>
      </c>
      <c r="G514" s="13">
        <f t="shared" si="48"/>
        <v>44395</v>
      </c>
      <c r="H514" s="7">
        <f t="shared" ref="H514:H577" ca="1" si="50">G514-TODAY()</f>
        <v>-708</v>
      </c>
      <c r="I514" s="13">
        <v>44394</v>
      </c>
      <c r="J514" s="9">
        <f t="shared" ref="J514:J577" ca="1" si="51">IF(L514="Accepted",0,TODAY()-F514)</f>
        <v>0</v>
      </c>
      <c r="K514" s="10"/>
      <c r="L514" s="10" t="str">
        <f t="shared" ref="L514:L577" si="52">IF(AND(NOT(ISBLANK(I514)), ISBLANK(K514)),"Accepted", IF(AND(ISBLANK(I514),ISBLANK(K514)),"Not Submitted", "Rejected"))</f>
        <v>Accepted</v>
      </c>
      <c r="M514" s="11">
        <v>1</v>
      </c>
      <c r="N514" s="10" t="s">
        <v>18</v>
      </c>
      <c r="O514" s="42">
        <f t="shared" ref="O514:O577" si="53">IF(AND(L514="Accepted",B514="SMA",N514="no"),20000,
IF(AND(L514="Accepted",OR(B514="SMP",B514="SD"),N514="no"),15000,
IF(AND(L514="Accepted",B514="SMA",N514="yes"),25000,
IF(AND(L514="Accepted",OR(B514="SMP",B514="SD"),N514="yes"),18000,
0))))</f>
        <v>15000</v>
      </c>
      <c r="P514" s="10" t="s">
        <v>19</v>
      </c>
    </row>
    <row r="515" spans="1:16" s="22" customFormat="1" ht="14.25" customHeight="1" x14ac:dyDescent="0.25">
      <c r="A515" s="5" t="s">
        <v>1125</v>
      </c>
      <c r="B515" s="22" t="s">
        <v>716</v>
      </c>
      <c r="C515" s="22" t="s">
        <v>932</v>
      </c>
      <c r="D515" s="18" t="s">
        <v>1126</v>
      </c>
      <c r="E515" s="24" t="str">
        <f t="shared" si="49"/>
        <v>S0380912E016</v>
      </c>
      <c r="F515" s="13">
        <v>44389</v>
      </c>
      <c r="G515" s="13">
        <f t="shared" si="48"/>
        <v>44395</v>
      </c>
      <c r="H515" s="7">
        <f t="shared" ca="1" si="50"/>
        <v>-708</v>
      </c>
      <c r="I515" s="13">
        <v>44394</v>
      </c>
      <c r="J515" s="9">
        <f t="shared" ca="1" si="51"/>
        <v>0</v>
      </c>
      <c r="K515" s="10"/>
      <c r="L515" s="10" t="str">
        <f t="shared" si="52"/>
        <v>Accepted</v>
      </c>
      <c r="M515" s="11">
        <v>1</v>
      </c>
      <c r="N515" s="10" t="s">
        <v>18</v>
      </c>
      <c r="O515" s="42">
        <f t="shared" si="53"/>
        <v>15000</v>
      </c>
      <c r="P515" s="10" t="s">
        <v>19</v>
      </c>
    </row>
    <row r="516" spans="1:16" s="22" customFormat="1" ht="14.25" customHeight="1" x14ac:dyDescent="0.25">
      <c r="A516" s="5" t="s">
        <v>1127</v>
      </c>
      <c r="B516" s="22" t="s">
        <v>716</v>
      </c>
      <c r="C516" s="22" t="s">
        <v>932</v>
      </c>
      <c r="D516" s="18" t="s">
        <v>1128</v>
      </c>
      <c r="E516" s="24" t="str">
        <f t="shared" si="49"/>
        <v>S0380912E017</v>
      </c>
      <c r="F516" s="13">
        <v>44389</v>
      </c>
      <c r="G516" s="13">
        <f t="shared" si="48"/>
        <v>44395</v>
      </c>
      <c r="H516" s="7">
        <f t="shared" ca="1" si="50"/>
        <v>-708</v>
      </c>
      <c r="I516" s="13">
        <v>44394</v>
      </c>
      <c r="J516" s="9">
        <f t="shared" ca="1" si="51"/>
        <v>0</v>
      </c>
      <c r="K516" s="10"/>
      <c r="L516" s="10" t="str">
        <f t="shared" si="52"/>
        <v>Accepted</v>
      </c>
      <c r="M516" s="11">
        <v>1</v>
      </c>
      <c r="N516" s="10" t="s">
        <v>18</v>
      </c>
      <c r="O516" s="42">
        <f t="shared" si="53"/>
        <v>15000</v>
      </c>
      <c r="P516" s="10" t="s">
        <v>19</v>
      </c>
    </row>
    <row r="517" spans="1:16" s="22" customFormat="1" ht="14.25" customHeight="1" x14ac:dyDescent="0.25">
      <c r="A517" s="5" t="s">
        <v>1129</v>
      </c>
      <c r="B517" s="22" t="s">
        <v>716</v>
      </c>
      <c r="C517" s="22" t="s">
        <v>787</v>
      </c>
      <c r="D517" s="18" t="s">
        <v>1130</v>
      </c>
      <c r="E517" s="24" t="str">
        <f t="shared" si="49"/>
        <v>S0380921E002</v>
      </c>
      <c r="F517" s="13">
        <v>44389</v>
      </c>
      <c r="G517" s="13">
        <f t="shared" si="48"/>
        <v>44395</v>
      </c>
      <c r="H517" s="7">
        <f t="shared" ca="1" si="50"/>
        <v>-708</v>
      </c>
      <c r="I517" s="13">
        <v>44394</v>
      </c>
      <c r="J517" s="9">
        <f t="shared" ca="1" si="51"/>
        <v>0</v>
      </c>
      <c r="K517" s="10"/>
      <c r="L517" s="10" t="str">
        <f t="shared" si="52"/>
        <v>Accepted</v>
      </c>
      <c r="M517" s="11">
        <v>1</v>
      </c>
      <c r="N517" s="10" t="s">
        <v>18</v>
      </c>
      <c r="O517" s="42">
        <f t="shared" si="53"/>
        <v>15000</v>
      </c>
      <c r="P517" s="10" t="s">
        <v>19</v>
      </c>
    </row>
    <row r="518" spans="1:16" s="22" customFormat="1" ht="14.25" customHeight="1" x14ac:dyDescent="0.25">
      <c r="A518" s="5" t="s">
        <v>1137</v>
      </c>
      <c r="B518" s="22" t="s">
        <v>716</v>
      </c>
      <c r="C518" s="22" t="s">
        <v>1138</v>
      </c>
      <c r="D518" s="18" t="s">
        <v>1139</v>
      </c>
      <c r="E518" s="24" t="str">
        <f t="shared" si="49"/>
        <v>S0040843E004</v>
      </c>
      <c r="F518" s="13">
        <v>44389</v>
      </c>
      <c r="G518" s="13">
        <f t="shared" si="48"/>
        <v>44395</v>
      </c>
      <c r="H518" s="7">
        <f t="shared" ca="1" si="50"/>
        <v>-708</v>
      </c>
      <c r="I518" s="13">
        <v>44394</v>
      </c>
      <c r="J518" s="9">
        <f t="shared" ca="1" si="51"/>
        <v>0</v>
      </c>
      <c r="K518" s="10"/>
      <c r="L518" s="10" t="str">
        <f t="shared" si="52"/>
        <v>Accepted</v>
      </c>
      <c r="M518" s="11">
        <v>0</v>
      </c>
      <c r="N518" s="10" t="s">
        <v>30</v>
      </c>
      <c r="O518" s="42">
        <f t="shared" si="53"/>
        <v>18000</v>
      </c>
      <c r="P518" s="10" t="s">
        <v>19</v>
      </c>
    </row>
    <row r="519" spans="1:16" s="22" customFormat="1" ht="14.25" customHeight="1" x14ac:dyDescent="0.25">
      <c r="A519" s="5" t="s">
        <v>1140</v>
      </c>
      <c r="B519" s="22" t="s">
        <v>716</v>
      </c>
      <c r="C519" s="22" t="s">
        <v>1138</v>
      </c>
      <c r="D519" s="18" t="s">
        <v>1141</v>
      </c>
      <c r="E519" s="24" t="str">
        <f t="shared" si="49"/>
        <v>S0040841E001</v>
      </c>
      <c r="F519" s="13">
        <v>44389</v>
      </c>
      <c r="G519" s="13">
        <f t="shared" si="48"/>
        <v>44395</v>
      </c>
      <c r="H519" s="7">
        <f t="shared" ca="1" si="50"/>
        <v>-708</v>
      </c>
      <c r="I519" s="13">
        <v>44394</v>
      </c>
      <c r="J519" s="9">
        <f t="shared" ca="1" si="51"/>
        <v>0</v>
      </c>
      <c r="K519" s="10"/>
      <c r="L519" s="10" t="str">
        <f t="shared" si="52"/>
        <v>Accepted</v>
      </c>
      <c r="M519" s="11">
        <v>0</v>
      </c>
      <c r="N519" s="10" t="s">
        <v>30</v>
      </c>
      <c r="O519" s="42">
        <f t="shared" si="53"/>
        <v>18000</v>
      </c>
      <c r="P519" s="10" t="s">
        <v>19</v>
      </c>
    </row>
    <row r="520" spans="1:16" s="22" customFormat="1" ht="14.25" customHeight="1" x14ac:dyDescent="0.25">
      <c r="A520" s="5" t="s">
        <v>1142</v>
      </c>
      <c r="B520" s="22" t="s">
        <v>716</v>
      </c>
      <c r="C520" s="22" t="s">
        <v>1138</v>
      </c>
      <c r="D520" s="18" t="s">
        <v>1143</v>
      </c>
      <c r="E520" s="24" t="str">
        <f t="shared" si="49"/>
        <v>S0030881a002</v>
      </c>
      <c r="F520" s="13">
        <v>44389</v>
      </c>
      <c r="G520" s="13">
        <f t="shared" si="48"/>
        <v>44395</v>
      </c>
      <c r="H520" s="7">
        <f t="shared" ca="1" si="50"/>
        <v>-708</v>
      </c>
      <c r="I520" s="13">
        <v>44394</v>
      </c>
      <c r="J520" s="9">
        <f t="shared" ca="1" si="51"/>
        <v>0</v>
      </c>
      <c r="K520" s="10"/>
      <c r="L520" s="10" t="str">
        <f t="shared" si="52"/>
        <v>Accepted</v>
      </c>
      <c r="M520" s="11">
        <v>0</v>
      </c>
      <c r="N520" s="10" t="s">
        <v>30</v>
      </c>
      <c r="O520" s="42">
        <f t="shared" si="53"/>
        <v>18000</v>
      </c>
      <c r="P520" s="10" t="s">
        <v>19</v>
      </c>
    </row>
    <row r="521" spans="1:16" s="22" customFormat="1" ht="14.25" customHeight="1" x14ac:dyDescent="0.25">
      <c r="A521" s="5" t="s">
        <v>1160</v>
      </c>
      <c r="B521" s="22" t="s">
        <v>716</v>
      </c>
      <c r="C521" s="22" t="s">
        <v>2470</v>
      </c>
      <c r="D521" s="18" t="s">
        <v>1161</v>
      </c>
      <c r="E521" s="24" t="str">
        <f t="shared" si="49"/>
        <v>S0370511E010</v>
      </c>
      <c r="F521" s="13">
        <v>44389</v>
      </c>
      <c r="G521" s="13">
        <f t="shared" si="48"/>
        <v>44395</v>
      </c>
      <c r="H521" s="7">
        <f t="shared" ca="1" si="50"/>
        <v>-708</v>
      </c>
      <c r="I521" s="13">
        <v>44394</v>
      </c>
      <c r="J521" s="9">
        <f t="shared" ca="1" si="51"/>
        <v>0</v>
      </c>
      <c r="K521" s="10"/>
      <c r="L521" s="10" t="str">
        <f t="shared" si="52"/>
        <v>Accepted</v>
      </c>
      <c r="M521" s="11">
        <v>0</v>
      </c>
      <c r="N521" s="10" t="s">
        <v>18</v>
      </c>
      <c r="O521" s="42">
        <f t="shared" si="53"/>
        <v>15000</v>
      </c>
      <c r="P521" s="10" t="s">
        <v>19</v>
      </c>
    </row>
    <row r="522" spans="1:16" s="22" customFormat="1" ht="14.25" customHeight="1" x14ac:dyDescent="0.25">
      <c r="A522" s="5" t="s">
        <v>1162</v>
      </c>
      <c r="B522" s="22" t="s">
        <v>716</v>
      </c>
      <c r="C522" s="22" t="s">
        <v>787</v>
      </c>
      <c r="D522" s="18" t="s">
        <v>1163</v>
      </c>
      <c r="E522" s="24" t="str">
        <f t="shared" si="49"/>
        <v>S0390851E003</v>
      </c>
      <c r="F522" s="13">
        <v>44389</v>
      </c>
      <c r="G522" s="13">
        <f t="shared" si="48"/>
        <v>44395</v>
      </c>
      <c r="H522" s="7">
        <f t="shared" ca="1" si="50"/>
        <v>-708</v>
      </c>
      <c r="I522" s="13">
        <v>44394</v>
      </c>
      <c r="J522" s="9">
        <f t="shared" ca="1" si="51"/>
        <v>0</v>
      </c>
      <c r="K522" s="10"/>
      <c r="L522" s="10" t="str">
        <f t="shared" si="52"/>
        <v>Accepted</v>
      </c>
      <c r="M522" s="11">
        <v>0</v>
      </c>
      <c r="N522" s="10" t="s">
        <v>30</v>
      </c>
      <c r="O522" s="42">
        <f t="shared" si="53"/>
        <v>18000</v>
      </c>
      <c r="P522" s="10" t="s">
        <v>19</v>
      </c>
    </row>
    <row r="523" spans="1:16" s="22" customFormat="1" ht="14.25" customHeight="1" x14ac:dyDescent="0.25">
      <c r="A523" s="5" t="s">
        <v>1166</v>
      </c>
      <c r="B523" s="22" t="s">
        <v>716</v>
      </c>
      <c r="C523" s="22" t="s">
        <v>1138</v>
      </c>
      <c r="D523" s="18" t="s">
        <v>1167</v>
      </c>
      <c r="E523" s="24" t="str">
        <f t="shared" si="49"/>
        <v>S0040811E002</v>
      </c>
      <c r="F523" s="13">
        <v>44389</v>
      </c>
      <c r="G523" s="13">
        <f t="shared" si="48"/>
        <v>44395</v>
      </c>
      <c r="H523" s="7">
        <f t="shared" ca="1" si="50"/>
        <v>-708</v>
      </c>
      <c r="I523" s="13">
        <v>44394</v>
      </c>
      <c r="J523" s="9">
        <f t="shared" ca="1" si="51"/>
        <v>0</v>
      </c>
      <c r="K523" s="10"/>
      <c r="L523" s="10" t="str">
        <f t="shared" si="52"/>
        <v>Accepted</v>
      </c>
      <c r="M523" s="11">
        <v>0</v>
      </c>
      <c r="N523" s="10" t="s">
        <v>30</v>
      </c>
      <c r="O523" s="42">
        <f t="shared" si="53"/>
        <v>18000</v>
      </c>
      <c r="P523" s="10" t="s">
        <v>19</v>
      </c>
    </row>
    <row r="524" spans="1:16" s="22" customFormat="1" ht="14.25" customHeight="1" x14ac:dyDescent="0.25">
      <c r="A524" s="5" t="s">
        <v>1176</v>
      </c>
      <c r="B524" s="22" t="s">
        <v>716</v>
      </c>
      <c r="C524" s="22" t="s">
        <v>735</v>
      </c>
      <c r="D524" s="18" t="s">
        <v>1177</v>
      </c>
      <c r="E524" s="24" t="str">
        <f t="shared" si="49"/>
        <v>S0371452E004</v>
      </c>
      <c r="F524" s="13">
        <v>44389</v>
      </c>
      <c r="G524" s="13">
        <f t="shared" si="48"/>
        <v>44395</v>
      </c>
      <c r="H524" s="7">
        <f t="shared" ca="1" si="50"/>
        <v>-708</v>
      </c>
      <c r="I524" s="13">
        <v>44394</v>
      </c>
      <c r="J524" s="9">
        <f t="shared" ca="1" si="51"/>
        <v>0</v>
      </c>
      <c r="K524" s="10"/>
      <c r="L524" s="10" t="str">
        <f t="shared" si="52"/>
        <v>Accepted</v>
      </c>
      <c r="M524" s="11">
        <v>0</v>
      </c>
      <c r="N524" s="10" t="s">
        <v>18</v>
      </c>
      <c r="O524" s="42">
        <f t="shared" si="53"/>
        <v>15000</v>
      </c>
      <c r="P524" s="10" t="s">
        <v>19</v>
      </c>
    </row>
    <row r="525" spans="1:16" s="22" customFormat="1" ht="14.25" customHeight="1" x14ac:dyDescent="0.25">
      <c r="A525" s="5" t="s">
        <v>1178</v>
      </c>
      <c r="B525" s="22" t="s">
        <v>716</v>
      </c>
      <c r="C525" s="22" t="s">
        <v>787</v>
      </c>
      <c r="D525" s="18" t="s">
        <v>1179</v>
      </c>
      <c r="E525" s="24" t="str">
        <f t="shared" si="49"/>
        <v>S0390822E004</v>
      </c>
      <c r="F525" s="13">
        <v>44389</v>
      </c>
      <c r="G525" s="13">
        <f t="shared" ref="G525:G588" si="54">F525+6</f>
        <v>44395</v>
      </c>
      <c r="H525" s="7">
        <f t="shared" ca="1" si="50"/>
        <v>-708</v>
      </c>
      <c r="I525" s="13">
        <v>44394</v>
      </c>
      <c r="J525" s="9">
        <f t="shared" ca="1" si="51"/>
        <v>0</v>
      </c>
      <c r="K525" s="10"/>
      <c r="L525" s="10" t="str">
        <f t="shared" si="52"/>
        <v>Accepted</v>
      </c>
      <c r="M525" s="11">
        <v>0</v>
      </c>
      <c r="N525" s="10" t="s">
        <v>18</v>
      </c>
      <c r="O525" s="42">
        <f t="shared" si="53"/>
        <v>15000</v>
      </c>
      <c r="P525" s="10" t="s">
        <v>19</v>
      </c>
    </row>
    <row r="526" spans="1:16" s="22" customFormat="1" ht="14.25" customHeight="1" x14ac:dyDescent="0.25">
      <c r="A526" s="5" t="s">
        <v>1053</v>
      </c>
      <c r="B526" s="22" t="s">
        <v>716</v>
      </c>
      <c r="C526" s="22" t="s">
        <v>1043</v>
      </c>
      <c r="D526" s="18" t="s">
        <v>1054</v>
      </c>
      <c r="E526" s="24" t="str">
        <f t="shared" si="49"/>
        <v>S0501131E001</v>
      </c>
      <c r="F526" s="13">
        <v>44382</v>
      </c>
      <c r="G526" s="13">
        <f t="shared" si="54"/>
        <v>44388</v>
      </c>
      <c r="H526" s="7">
        <f t="shared" ca="1" si="50"/>
        <v>-715</v>
      </c>
      <c r="I526" s="13">
        <v>44395</v>
      </c>
      <c r="J526" s="9">
        <f t="shared" ca="1" si="51"/>
        <v>721</v>
      </c>
      <c r="K526" s="10" t="s">
        <v>771</v>
      </c>
      <c r="L526" s="10" t="str">
        <f t="shared" si="52"/>
        <v>Rejected</v>
      </c>
      <c r="M526" s="11">
        <v>1</v>
      </c>
      <c r="N526" s="10" t="s">
        <v>30</v>
      </c>
      <c r="O526" s="42">
        <f t="shared" si="53"/>
        <v>0</v>
      </c>
      <c r="P526" s="10" t="s">
        <v>2485</v>
      </c>
    </row>
    <row r="527" spans="1:16" s="22" customFormat="1" ht="14.25" customHeight="1" x14ac:dyDescent="0.25">
      <c r="A527" s="5" t="s">
        <v>1109</v>
      </c>
      <c r="B527" s="22" t="s">
        <v>716</v>
      </c>
      <c r="C527" s="22" t="s">
        <v>2470</v>
      </c>
      <c r="D527" s="18" t="s">
        <v>1110</v>
      </c>
      <c r="E527" s="24" t="str">
        <f t="shared" si="49"/>
        <v>S0220202E001</v>
      </c>
      <c r="F527" s="13">
        <v>44389</v>
      </c>
      <c r="G527" s="13">
        <f t="shared" si="54"/>
        <v>44395</v>
      </c>
      <c r="H527" s="7">
        <f t="shared" ca="1" si="50"/>
        <v>-708</v>
      </c>
      <c r="I527" s="13">
        <v>44395</v>
      </c>
      <c r="J527" s="9">
        <f t="shared" ca="1" si="51"/>
        <v>0</v>
      </c>
      <c r="K527" s="10"/>
      <c r="L527" s="10" t="str">
        <f t="shared" si="52"/>
        <v>Accepted</v>
      </c>
      <c r="M527" s="11">
        <v>1</v>
      </c>
      <c r="N527" s="10" t="s">
        <v>18</v>
      </c>
      <c r="O527" s="42">
        <f t="shared" si="53"/>
        <v>15000</v>
      </c>
      <c r="P527" s="10" t="s">
        <v>19</v>
      </c>
    </row>
    <row r="528" spans="1:16" s="22" customFormat="1" ht="14.25" customHeight="1" x14ac:dyDescent="0.25">
      <c r="A528" s="5" t="s">
        <v>1131</v>
      </c>
      <c r="B528" s="22" t="s">
        <v>716</v>
      </c>
      <c r="C528" s="22" t="s">
        <v>1043</v>
      </c>
      <c r="D528" s="18" t="s">
        <v>1132</v>
      </c>
      <c r="E528" s="24" t="str">
        <f t="shared" si="49"/>
        <v>S0501081E001</v>
      </c>
      <c r="F528" s="13">
        <v>44389</v>
      </c>
      <c r="G528" s="13">
        <f t="shared" si="54"/>
        <v>44395</v>
      </c>
      <c r="H528" s="7">
        <f t="shared" ca="1" si="50"/>
        <v>-708</v>
      </c>
      <c r="I528" s="13">
        <v>44395</v>
      </c>
      <c r="J528" s="9">
        <f t="shared" ca="1" si="51"/>
        <v>0</v>
      </c>
      <c r="K528" s="10"/>
      <c r="L528" s="10" t="str">
        <f t="shared" si="52"/>
        <v>Accepted</v>
      </c>
      <c r="M528" s="11">
        <v>1</v>
      </c>
      <c r="N528" s="10" t="s">
        <v>18</v>
      </c>
      <c r="O528" s="42">
        <f t="shared" si="53"/>
        <v>15000</v>
      </c>
      <c r="P528" s="10" t="s">
        <v>19</v>
      </c>
    </row>
    <row r="529" spans="1:16" s="22" customFormat="1" ht="14.25" customHeight="1" x14ac:dyDescent="0.25">
      <c r="A529" s="5" t="s">
        <v>1133</v>
      </c>
      <c r="B529" s="22" t="s">
        <v>716</v>
      </c>
      <c r="C529" s="22" t="s">
        <v>1043</v>
      </c>
      <c r="D529" s="18" t="s">
        <v>1134</v>
      </c>
      <c r="E529" s="24" t="str">
        <f t="shared" si="49"/>
        <v>S0501091E002</v>
      </c>
      <c r="F529" s="13">
        <v>44389</v>
      </c>
      <c r="G529" s="13">
        <f t="shared" si="54"/>
        <v>44395</v>
      </c>
      <c r="H529" s="7">
        <f t="shared" ca="1" si="50"/>
        <v>-708</v>
      </c>
      <c r="I529" s="13">
        <v>44395</v>
      </c>
      <c r="J529" s="9">
        <f t="shared" ca="1" si="51"/>
        <v>0</v>
      </c>
      <c r="K529" s="10"/>
      <c r="L529" s="10" t="str">
        <f t="shared" si="52"/>
        <v>Accepted</v>
      </c>
      <c r="M529" s="11">
        <v>1</v>
      </c>
      <c r="N529" s="10" t="s">
        <v>18</v>
      </c>
      <c r="O529" s="42">
        <f t="shared" si="53"/>
        <v>15000</v>
      </c>
      <c r="P529" s="10" t="s">
        <v>19</v>
      </c>
    </row>
    <row r="530" spans="1:16" s="22" customFormat="1" ht="14.25" customHeight="1" x14ac:dyDescent="0.25">
      <c r="A530" s="5" t="s">
        <v>1135</v>
      </c>
      <c r="B530" s="22" t="s">
        <v>716</v>
      </c>
      <c r="C530" s="22" t="s">
        <v>1043</v>
      </c>
      <c r="D530" s="18" t="s">
        <v>1136</v>
      </c>
      <c r="E530" s="24" t="str">
        <f t="shared" si="49"/>
        <v>S0501101E001</v>
      </c>
      <c r="F530" s="13">
        <v>44389</v>
      </c>
      <c r="G530" s="13">
        <f t="shared" si="54"/>
        <v>44395</v>
      </c>
      <c r="H530" s="7">
        <f t="shared" ca="1" si="50"/>
        <v>-708</v>
      </c>
      <c r="I530" s="13">
        <v>44395</v>
      </c>
      <c r="J530" s="9">
        <f t="shared" ca="1" si="51"/>
        <v>0</v>
      </c>
      <c r="K530" s="10"/>
      <c r="L530" s="10" t="str">
        <f t="shared" si="52"/>
        <v>Accepted</v>
      </c>
      <c r="M530" s="11">
        <v>1</v>
      </c>
      <c r="N530" s="10" t="s">
        <v>18</v>
      </c>
      <c r="O530" s="42">
        <f t="shared" si="53"/>
        <v>15000</v>
      </c>
      <c r="P530" s="10" t="s">
        <v>19</v>
      </c>
    </row>
    <row r="531" spans="1:16" s="22" customFormat="1" ht="14.25" customHeight="1" x14ac:dyDescent="0.25">
      <c r="A531" s="5" t="s">
        <v>1144</v>
      </c>
      <c r="B531" s="22" t="s">
        <v>716</v>
      </c>
      <c r="C531" s="22" t="s">
        <v>932</v>
      </c>
      <c r="D531" s="18" t="s">
        <v>1145</v>
      </c>
      <c r="E531" s="24" t="str">
        <f t="shared" si="49"/>
        <v>S0170115E001</v>
      </c>
      <c r="F531" s="13">
        <v>44389</v>
      </c>
      <c r="G531" s="13">
        <f t="shared" si="54"/>
        <v>44395</v>
      </c>
      <c r="H531" s="7">
        <f t="shared" ca="1" si="50"/>
        <v>-708</v>
      </c>
      <c r="I531" s="13">
        <v>44395</v>
      </c>
      <c r="J531" s="9">
        <f t="shared" ca="1" si="51"/>
        <v>0</v>
      </c>
      <c r="K531" s="10"/>
      <c r="L531" s="10" t="str">
        <f t="shared" si="52"/>
        <v>Accepted</v>
      </c>
      <c r="M531" s="11">
        <v>0</v>
      </c>
      <c r="N531" s="10" t="s">
        <v>18</v>
      </c>
      <c r="O531" s="42">
        <f t="shared" si="53"/>
        <v>15000</v>
      </c>
      <c r="P531" s="10" t="s">
        <v>19</v>
      </c>
    </row>
    <row r="532" spans="1:16" s="22" customFormat="1" ht="14.25" customHeight="1" x14ac:dyDescent="0.25">
      <c r="A532" s="5" t="s">
        <v>1146</v>
      </c>
      <c r="B532" s="22" t="s">
        <v>716</v>
      </c>
      <c r="C532" s="22" t="s">
        <v>2470</v>
      </c>
      <c r="D532" s="18" t="s">
        <v>1147</v>
      </c>
      <c r="E532" s="24" t="str">
        <f t="shared" si="49"/>
        <v>S0140531P001</v>
      </c>
      <c r="F532" s="13">
        <v>44389</v>
      </c>
      <c r="G532" s="13">
        <f t="shared" si="54"/>
        <v>44395</v>
      </c>
      <c r="H532" s="7">
        <f t="shared" ca="1" si="50"/>
        <v>-708</v>
      </c>
      <c r="I532" s="13">
        <v>44395</v>
      </c>
      <c r="J532" s="9">
        <f t="shared" ca="1" si="51"/>
        <v>0</v>
      </c>
      <c r="K532" s="10"/>
      <c r="L532" s="10" t="str">
        <f t="shared" si="52"/>
        <v>Accepted</v>
      </c>
      <c r="M532" s="11">
        <v>0</v>
      </c>
      <c r="N532" s="10" t="s">
        <v>18</v>
      </c>
      <c r="O532" s="42">
        <f t="shared" si="53"/>
        <v>15000</v>
      </c>
      <c r="P532" s="10" t="s">
        <v>19</v>
      </c>
    </row>
    <row r="533" spans="1:16" s="22" customFormat="1" ht="14.25" customHeight="1" x14ac:dyDescent="0.25">
      <c r="A533" s="5" t="s">
        <v>1148</v>
      </c>
      <c r="B533" s="22" t="s">
        <v>716</v>
      </c>
      <c r="C533" s="22" t="s">
        <v>2470</v>
      </c>
      <c r="D533" s="18" t="s">
        <v>1149</v>
      </c>
      <c r="E533" s="24" t="str">
        <f t="shared" si="49"/>
        <v>S0140531P002</v>
      </c>
      <c r="F533" s="13">
        <v>44389</v>
      </c>
      <c r="G533" s="13">
        <f t="shared" si="54"/>
        <v>44395</v>
      </c>
      <c r="H533" s="7">
        <f t="shared" ca="1" si="50"/>
        <v>-708</v>
      </c>
      <c r="I533" s="13">
        <v>44395</v>
      </c>
      <c r="J533" s="9">
        <f t="shared" ca="1" si="51"/>
        <v>0</v>
      </c>
      <c r="K533" s="10"/>
      <c r="L533" s="10" t="str">
        <f t="shared" si="52"/>
        <v>Accepted</v>
      </c>
      <c r="M533" s="11">
        <v>0</v>
      </c>
      <c r="N533" s="10" t="s">
        <v>18</v>
      </c>
      <c r="O533" s="42">
        <f t="shared" si="53"/>
        <v>15000</v>
      </c>
      <c r="P533" s="10" t="s">
        <v>19</v>
      </c>
    </row>
    <row r="534" spans="1:16" s="22" customFormat="1" ht="14.25" customHeight="1" x14ac:dyDescent="0.25">
      <c r="A534" s="5" t="s">
        <v>1150</v>
      </c>
      <c r="B534" s="22" t="s">
        <v>716</v>
      </c>
      <c r="C534" s="22" t="s">
        <v>2470</v>
      </c>
      <c r="D534" s="18" t="s">
        <v>1151</v>
      </c>
      <c r="E534" s="24" t="str">
        <f t="shared" si="49"/>
        <v>S0140531P003</v>
      </c>
      <c r="F534" s="13">
        <v>44389</v>
      </c>
      <c r="G534" s="13">
        <f t="shared" si="54"/>
        <v>44395</v>
      </c>
      <c r="H534" s="7">
        <f t="shared" ca="1" si="50"/>
        <v>-708</v>
      </c>
      <c r="I534" s="13">
        <v>44395</v>
      </c>
      <c r="J534" s="9">
        <f t="shared" ca="1" si="51"/>
        <v>0</v>
      </c>
      <c r="K534" s="10"/>
      <c r="L534" s="10" t="str">
        <f t="shared" si="52"/>
        <v>Accepted</v>
      </c>
      <c r="M534" s="11">
        <v>0</v>
      </c>
      <c r="N534" s="10" t="s">
        <v>18</v>
      </c>
      <c r="O534" s="42">
        <f t="shared" si="53"/>
        <v>15000</v>
      </c>
      <c r="P534" s="10" t="s">
        <v>19</v>
      </c>
    </row>
    <row r="535" spans="1:16" s="22" customFormat="1" ht="14.25" customHeight="1" x14ac:dyDescent="0.25">
      <c r="A535" s="5" t="s">
        <v>1152</v>
      </c>
      <c r="B535" s="22" t="s">
        <v>716</v>
      </c>
      <c r="C535" s="22" t="s">
        <v>2470</v>
      </c>
      <c r="D535" s="18" t="s">
        <v>1153</v>
      </c>
      <c r="E535" s="24" t="str">
        <f t="shared" si="49"/>
        <v>S0140531P004</v>
      </c>
      <c r="F535" s="13">
        <v>44389</v>
      </c>
      <c r="G535" s="13">
        <f t="shared" si="54"/>
        <v>44395</v>
      </c>
      <c r="H535" s="7">
        <f t="shared" ca="1" si="50"/>
        <v>-708</v>
      </c>
      <c r="I535" s="13">
        <v>44395</v>
      </c>
      <c r="J535" s="9">
        <f t="shared" ca="1" si="51"/>
        <v>0</v>
      </c>
      <c r="K535" s="10"/>
      <c r="L535" s="10" t="str">
        <f t="shared" si="52"/>
        <v>Accepted</v>
      </c>
      <c r="M535" s="11">
        <v>0</v>
      </c>
      <c r="N535" s="10" t="s">
        <v>18</v>
      </c>
      <c r="O535" s="42">
        <f t="shared" si="53"/>
        <v>15000</v>
      </c>
      <c r="P535" s="10" t="s">
        <v>19</v>
      </c>
    </row>
    <row r="536" spans="1:16" s="22" customFormat="1" ht="14.25" customHeight="1" x14ac:dyDescent="0.25">
      <c r="A536" s="5" t="s">
        <v>1154</v>
      </c>
      <c r="B536" s="22" t="s">
        <v>716</v>
      </c>
      <c r="C536" s="22" t="s">
        <v>2470</v>
      </c>
      <c r="D536" s="18" t="s">
        <v>1155</v>
      </c>
      <c r="E536" s="24" t="str">
        <f t="shared" si="49"/>
        <v>S0140531P005</v>
      </c>
      <c r="F536" s="13">
        <v>44389</v>
      </c>
      <c r="G536" s="13">
        <f t="shared" si="54"/>
        <v>44395</v>
      </c>
      <c r="H536" s="7">
        <f t="shared" ca="1" si="50"/>
        <v>-708</v>
      </c>
      <c r="I536" s="13">
        <v>44395</v>
      </c>
      <c r="J536" s="9">
        <f t="shared" ca="1" si="51"/>
        <v>0</v>
      </c>
      <c r="K536" s="10"/>
      <c r="L536" s="10" t="str">
        <f t="shared" si="52"/>
        <v>Accepted</v>
      </c>
      <c r="M536" s="11">
        <v>0</v>
      </c>
      <c r="N536" s="10" t="s">
        <v>18</v>
      </c>
      <c r="O536" s="42">
        <f t="shared" si="53"/>
        <v>15000</v>
      </c>
      <c r="P536" s="10" t="s">
        <v>19</v>
      </c>
    </row>
    <row r="537" spans="1:16" s="22" customFormat="1" ht="14.25" customHeight="1" x14ac:dyDescent="0.25">
      <c r="A537" s="5" t="s">
        <v>1156</v>
      </c>
      <c r="B537" s="22" t="s">
        <v>716</v>
      </c>
      <c r="C537" s="22" t="s">
        <v>2470</v>
      </c>
      <c r="D537" s="18" t="s">
        <v>1157</v>
      </c>
      <c r="E537" s="24" t="str">
        <f t="shared" si="49"/>
        <v>S0140531P006</v>
      </c>
      <c r="F537" s="13">
        <v>44389</v>
      </c>
      <c r="G537" s="13">
        <f t="shared" si="54"/>
        <v>44395</v>
      </c>
      <c r="H537" s="7">
        <f t="shared" ca="1" si="50"/>
        <v>-708</v>
      </c>
      <c r="I537" s="13">
        <v>44395</v>
      </c>
      <c r="J537" s="9">
        <f t="shared" ca="1" si="51"/>
        <v>0</v>
      </c>
      <c r="K537" s="10"/>
      <c r="L537" s="10" t="str">
        <f t="shared" si="52"/>
        <v>Accepted</v>
      </c>
      <c r="M537" s="11">
        <v>0</v>
      </c>
      <c r="N537" s="10" t="s">
        <v>18</v>
      </c>
      <c r="O537" s="42">
        <f t="shared" si="53"/>
        <v>15000</v>
      </c>
      <c r="P537" s="10" t="s">
        <v>19</v>
      </c>
    </row>
    <row r="538" spans="1:16" s="22" customFormat="1" ht="14.25" customHeight="1" x14ac:dyDescent="0.25">
      <c r="A538" s="5" t="s">
        <v>1158</v>
      </c>
      <c r="B538" s="22" t="s">
        <v>716</v>
      </c>
      <c r="C538" s="22" t="s">
        <v>2470</v>
      </c>
      <c r="D538" s="18" t="s">
        <v>1159</v>
      </c>
      <c r="E538" s="24" t="str">
        <f t="shared" si="49"/>
        <v>S0140531P007</v>
      </c>
      <c r="F538" s="13">
        <v>44389</v>
      </c>
      <c r="G538" s="13">
        <f t="shared" si="54"/>
        <v>44395</v>
      </c>
      <c r="H538" s="7">
        <f t="shared" ca="1" si="50"/>
        <v>-708</v>
      </c>
      <c r="I538" s="13">
        <v>44395</v>
      </c>
      <c r="J538" s="9">
        <f t="shared" ca="1" si="51"/>
        <v>0</v>
      </c>
      <c r="K538" s="10"/>
      <c r="L538" s="10" t="str">
        <f t="shared" si="52"/>
        <v>Accepted</v>
      </c>
      <c r="M538" s="11">
        <v>0</v>
      </c>
      <c r="N538" s="10" t="s">
        <v>18</v>
      </c>
      <c r="O538" s="42">
        <f t="shared" si="53"/>
        <v>15000</v>
      </c>
      <c r="P538" s="10" t="s">
        <v>19</v>
      </c>
    </row>
    <row r="539" spans="1:16" s="22" customFormat="1" ht="14.25" customHeight="1" x14ac:dyDescent="0.25">
      <c r="A539" s="5" t="s">
        <v>1164</v>
      </c>
      <c r="B539" s="22" t="s">
        <v>716</v>
      </c>
      <c r="C539" s="22" t="s">
        <v>787</v>
      </c>
      <c r="D539" s="18" t="s">
        <v>1165</v>
      </c>
      <c r="E539" s="24" t="str">
        <f t="shared" si="49"/>
        <v>S0390851E004</v>
      </c>
      <c r="F539" s="13">
        <v>44389</v>
      </c>
      <c r="G539" s="13">
        <f t="shared" si="54"/>
        <v>44395</v>
      </c>
      <c r="H539" s="7">
        <f t="shared" ca="1" si="50"/>
        <v>-708</v>
      </c>
      <c r="I539" s="13">
        <v>44395</v>
      </c>
      <c r="J539" s="9">
        <f t="shared" ca="1" si="51"/>
        <v>0</v>
      </c>
      <c r="K539" s="10"/>
      <c r="L539" s="10" t="str">
        <f t="shared" si="52"/>
        <v>Accepted</v>
      </c>
      <c r="M539" s="11">
        <v>0</v>
      </c>
      <c r="N539" s="10" t="s">
        <v>30</v>
      </c>
      <c r="O539" s="42">
        <f t="shared" si="53"/>
        <v>18000</v>
      </c>
      <c r="P539" s="10" t="s">
        <v>19</v>
      </c>
    </row>
    <row r="540" spans="1:16" s="22" customFormat="1" ht="14.25" customHeight="1" x14ac:dyDescent="0.25">
      <c r="A540" s="5" t="s">
        <v>1168</v>
      </c>
      <c r="B540" s="22" t="s">
        <v>716</v>
      </c>
      <c r="C540" s="22" t="s">
        <v>2470</v>
      </c>
      <c r="D540" s="18" t="s">
        <v>1169</v>
      </c>
      <c r="E540" s="24" t="str">
        <f t="shared" si="49"/>
        <v>S0140531P008</v>
      </c>
      <c r="F540" s="13">
        <v>44389</v>
      </c>
      <c r="G540" s="13">
        <f t="shared" si="54"/>
        <v>44395</v>
      </c>
      <c r="H540" s="7">
        <f t="shared" ca="1" si="50"/>
        <v>-708</v>
      </c>
      <c r="I540" s="13">
        <v>44395</v>
      </c>
      <c r="J540" s="9">
        <f t="shared" ca="1" si="51"/>
        <v>0</v>
      </c>
      <c r="K540" s="10"/>
      <c r="L540" s="10" t="str">
        <f t="shared" si="52"/>
        <v>Accepted</v>
      </c>
      <c r="M540" s="11">
        <v>0</v>
      </c>
      <c r="N540" s="10" t="s">
        <v>18</v>
      </c>
      <c r="O540" s="42">
        <f t="shared" si="53"/>
        <v>15000</v>
      </c>
      <c r="P540" s="10" t="s">
        <v>19</v>
      </c>
    </row>
    <row r="541" spans="1:16" s="22" customFormat="1" ht="14.25" customHeight="1" x14ac:dyDescent="0.25">
      <c r="A541" s="5" t="s">
        <v>1170</v>
      </c>
      <c r="B541" s="22" t="s">
        <v>716</v>
      </c>
      <c r="C541" s="22" t="s">
        <v>2470</v>
      </c>
      <c r="D541" s="18" t="s">
        <v>1171</v>
      </c>
      <c r="E541" s="24" t="str">
        <f t="shared" si="49"/>
        <v>S0370501E001</v>
      </c>
      <c r="F541" s="13">
        <v>44389</v>
      </c>
      <c r="G541" s="13">
        <f t="shared" si="54"/>
        <v>44395</v>
      </c>
      <c r="H541" s="7">
        <f t="shared" ca="1" si="50"/>
        <v>-708</v>
      </c>
      <c r="I541" s="13">
        <v>44395</v>
      </c>
      <c r="J541" s="9">
        <f t="shared" ca="1" si="51"/>
        <v>0</v>
      </c>
      <c r="K541" s="10"/>
      <c r="L541" s="10" t="str">
        <f t="shared" si="52"/>
        <v>Accepted</v>
      </c>
      <c r="M541" s="11">
        <v>0</v>
      </c>
      <c r="N541" s="10" t="s">
        <v>18</v>
      </c>
      <c r="O541" s="42">
        <f t="shared" si="53"/>
        <v>15000</v>
      </c>
      <c r="P541" s="10" t="s">
        <v>19</v>
      </c>
    </row>
    <row r="542" spans="1:16" s="22" customFormat="1" ht="14.25" customHeight="1" x14ac:dyDescent="0.25">
      <c r="A542" s="5" t="s">
        <v>1172</v>
      </c>
      <c r="B542" s="22" t="s">
        <v>716</v>
      </c>
      <c r="C542" s="22" t="s">
        <v>735</v>
      </c>
      <c r="D542" s="18" t="s">
        <v>1173</v>
      </c>
      <c r="E542" s="24" t="str">
        <f t="shared" si="49"/>
        <v>S0371452E001</v>
      </c>
      <c r="F542" s="13">
        <v>44389</v>
      </c>
      <c r="G542" s="13">
        <f t="shared" si="54"/>
        <v>44395</v>
      </c>
      <c r="H542" s="7">
        <f t="shared" ca="1" si="50"/>
        <v>-708</v>
      </c>
      <c r="I542" s="13">
        <v>44395</v>
      </c>
      <c r="J542" s="9">
        <f t="shared" ca="1" si="51"/>
        <v>0</v>
      </c>
      <c r="K542" s="10"/>
      <c r="L542" s="10" t="str">
        <f t="shared" si="52"/>
        <v>Accepted</v>
      </c>
      <c r="M542" s="11">
        <v>0</v>
      </c>
      <c r="N542" s="10" t="s">
        <v>18</v>
      </c>
      <c r="O542" s="42">
        <f t="shared" si="53"/>
        <v>15000</v>
      </c>
      <c r="P542" s="10" t="s">
        <v>19</v>
      </c>
    </row>
    <row r="543" spans="1:16" s="22" customFormat="1" ht="14.25" customHeight="1" x14ac:dyDescent="0.25">
      <c r="A543" s="5" t="s">
        <v>1174</v>
      </c>
      <c r="B543" s="22" t="s">
        <v>716</v>
      </c>
      <c r="C543" s="22" t="s">
        <v>735</v>
      </c>
      <c r="D543" s="18" t="s">
        <v>1175</v>
      </c>
      <c r="E543" s="24" t="str">
        <f t="shared" si="49"/>
        <v>S0371452E003</v>
      </c>
      <c r="F543" s="13">
        <v>44389</v>
      </c>
      <c r="G543" s="13">
        <f t="shared" si="54"/>
        <v>44395</v>
      </c>
      <c r="H543" s="7">
        <f t="shared" ca="1" si="50"/>
        <v>-708</v>
      </c>
      <c r="I543" s="13">
        <v>44395</v>
      </c>
      <c r="J543" s="9">
        <f t="shared" ca="1" si="51"/>
        <v>0</v>
      </c>
      <c r="K543" s="10"/>
      <c r="L543" s="10" t="str">
        <f t="shared" si="52"/>
        <v>Accepted</v>
      </c>
      <c r="M543" s="11">
        <v>0</v>
      </c>
      <c r="N543" s="10" t="s">
        <v>18</v>
      </c>
      <c r="O543" s="42">
        <f t="shared" si="53"/>
        <v>15000</v>
      </c>
      <c r="P543" s="10" t="s">
        <v>19</v>
      </c>
    </row>
    <row r="544" spans="1:16" s="22" customFormat="1" ht="14.25" customHeight="1" x14ac:dyDescent="0.25">
      <c r="A544" s="5" t="s">
        <v>1218</v>
      </c>
      <c r="B544" s="22" t="s">
        <v>716</v>
      </c>
      <c r="C544" s="22" t="s">
        <v>932</v>
      </c>
      <c r="D544" s="18" t="s">
        <v>1219</v>
      </c>
      <c r="E544" s="24" t="str">
        <f t="shared" si="49"/>
        <v>S0380851E009</v>
      </c>
      <c r="F544" s="13">
        <v>44396</v>
      </c>
      <c r="G544" s="13">
        <f t="shared" si="54"/>
        <v>44402</v>
      </c>
      <c r="H544" s="7">
        <f t="shared" ca="1" si="50"/>
        <v>-701</v>
      </c>
      <c r="I544" s="13">
        <v>44401</v>
      </c>
      <c r="J544" s="9">
        <f t="shared" ca="1" si="51"/>
        <v>0</v>
      </c>
      <c r="K544" s="10"/>
      <c r="L544" s="10" t="str">
        <f t="shared" si="52"/>
        <v>Accepted</v>
      </c>
      <c r="M544" s="11">
        <v>0</v>
      </c>
      <c r="N544" s="10" t="s">
        <v>30</v>
      </c>
      <c r="O544" s="42">
        <f t="shared" si="53"/>
        <v>18000</v>
      </c>
      <c r="P544" s="10" t="s">
        <v>19</v>
      </c>
    </row>
    <row r="545" spans="1:16" s="22" customFormat="1" ht="14.25" customHeight="1" x14ac:dyDescent="0.25">
      <c r="A545" s="5" t="s">
        <v>1220</v>
      </c>
      <c r="B545" s="22" t="s">
        <v>716</v>
      </c>
      <c r="C545" s="22" t="s">
        <v>932</v>
      </c>
      <c r="D545" s="18" t="s">
        <v>1221</v>
      </c>
      <c r="E545" s="24" t="str">
        <f t="shared" si="49"/>
        <v>S0380851E010</v>
      </c>
      <c r="F545" s="13">
        <v>44396</v>
      </c>
      <c r="G545" s="13">
        <f t="shared" si="54"/>
        <v>44402</v>
      </c>
      <c r="H545" s="7">
        <f t="shared" ca="1" si="50"/>
        <v>-701</v>
      </c>
      <c r="I545" s="13">
        <v>44401</v>
      </c>
      <c r="J545" s="9">
        <f t="shared" ca="1" si="51"/>
        <v>0</v>
      </c>
      <c r="K545" s="10"/>
      <c r="L545" s="10" t="str">
        <f t="shared" si="52"/>
        <v>Accepted</v>
      </c>
      <c r="M545" s="11">
        <v>0</v>
      </c>
      <c r="N545" s="10" t="s">
        <v>30</v>
      </c>
      <c r="O545" s="42">
        <f t="shared" si="53"/>
        <v>18000</v>
      </c>
      <c r="P545" s="10" t="s">
        <v>19</v>
      </c>
    </row>
    <row r="546" spans="1:16" s="22" customFormat="1" ht="14.25" customHeight="1" x14ac:dyDescent="0.25">
      <c r="A546" s="5" t="s">
        <v>1222</v>
      </c>
      <c r="B546" s="22" t="s">
        <v>716</v>
      </c>
      <c r="C546" s="22" t="s">
        <v>932</v>
      </c>
      <c r="D546" s="18" t="s">
        <v>1223</v>
      </c>
      <c r="E546" s="24" t="str">
        <f t="shared" si="49"/>
        <v>S0380852E003</v>
      </c>
      <c r="F546" s="13">
        <v>44396</v>
      </c>
      <c r="G546" s="13">
        <f t="shared" si="54"/>
        <v>44402</v>
      </c>
      <c r="H546" s="7">
        <f t="shared" ca="1" si="50"/>
        <v>-701</v>
      </c>
      <c r="I546" s="13">
        <v>44401</v>
      </c>
      <c r="J546" s="9">
        <f t="shared" ca="1" si="51"/>
        <v>0</v>
      </c>
      <c r="K546" s="10"/>
      <c r="L546" s="10" t="str">
        <f t="shared" si="52"/>
        <v>Accepted</v>
      </c>
      <c r="M546" s="11">
        <v>0</v>
      </c>
      <c r="N546" s="10" t="s">
        <v>30</v>
      </c>
      <c r="O546" s="42">
        <f t="shared" si="53"/>
        <v>18000</v>
      </c>
      <c r="P546" s="10" t="s">
        <v>19</v>
      </c>
    </row>
    <row r="547" spans="1:16" s="22" customFormat="1" ht="14.25" customHeight="1" x14ac:dyDescent="0.25">
      <c r="A547" s="5" t="s">
        <v>1224</v>
      </c>
      <c r="B547" s="22" t="s">
        <v>716</v>
      </c>
      <c r="C547" s="22" t="s">
        <v>932</v>
      </c>
      <c r="D547" s="18" t="s">
        <v>1225</v>
      </c>
      <c r="E547" s="24" t="str">
        <f t="shared" si="49"/>
        <v>S0380852E005</v>
      </c>
      <c r="F547" s="13">
        <v>44396</v>
      </c>
      <c r="G547" s="13">
        <f t="shared" si="54"/>
        <v>44402</v>
      </c>
      <c r="H547" s="7">
        <f t="shared" ca="1" si="50"/>
        <v>-701</v>
      </c>
      <c r="I547" s="13">
        <v>44401</v>
      </c>
      <c r="J547" s="9">
        <f t="shared" ca="1" si="51"/>
        <v>0</v>
      </c>
      <c r="K547" s="10"/>
      <c r="L547" s="10" t="str">
        <f t="shared" si="52"/>
        <v>Accepted</v>
      </c>
      <c r="M547" s="11">
        <v>0</v>
      </c>
      <c r="N547" s="10" t="s">
        <v>30</v>
      </c>
      <c r="O547" s="42">
        <f t="shared" si="53"/>
        <v>18000</v>
      </c>
      <c r="P547" s="10" t="s">
        <v>19</v>
      </c>
    </row>
    <row r="548" spans="1:16" s="22" customFormat="1" ht="14.25" customHeight="1" x14ac:dyDescent="0.25">
      <c r="A548" s="5" t="s">
        <v>1226</v>
      </c>
      <c r="B548" s="22" t="s">
        <v>716</v>
      </c>
      <c r="C548" s="22" t="s">
        <v>932</v>
      </c>
      <c r="D548" s="18" t="s">
        <v>1227</v>
      </c>
      <c r="E548" s="24" t="str">
        <f t="shared" si="49"/>
        <v>S0380852E007</v>
      </c>
      <c r="F548" s="13">
        <v>44396</v>
      </c>
      <c r="G548" s="13">
        <f t="shared" si="54"/>
        <v>44402</v>
      </c>
      <c r="H548" s="7">
        <f t="shared" ca="1" si="50"/>
        <v>-701</v>
      </c>
      <c r="I548" s="13">
        <v>44401</v>
      </c>
      <c r="J548" s="9">
        <f t="shared" ca="1" si="51"/>
        <v>0</v>
      </c>
      <c r="K548" s="10"/>
      <c r="L548" s="10" t="str">
        <f t="shared" si="52"/>
        <v>Accepted</v>
      </c>
      <c r="M548" s="11">
        <v>0</v>
      </c>
      <c r="N548" s="10" t="s">
        <v>30</v>
      </c>
      <c r="O548" s="42">
        <f t="shared" si="53"/>
        <v>18000</v>
      </c>
      <c r="P548" s="10" t="s">
        <v>19</v>
      </c>
    </row>
    <row r="549" spans="1:16" s="22" customFormat="1" ht="14.25" customHeight="1" x14ac:dyDescent="0.25">
      <c r="A549" s="5" t="s">
        <v>1228</v>
      </c>
      <c r="B549" s="22" t="s">
        <v>716</v>
      </c>
      <c r="C549" s="22" t="s">
        <v>932</v>
      </c>
      <c r="D549" s="18" t="s">
        <v>1229</v>
      </c>
      <c r="E549" s="24" t="str">
        <f t="shared" si="49"/>
        <v>S0380852E009</v>
      </c>
      <c r="F549" s="13">
        <v>44396</v>
      </c>
      <c r="G549" s="13">
        <f t="shared" si="54"/>
        <v>44402</v>
      </c>
      <c r="H549" s="7">
        <f t="shared" ca="1" si="50"/>
        <v>-701</v>
      </c>
      <c r="I549" s="13">
        <v>44401</v>
      </c>
      <c r="J549" s="9">
        <f t="shared" ca="1" si="51"/>
        <v>0</v>
      </c>
      <c r="K549" s="10"/>
      <c r="L549" s="10" t="str">
        <f t="shared" si="52"/>
        <v>Accepted</v>
      </c>
      <c r="M549" s="11">
        <v>0</v>
      </c>
      <c r="N549" s="10" t="s">
        <v>30</v>
      </c>
      <c r="O549" s="42">
        <f t="shared" si="53"/>
        <v>18000</v>
      </c>
      <c r="P549" s="10" t="s">
        <v>19</v>
      </c>
    </row>
    <row r="550" spans="1:16" s="22" customFormat="1" ht="14.25" customHeight="1" x14ac:dyDescent="0.25">
      <c r="A550" s="5" t="s">
        <v>1230</v>
      </c>
      <c r="B550" s="22" t="s">
        <v>716</v>
      </c>
      <c r="C550" s="22" t="s">
        <v>932</v>
      </c>
      <c r="D550" s="18" t="s">
        <v>1231</v>
      </c>
      <c r="E550" s="24" t="str">
        <f t="shared" si="49"/>
        <v>S0380852E010</v>
      </c>
      <c r="F550" s="13">
        <v>44396</v>
      </c>
      <c r="G550" s="13">
        <f t="shared" si="54"/>
        <v>44402</v>
      </c>
      <c r="H550" s="7">
        <f t="shared" ca="1" si="50"/>
        <v>-701</v>
      </c>
      <c r="I550" s="13">
        <v>44401</v>
      </c>
      <c r="J550" s="9">
        <f t="shared" ca="1" si="51"/>
        <v>0</v>
      </c>
      <c r="K550" s="10"/>
      <c r="L550" s="10" t="str">
        <f t="shared" si="52"/>
        <v>Accepted</v>
      </c>
      <c r="M550" s="11">
        <v>0</v>
      </c>
      <c r="N550" s="10" t="s">
        <v>30</v>
      </c>
      <c r="O550" s="42">
        <f t="shared" si="53"/>
        <v>18000</v>
      </c>
      <c r="P550" s="10" t="s">
        <v>19</v>
      </c>
    </row>
    <row r="551" spans="1:16" s="22" customFormat="1" ht="14.25" customHeight="1" x14ac:dyDescent="0.25">
      <c r="A551" s="5" t="s">
        <v>1232</v>
      </c>
      <c r="B551" s="22" t="s">
        <v>716</v>
      </c>
      <c r="C551" s="22" t="s">
        <v>932</v>
      </c>
      <c r="D551" s="18" t="s">
        <v>1233</v>
      </c>
      <c r="E551" s="24" t="str">
        <f t="shared" si="49"/>
        <v>S0380902E006</v>
      </c>
      <c r="F551" s="13">
        <v>44396</v>
      </c>
      <c r="G551" s="13">
        <f t="shared" si="54"/>
        <v>44402</v>
      </c>
      <c r="H551" s="7">
        <f t="shared" ca="1" si="50"/>
        <v>-701</v>
      </c>
      <c r="I551" s="13">
        <v>44401</v>
      </c>
      <c r="J551" s="9">
        <f t="shared" ca="1" si="51"/>
        <v>0</v>
      </c>
      <c r="K551" s="10"/>
      <c r="L551" s="10" t="str">
        <f t="shared" si="52"/>
        <v>Accepted</v>
      </c>
      <c r="M551" s="11">
        <v>0</v>
      </c>
      <c r="N551" s="10" t="s">
        <v>18</v>
      </c>
      <c r="O551" s="42">
        <f t="shared" si="53"/>
        <v>15000</v>
      </c>
      <c r="P551" s="10" t="s">
        <v>19</v>
      </c>
    </row>
    <row r="552" spans="1:16" s="22" customFormat="1" ht="14.25" customHeight="1" x14ac:dyDescent="0.25">
      <c r="A552" s="5" t="s">
        <v>1234</v>
      </c>
      <c r="B552" s="22" t="s">
        <v>716</v>
      </c>
      <c r="C552" s="22" t="s">
        <v>787</v>
      </c>
      <c r="D552" s="18" t="s">
        <v>1235</v>
      </c>
      <c r="E552" s="24" t="str">
        <f t="shared" si="49"/>
        <v>S0380941E004</v>
      </c>
      <c r="F552" s="13">
        <v>44396</v>
      </c>
      <c r="G552" s="13">
        <f t="shared" si="54"/>
        <v>44402</v>
      </c>
      <c r="H552" s="7">
        <f t="shared" ca="1" si="50"/>
        <v>-701</v>
      </c>
      <c r="I552" s="13">
        <v>44401</v>
      </c>
      <c r="J552" s="9">
        <f t="shared" ca="1" si="51"/>
        <v>0</v>
      </c>
      <c r="K552" s="10"/>
      <c r="L552" s="10" t="str">
        <f t="shared" si="52"/>
        <v>Accepted</v>
      </c>
      <c r="M552" s="11">
        <v>0</v>
      </c>
      <c r="N552" s="10" t="s">
        <v>30</v>
      </c>
      <c r="O552" s="42">
        <f t="shared" si="53"/>
        <v>18000</v>
      </c>
      <c r="P552" s="10" t="s">
        <v>19</v>
      </c>
    </row>
    <row r="553" spans="1:16" s="22" customFormat="1" ht="14.25" customHeight="1" x14ac:dyDescent="0.25">
      <c r="A553" s="5" t="s">
        <v>1236</v>
      </c>
      <c r="B553" s="22" t="s">
        <v>716</v>
      </c>
      <c r="C553" s="22" t="s">
        <v>787</v>
      </c>
      <c r="D553" s="18" t="s">
        <v>1237</v>
      </c>
      <c r="E553" s="24" t="str">
        <f t="shared" si="49"/>
        <v>S0380941E005</v>
      </c>
      <c r="F553" s="13">
        <v>44396</v>
      </c>
      <c r="G553" s="13">
        <f t="shared" si="54"/>
        <v>44402</v>
      </c>
      <c r="H553" s="7">
        <f t="shared" ca="1" si="50"/>
        <v>-701</v>
      </c>
      <c r="I553" s="13">
        <v>44401</v>
      </c>
      <c r="J553" s="9">
        <f t="shared" ca="1" si="51"/>
        <v>0</v>
      </c>
      <c r="K553" s="10"/>
      <c r="L553" s="10" t="str">
        <f t="shared" si="52"/>
        <v>Accepted</v>
      </c>
      <c r="M553" s="11">
        <v>0</v>
      </c>
      <c r="N553" s="10" t="s">
        <v>18</v>
      </c>
      <c r="O553" s="42">
        <f t="shared" si="53"/>
        <v>15000</v>
      </c>
      <c r="P553" s="10" t="s">
        <v>19</v>
      </c>
    </row>
    <row r="554" spans="1:16" s="22" customFormat="1" ht="14.25" customHeight="1" x14ac:dyDescent="0.25">
      <c r="A554" s="5" t="s">
        <v>1238</v>
      </c>
      <c r="B554" s="22" t="s">
        <v>716</v>
      </c>
      <c r="C554" s="22" t="s">
        <v>787</v>
      </c>
      <c r="D554" s="18" t="s">
        <v>1239</v>
      </c>
      <c r="E554" s="24" t="str">
        <f t="shared" si="49"/>
        <v>S0380961E001</v>
      </c>
      <c r="F554" s="13">
        <v>44396</v>
      </c>
      <c r="G554" s="13">
        <f t="shared" si="54"/>
        <v>44402</v>
      </c>
      <c r="H554" s="7">
        <f t="shared" ca="1" si="50"/>
        <v>-701</v>
      </c>
      <c r="I554" s="13">
        <v>44401</v>
      </c>
      <c r="J554" s="9">
        <f t="shared" ca="1" si="51"/>
        <v>0</v>
      </c>
      <c r="K554" s="10"/>
      <c r="L554" s="10" t="str">
        <f t="shared" si="52"/>
        <v>Accepted</v>
      </c>
      <c r="M554" s="11">
        <v>0</v>
      </c>
      <c r="N554" s="10" t="s">
        <v>18</v>
      </c>
      <c r="O554" s="42">
        <f t="shared" si="53"/>
        <v>15000</v>
      </c>
      <c r="P554" s="10" t="s">
        <v>19</v>
      </c>
    </row>
    <row r="555" spans="1:16" s="22" customFormat="1" ht="14.25" customHeight="1" x14ac:dyDescent="0.25">
      <c r="A555" s="5" t="s">
        <v>1240</v>
      </c>
      <c r="B555" s="22" t="s">
        <v>716</v>
      </c>
      <c r="C555" s="22" t="s">
        <v>787</v>
      </c>
      <c r="D555" s="18" t="s">
        <v>1241</v>
      </c>
      <c r="E555" s="24" t="str">
        <f t="shared" si="49"/>
        <v>S0380961E006</v>
      </c>
      <c r="F555" s="13">
        <v>44396</v>
      </c>
      <c r="G555" s="13">
        <f t="shared" si="54"/>
        <v>44402</v>
      </c>
      <c r="H555" s="7">
        <f t="shared" ca="1" si="50"/>
        <v>-701</v>
      </c>
      <c r="I555" s="13">
        <v>44401</v>
      </c>
      <c r="J555" s="9">
        <f t="shared" ca="1" si="51"/>
        <v>0</v>
      </c>
      <c r="K555" s="10"/>
      <c r="L555" s="10" t="str">
        <f t="shared" si="52"/>
        <v>Accepted</v>
      </c>
      <c r="M555" s="11">
        <v>0</v>
      </c>
      <c r="N555" s="10" t="s">
        <v>18</v>
      </c>
      <c r="O555" s="42">
        <f t="shared" si="53"/>
        <v>15000</v>
      </c>
      <c r="P555" s="10" t="s">
        <v>19</v>
      </c>
    </row>
    <row r="556" spans="1:16" s="22" customFormat="1" ht="14.25" customHeight="1" x14ac:dyDescent="0.25">
      <c r="A556" s="5" t="s">
        <v>1262</v>
      </c>
      <c r="B556" s="22" t="s">
        <v>716</v>
      </c>
      <c r="C556" s="22" t="s">
        <v>787</v>
      </c>
      <c r="D556" s="18" t="s">
        <v>1263</v>
      </c>
      <c r="E556" s="24" t="str">
        <f t="shared" si="49"/>
        <v>S0381051E016</v>
      </c>
      <c r="F556" s="13">
        <v>44396</v>
      </c>
      <c r="G556" s="13">
        <f t="shared" si="54"/>
        <v>44402</v>
      </c>
      <c r="H556" s="7">
        <f t="shared" ca="1" si="50"/>
        <v>-701</v>
      </c>
      <c r="I556" s="13">
        <v>44401</v>
      </c>
      <c r="J556" s="9">
        <f t="shared" ca="1" si="51"/>
        <v>0</v>
      </c>
      <c r="K556" s="10"/>
      <c r="L556" s="10" t="str">
        <f t="shared" si="52"/>
        <v>Accepted</v>
      </c>
      <c r="M556" s="11">
        <v>0</v>
      </c>
      <c r="N556" s="10" t="s">
        <v>30</v>
      </c>
      <c r="O556" s="42">
        <f t="shared" si="53"/>
        <v>18000</v>
      </c>
      <c r="P556" s="10" t="s">
        <v>19</v>
      </c>
    </row>
    <row r="557" spans="1:16" s="22" customFormat="1" ht="14.25" customHeight="1" x14ac:dyDescent="0.25">
      <c r="A557" s="5" t="s">
        <v>1264</v>
      </c>
      <c r="B557" s="22" t="s">
        <v>716</v>
      </c>
      <c r="C557" s="22" t="s">
        <v>932</v>
      </c>
      <c r="D557" s="18" t="s">
        <v>1265</v>
      </c>
      <c r="E557" s="24" t="str">
        <f t="shared" si="49"/>
        <v>S0381321P001</v>
      </c>
      <c r="F557" s="13">
        <v>44396</v>
      </c>
      <c r="G557" s="13">
        <f t="shared" si="54"/>
        <v>44402</v>
      </c>
      <c r="H557" s="7">
        <f t="shared" ca="1" si="50"/>
        <v>-701</v>
      </c>
      <c r="I557" s="13">
        <v>44401</v>
      </c>
      <c r="J557" s="9">
        <f t="shared" ca="1" si="51"/>
        <v>0</v>
      </c>
      <c r="K557" s="10"/>
      <c r="L557" s="10" t="str">
        <f t="shared" si="52"/>
        <v>Accepted</v>
      </c>
      <c r="M557" s="11">
        <v>0</v>
      </c>
      <c r="N557" s="10" t="s">
        <v>30</v>
      </c>
      <c r="O557" s="42">
        <f t="shared" si="53"/>
        <v>18000</v>
      </c>
      <c r="P557" s="10" t="s">
        <v>19</v>
      </c>
    </row>
    <row r="558" spans="1:16" s="22" customFormat="1" ht="14.25" customHeight="1" x14ac:dyDescent="0.25">
      <c r="A558" s="5" t="s">
        <v>1266</v>
      </c>
      <c r="B558" s="22" t="s">
        <v>716</v>
      </c>
      <c r="C558" s="22" t="s">
        <v>932</v>
      </c>
      <c r="D558" s="18" t="s">
        <v>1267</v>
      </c>
      <c r="E558" s="24" t="str">
        <f t="shared" si="49"/>
        <v>S0381321P003</v>
      </c>
      <c r="F558" s="13">
        <v>44396</v>
      </c>
      <c r="G558" s="13">
        <f t="shared" si="54"/>
        <v>44402</v>
      </c>
      <c r="H558" s="7">
        <f t="shared" ca="1" si="50"/>
        <v>-701</v>
      </c>
      <c r="I558" s="13">
        <v>44401</v>
      </c>
      <c r="J558" s="9">
        <f t="shared" ca="1" si="51"/>
        <v>0</v>
      </c>
      <c r="K558" s="10"/>
      <c r="L558" s="10" t="str">
        <f t="shared" si="52"/>
        <v>Accepted</v>
      </c>
      <c r="M558" s="11">
        <v>0</v>
      </c>
      <c r="N558" s="10" t="s">
        <v>18</v>
      </c>
      <c r="O558" s="42">
        <f t="shared" si="53"/>
        <v>15000</v>
      </c>
      <c r="P558" s="10" t="s">
        <v>19</v>
      </c>
    </row>
    <row r="559" spans="1:16" s="22" customFormat="1" ht="14.25" customHeight="1" x14ac:dyDescent="0.25">
      <c r="A559" s="5" t="s">
        <v>1268</v>
      </c>
      <c r="B559" s="22" t="s">
        <v>716</v>
      </c>
      <c r="C559" s="22" t="s">
        <v>932</v>
      </c>
      <c r="D559" s="18" t="s">
        <v>1269</v>
      </c>
      <c r="E559" s="24" t="str">
        <f t="shared" si="49"/>
        <v>S0381321P004</v>
      </c>
      <c r="F559" s="13">
        <v>44396</v>
      </c>
      <c r="G559" s="13">
        <f t="shared" si="54"/>
        <v>44402</v>
      </c>
      <c r="H559" s="7">
        <f t="shared" ca="1" si="50"/>
        <v>-701</v>
      </c>
      <c r="I559" s="13">
        <v>44401</v>
      </c>
      <c r="J559" s="9">
        <f t="shared" ca="1" si="51"/>
        <v>0</v>
      </c>
      <c r="K559" s="10"/>
      <c r="L559" s="10" t="str">
        <f t="shared" si="52"/>
        <v>Accepted</v>
      </c>
      <c r="M559" s="11">
        <v>0</v>
      </c>
      <c r="N559" s="10" t="s">
        <v>18</v>
      </c>
      <c r="O559" s="42">
        <f t="shared" si="53"/>
        <v>15000</v>
      </c>
      <c r="P559" s="10" t="s">
        <v>19</v>
      </c>
    </row>
    <row r="560" spans="1:16" s="22" customFormat="1" ht="14.25" customHeight="1" x14ac:dyDescent="0.25">
      <c r="A560" s="5" t="s">
        <v>1272</v>
      </c>
      <c r="B560" s="22" t="s">
        <v>716</v>
      </c>
      <c r="C560" s="22" t="s">
        <v>787</v>
      </c>
      <c r="D560" s="18" t="s">
        <v>1273</v>
      </c>
      <c r="E560" s="24" t="str">
        <f t="shared" si="49"/>
        <v>S0381351P021</v>
      </c>
      <c r="F560" s="13">
        <v>44396</v>
      </c>
      <c r="G560" s="13">
        <f t="shared" si="54"/>
        <v>44402</v>
      </c>
      <c r="H560" s="7">
        <f t="shared" ca="1" si="50"/>
        <v>-701</v>
      </c>
      <c r="I560" s="13">
        <v>44401</v>
      </c>
      <c r="J560" s="9">
        <f t="shared" ca="1" si="51"/>
        <v>0</v>
      </c>
      <c r="K560" s="10"/>
      <c r="L560" s="10" t="str">
        <f t="shared" si="52"/>
        <v>Accepted</v>
      </c>
      <c r="M560" s="11">
        <v>0</v>
      </c>
      <c r="N560" s="10" t="s">
        <v>18</v>
      </c>
      <c r="O560" s="42">
        <f t="shared" si="53"/>
        <v>15000</v>
      </c>
      <c r="P560" s="10" t="s">
        <v>19</v>
      </c>
    </row>
    <row r="561" spans="1:16" s="22" customFormat="1" ht="14.25" customHeight="1" x14ac:dyDescent="0.25">
      <c r="A561" s="5" t="s">
        <v>1274</v>
      </c>
      <c r="B561" s="22" t="s">
        <v>716</v>
      </c>
      <c r="C561" s="22" t="s">
        <v>932</v>
      </c>
      <c r="D561" s="18" t="s">
        <v>1275</v>
      </c>
      <c r="E561" s="24" t="str">
        <f t="shared" si="49"/>
        <v>S0381362E001</v>
      </c>
      <c r="F561" s="13">
        <v>44396</v>
      </c>
      <c r="G561" s="13">
        <f t="shared" si="54"/>
        <v>44402</v>
      </c>
      <c r="H561" s="7">
        <f t="shared" ca="1" si="50"/>
        <v>-701</v>
      </c>
      <c r="I561" s="13">
        <v>44401</v>
      </c>
      <c r="J561" s="9">
        <f t="shared" ca="1" si="51"/>
        <v>0</v>
      </c>
      <c r="K561" s="10"/>
      <c r="L561" s="10" t="str">
        <f t="shared" si="52"/>
        <v>Accepted</v>
      </c>
      <c r="M561" s="11">
        <v>0</v>
      </c>
      <c r="N561" s="10" t="s">
        <v>30</v>
      </c>
      <c r="O561" s="42">
        <f t="shared" si="53"/>
        <v>18000</v>
      </c>
      <c r="P561" s="10" t="s">
        <v>19</v>
      </c>
    </row>
    <row r="562" spans="1:16" s="22" customFormat="1" ht="14.25" customHeight="1" x14ac:dyDescent="0.25">
      <c r="A562" s="5" t="s">
        <v>1278</v>
      </c>
      <c r="B562" s="22" t="s">
        <v>716</v>
      </c>
      <c r="C562" s="22" t="s">
        <v>992</v>
      </c>
      <c r="D562" s="18" t="s">
        <v>1279</v>
      </c>
      <c r="E562" s="24" t="str">
        <f t="shared" si="49"/>
        <v>S0380622E001</v>
      </c>
      <c r="F562" s="13">
        <v>44396</v>
      </c>
      <c r="G562" s="13">
        <f t="shared" si="54"/>
        <v>44402</v>
      </c>
      <c r="H562" s="7">
        <f t="shared" ca="1" si="50"/>
        <v>-701</v>
      </c>
      <c r="I562" s="13">
        <v>44401</v>
      </c>
      <c r="J562" s="9">
        <f t="shared" ca="1" si="51"/>
        <v>0</v>
      </c>
      <c r="K562" s="10"/>
      <c r="L562" s="10" t="str">
        <f t="shared" si="52"/>
        <v>Accepted</v>
      </c>
      <c r="M562" s="11">
        <v>0</v>
      </c>
      <c r="N562" s="10" t="s">
        <v>18</v>
      </c>
      <c r="O562" s="42">
        <f t="shared" si="53"/>
        <v>15000</v>
      </c>
      <c r="P562" s="10" t="s">
        <v>19</v>
      </c>
    </row>
    <row r="563" spans="1:16" s="22" customFormat="1" ht="14.25" customHeight="1" x14ac:dyDescent="0.25">
      <c r="A563" s="5" t="s">
        <v>1280</v>
      </c>
      <c r="B563" s="22" t="s">
        <v>716</v>
      </c>
      <c r="C563" s="22" t="s">
        <v>992</v>
      </c>
      <c r="D563" s="18" t="s">
        <v>1281</v>
      </c>
      <c r="E563" s="24" t="str">
        <f t="shared" si="49"/>
        <v>S0380622E004</v>
      </c>
      <c r="F563" s="13">
        <v>44396</v>
      </c>
      <c r="G563" s="13">
        <f t="shared" si="54"/>
        <v>44402</v>
      </c>
      <c r="H563" s="7">
        <f t="shared" ca="1" si="50"/>
        <v>-701</v>
      </c>
      <c r="I563" s="13">
        <v>44401</v>
      </c>
      <c r="J563" s="9">
        <f t="shared" ca="1" si="51"/>
        <v>0</v>
      </c>
      <c r="K563" s="10"/>
      <c r="L563" s="10" t="str">
        <f t="shared" si="52"/>
        <v>Accepted</v>
      </c>
      <c r="M563" s="11">
        <v>0</v>
      </c>
      <c r="N563" s="10" t="s">
        <v>18</v>
      </c>
      <c r="O563" s="42">
        <f t="shared" si="53"/>
        <v>15000</v>
      </c>
      <c r="P563" s="10" t="s">
        <v>19</v>
      </c>
    </row>
    <row r="564" spans="1:16" s="22" customFormat="1" ht="14.25" customHeight="1" x14ac:dyDescent="0.25">
      <c r="A564" s="5" t="s">
        <v>1282</v>
      </c>
      <c r="B564" s="22" t="s">
        <v>716</v>
      </c>
      <c r="C564" s="22" t="s">
        <v>992</v>
      </c>
      <c r="D564" s="18" t="s">
        <v>1283</v>
      </c>
      <c r="E564" s="24" t="str">
        <f t="shared" si="49"/>
        <v>S0380622E005</v>
      </c>
      <c r="F564" s="13">
        <v>44396</v>
      </c>
      <c r="G564" s="13">
        <f t="shared" si="54"/>
        <v>44402</v>
      </c>
      <c r="H564" s="7">
        <f t="shared" ca="1" si="50"/>
        <v>-701</v>
      </c>
      <c r="I564" s="13">
        <v>44401</v>
      </c>
      <c r="J564" s="9">
        <f t="shared" ca="1" si="51"/>
        <v>0</v>
      </c>
      <c r="K564" s="10"/>
      <c r="L564" s="10" t="str">
        <f t="shared" si="52"/>
        <v>Accepted</v>
      </c>
      <c r="M564" s="11">
        <v>0</v>
      </c>
      <c r="N564" s="10" t="s">
        <v>18</v>
      </c>
      <c r="O564" s="42">
        <f t="shared" si="53"/>
        <v>15000</v>
      </c>
      <c r="P564" s="10" t="s">
        <v>19</v>
      </c>
    </row>
    <row r="565" spans="1:16" s="22" customFormat="1" ht="14.25" customHeight="1" x14ac:dyDescent="0.25">
      <c r="A565" s="5" t="s">
        <v>1284</v>
      </c>
      <c r="B565" s="22" t="s">
        <v>716</v>
      </c>
      <c r="C565" s="22" t="s">
        <v>992</v>
      </c>
      <c r="D565" s="18" t="s">
        <v>1285</v>
      </c>
      <c r="E565" s="24" t="str">
        <f t="shared" si="49"/>
        <v>S0440551E001</v>
      </c>
      <c r="F565" s="13">
        <v>44396</v>
      </c>
      <c r="G565" s="13">
        <f t="shared" si="54"/>
        <v>44402</v>
      </c>
      <c r="H565" s="7">
        <f t="shared" ca="1" si="50"/>
        <v>-701</v>
      </c>
      <c r="I565" s="13">
        <v>44401</v>
      </c>
      <c r="J565" s="9">
        <f t="shared" ca="1" si="51"/>
        <v>0</v>
      </c>
      <c r="K565" s="10"/>
      <c r="L565" s="10" t="str">
        <f t="shared" si="52"/>
        <v>Accepted</v>
      </c>
      <c r="M565" s="11">
        <v>0</v>
      </c>
      <c r="N565" s="10" t="s">
        <v>18</v>
      </c>
      <c r="O565" s="42">
        <f t="shared" si="53"/>
        <v>15000</v>
      </c>
      <c r="P565" s="10" t="s">
        <v>19</v>
      </c>
    </row>
    <row r="566" spans="1:16" s="22" customFormat="1" ht="14.25" customHeight="1" x14ac:dyDescent="0.25">
      <c r="A566" s="5" t="s">
        <v>1242</v>
      </c>
      <c r="B566" s="22" t="s">
        <v>716</v>
      </c>
      <c r="C566" s="22" t="s">
        <v>787</v>
      </c>
      <c r="D566" s="18" t="s">
        <v>1243</v>
      </c>
      <c r="E566" s="24" t="str">
        <f t="shared" si="49"/>
        <v>S0380961E007</v>
      </c>
      <c r="F566" s="13">
        <v>44396</v>
      </c>
      <c r="G566" s="13">
        <f t="shared" si="54"/>
        <v>44402</v>
      </c>
      <c r="H566" s="7">
        <f t="shared" ca="1" si="50"/>
        <v>-701</v>
      </c>
      <c r="I566" s="13">
        <v>44402</v>
      </c>
      <c r="J566" s="9">
        <f t="shared" ca="1" si="51"/>
        <v>0</v>
      </c>
      <c r="K566" s="10"/>
      <c r="L566" s="10" t="str">
        <f t="shared" si="52"/>
        <v>Accepted</v>
      </c>
      <c r="M566" s="11">
        <v>0</v>
      </c>
      <c r="N566" s="10" t="s">
        <v>18</v>
      </c>
      <c r="O566" s="42">
        <f t="shared" si="53"/>
        <v>15000</v>
      </c>
      <c r="P566" s="10" t="s">
        <v>19</v>
      </c>
    </row>
    <row r="567" spans="1:16" s="22" customFormat="1" ht="14.25" customHeight="1" x14ac:dyDescent="0.25">
      <c r="A567" s="5" t="s">
        <v>1244</v>
      </c>
      <c r="B567" s="22" t="s">
        <v>716</v>
      </c>
      <c r="C567" s="22" t="s">
        <v>787</v>
      </c>
      <c r="D567" s="18" t="s">
        <v>1245</v>
      </c>
      <c r="E567" s="24" t="str">
        <f t="shared" si="49"/>
        <v>S0380991E005</v>
      </c>
      <c r="F567" s="13">
        <v>44396</v>
      </c>
      <c r="G567" s="13">
        <f t="shared" si="54"/>
        <v>44402</v>
      </c>
      <c r="H567" s="7">
        <f t="shared" ca="1" si="50"/>
        <v>-701</v>
      </c>
      <c r="I567" s="13">
        <v>44402</v>
      </c>
      <c r="J567" s="9">
        <f t="shared" ca="1" si="51"/>
        <v>0</v>
      </c>
      <c r="K567" s="10"/>
      <c r="L567" s="10" t="str">
        <f t="shared" si="52"/>
        <v>Accepted</v>
      </c>
      <c r="M567" s="11">
        <v>0</v>
      </c>
      <c r="N567" s="10" t="s">
        <v>18</v>
      </c>
      <c r="O567" s="42">
        <f t="shared" si="53"/>
        <v>15000</v>
      </c>
      <c r="P567" s="10" t="s">
        <v>19</v>
      </c>
    </row>
    <row r="568" spans="1:16" s="22" customFormat="1" ht="14.25" customHeight="1" x14ac:dyDescent="0.25">
      <c r="A568" s="5" t="s">
        <v>1246</v>
      </c>
      <c r="B568" s="22" t="s">
        <v>716</v>
      </c>
      <c r="C568" s="22" t="s">
        <v>787</v>
      </c>
      <c r="D568" s="18" t="s">
        <v>1247</v>
      </c>
      <c r="E568" s="24" t="str">
        <f t="shared" si="49"/>
        <v>S0380991E006</v>
      </c>
      <c r="F568" s="13">
        <v>44396</v>
      </c>
      <c r="G568" s="13">
        <f t="shared" si="54"/>
        <v>44402</v>
      </c>
      <c r="H568" s="7">
        <f t="shared" ca="1" si="50"/>
        <v>-701</v>
      </c>
      <c r="I568" s="13">
        <v>44402</v>
      </c>
      <c r="J568" s="9">
        <f t="shared" ca="1" si="51"/>
        <v>0</v>
      </c>
      <c r="K568" s="10"/>
      <c r="L568" s="10" t="str">
        <f t="shared" si="52"/>
        <v>Accepted</v>
      </c>
      <c r="M568" s="11">
        <v>0</v>
      </c>
      <c r="N568" s="10" t="s">
        <v>18</v>
      </c>
      <c r="O568" s="42">
        <f t="shared" si="53"/>
        <v>15000</v>
      </c>
      <c r="P568" s="10" t="s">
        <v>19</v>
      </c>
    </row>
    <row r="569" spans="1:16" s="22" customFormat="1" ht="14.25" customHeight="1" x14ac:dyDescent="0.25">
      <c r="A569" s="5" t="s">
        <v>1248</v>
      </c>
      <c r="B569" s="22" t="s">
        <v>716</v>
      </c>
      <c r="C569" s="22" t="s">
        <v>787</v>
      </c>
      <c r="D569" s="18" t="s">
        <v>1249</v>
      </c>
      <c r="E569" s="24" t="str">
        <f t="shared" si="49"/>
        <v>S0380992E001</v>
      </c>
      <c r="F569" s="13">
        <v>44396</v>
      </c>
      <c r="G569" s="13">
        <f t="shared" si="54"/>
        <v>44402</v>
      </c>
      <c r="H569" s="7">
        <f t="shared" ca="1" si="50"/>
        <v>-701</v>
      </c>
      <c r="I569" s="13">
        <v>44402</v>
      </c>
      <c r="J569" s="9">
        <f t="shared" ca="1" si="51"/>
        <v>0</v>
      </c>
      <c r="K569" s="10"/>
      <c r="L569" s="10" t="str">
        <f t="shared" si="52"/>
        <v>Accepted</v>
      </c>
      <c r="M569" s="11">
        <v>0</v>
      </c>
      <c r="N569" s="10" t="s">
        <v>18</v>
      </c>
      <c r="O569" s="42">
        <f t="shared" si="53"/>
        <v>15000</v>
      </c>
      <c r="P569" s="10" t="s">
        <v>19</v>
      </c>
    </row>
    <row r="570" spans="1:16" s="22" customFormat="1" ht="14.25" customHeight="1" x14ac:dyDescent="0.25">
      <c r="A570" s="5" t="s">
        <v>1340</v>
      </c>
      <c r="B570" s="22" t="s">
        <v>716</v>
      </c>
      <c r="C570" s="22" t="s">
        <v>2505</v>
      </c>
      <c r="D570" s="18" t="s">
        <v>1341</v>
      </c>
      <c r="E570" s="24" t="str">
        <f t="shared" si="49"/>
        <v>S0490101E004</v>
      </c>
      <c r="F570" s="13">
        <v>44403</v>
      </c>
      <c r="G570" s="13">
        <f t="shared" si="54"/>
        <v>44409</v>
      </c>
      <c r="H570" s="7">
        <f t="shared" ca="1" si="50"/>
        <v>-694</v>
      </c>
      <c r="I570" s="13">
        <v>44404</v>
      </c>
      <c r="J570" s="9">
        <f t="shared" ca="1" si="51"/>
        <v>700</v>
      </c>
      <c r="K570" s="10" t="s">
        <v>771</v>
      </c>
      <c r="L570" s="10" t="str">
        <f t="shared" si="52"/>
        <v>Rejected</v>
      </c>
      <c r="M570" s="11">
        <v>1</v>
      </c>
      <c r="N570" s="10" t="s">
        <v>18</v>
      </c>
      <c r="O570" s="42">
        <f t="shared" si="53"/>
        <v>0</v>
      </c>
      <c r="P570" s="10" t="s">
        <v>2485</v>
      </c>
    </row>
    <row r="571" spans="1:16" s="22" customFormat="1" ht="14.25" customHeight="1" x14ac:dyDescent="0.25">
      <c r="A571" s="5" t="s">
        <v>1342</v>
      </c>
      <c r="B571" s="22" t="s">
        <v>716</v>
      </c>
      <c r="C571" s="22" t="s">
        <v>2505</v>
      </c>
      <c r="D571" s="18" t="s">
        <v>1343</v>
      </c>
      <c r="E571" s="24" t="str">
        <f t="shared" si="49"/>
        <v>S0490101E009</v>
      </c>
      <c r="F571" s="13">
        <v>44403</v>
      </c>
      <c r="G571" s="13">
        <f t="shared" si="54"/>
        <v>44409</v>
      </c>
      <c r="H571" s="7">
        <f t="shared" ca="1" si="50"/>
        <v>-694</v>
      </c>
      <c r="I571" s="13">
        <v>44404</v>
      </c>
      <c r="J571" s="9">
        <f t="shared" ca="1" si="51"/>
        <v>700</v>
      </c>
      <c r="K571" s="10" t="s">
        <v>771</v>
      </c>
      <c r="L571" s="10" t="str">
        <f t="shared" si="52"/>
        <v>Rejected</v>
      </c>
      <c r="M571" s="11">
        <v>1</v>
      </c>
      <c r="N571" s="10" t="s">
        <v>18</v>
      </c>
      <c r="O571" s="42">
        <f t="shared" si="53"/>
        <v>0</v>
      </c>
      <c r="P571" s="10" t="s">
        <v>2485</v>
      </c>
    </row>
    <row r="572" spans="1:16" s="22" customFormat="1" ht="14.25" customHeight="1" x14ac:dyDescent="0.25">
      <c r="A572" s="5" t="s">
        <v>1344</v>
      </c>
      <c r="B572" s="22" t="s">
        <v>716</v>
      </c>
      <c r="C572" s="22" t="s">
        <v>2505</v>
      </c>
      <c r="D572" s="18" t="s">
        <v>1345</v>
      </c>
      <c r="E572" s="24" t="str">
        <f t="shared" si="49"/>
        <v>S0490112E003</v>
      </c>
      <c r="F572" s="13">
        <v>44403</v>
      </c>
      <c r="G572" s="13">
        <f t="shared" si="54"/>
        <v>44409</v>
      </c>
      <c r="H572" s="7">
        <f t="shared" ca="1" si="50"/>
        <v>-694</v>
      </c>
      <c r="I572" s="13">
        <v>44406</v>
      </c>
      <c r="J572" s="9">
        <f t="shared" ca="1" si="51"/>
        <v>700</v>
      </c>
      <c r="K572" s="10" t="s">
        <v>771</v>
      </c>
      <c r="L572" s="10" t="str">
        <f t="shared" si="52"/>
        <v>Rejected</v>
      </c>
      <c r="M572" s="11">
        <v>1</v>
      </c>
      <c r="N572" s="10" t="s">
        <v>18</v>
      </c>
      <c r="O572" s="42">
        <f t="shared" si="53"/>
        <v>0</v>
      </c>
      <c r="P572" s="10" t="s">
        <v>2485</v>
      </c>
    </row>
    <row r="573" spans="1:16" s="22" customFormat="1" ht="14.25" customHeight="1" x14ac:dyDescent="0.25">
      <c r="A573" s="5" t="s">
        <v>1346</v>
      </c>
      <c r="B573" s="22" t="s">
        <v>716</v>
      </c>
      <c r="C573" s="22" t="s">
        <v>787</v>
      </c>
      <c r="D573" s="18" t="s">
        <v>1347</v>
      </c>
      <c r="E573" s="24" t="str">
        <f t="shared" si="49"/>
        <v>S0510382E003</v>
      </c>
      <c r="F573" s="13">
        <v>44403</v>
      </c>
      <c r="G573" s="13">
        <f t="shared" si="54"/>
        <v>44409</v>
      </c>
      <c r="H573" s="7">
        <f t="shared" ca="1" si="50"/>
        <v>-694</v>
      </c>
      <c r="I573" s="13">
        <v>44406</v>
      </c>
      <c r="J573" s="9">
        <f t="shared" ca="1" si="51"/>
        <v>0</v>
      </c>
      <c r="K573" s="10"/>
      <c r="L573" s="10" t="str">
        <f t="shared" si="52"/>
        <v>Accepted</v>
      </c>
      <c r="M573" s="11">
        <v>0</v>
      </c>
      <c r="N573" s="10" t="s">
        <v>18</v>
      </c>
      <c r="O573" s="42">
        <f t="shared" si="53"/>
        <v>15000</v>
      </c>
      <c r="P573" s="10" t="s">
        <v>19</v>
      </c>
    </row>
    <row r="574" spans="1:16" s="22" customFormat="1" ht="14.25" customHeight="1" x14ac:dyDescent="0.25">
      <c r="A574" s="5" t="s">
        <v>1348</v>
      </c>
      <c r="B574" s="22" t="s">
        <v>716</v>
      </c>
      <c r="C574" s="22" t="s">
        <v>787</v>
      </c>
      <c r="D574" s="18" t="s">
        <v>1349</v>
      </c>
      <c r="E574" s="24" t="str">
        <f t="shared" si="49"/>
        <v>S0510382E004</v>
      </c>
      <c r="F574" s="13">
        <v>44403</v>
      </c>
      <c r="G574" s="13">
        <f t="shared" si="54"/>
        <v>44409</v>
      </c>
      <c r="H574" s="7">
        <f t="shared" ca="1" si="50"/>
        <v>-694</v>
      </c>
      <c r="I574" s="13">
        <v>44406</v>
      </c>
      <c r="J574" s="9">
        <f t="shared" ca="1" si="51"/>
        <v>0</v>
      </c>
      <c r="K574" s="10"/>
      <c r="L574" s="10" t="str">
        <f t="shared" si="52"/>
        <v>Accepted</v>
      </c>
      <c r="M574" s="11">
        <v>0</v>
      </c>
      <c r="N574" s="10" t="s">
        <v>18</v>
      </c>
      <c r="O574" s="42">
        <f t="shared" si="53"/>
        <v>15000</v>
      </c>
      <c r="P574" s="10" t="s">
        <v>19</v>
      </c>
    </row>
    <row r="575" spans="1:16" s="22" customFormat="1" ht="14.25" customHeight="1" x14ac:dyDescent="0.25">
      <c r="A575" s="5" t="s">
        <v>1350</v>
      </c>
      <c r="B575" s="22" t="s">
        <v>716</v>
      </c>
      <c r="C575" s="22" t="s">
        <v>787</v>
      </c>
      <c r="D575" s="18" t="s">
        <v>1351</v>
      </c>
      <c r="E575" s="24" t="str">
        <f t="shared" si="49"/>
        <v>S0510382E005</v>
      </c>
      <c r="F575" s="13">
        <v>44403</v>
      </c>
      <c r="G575" s="13">
        <f t="shared" si="54"/>
        <v>44409</v>
      </c>
      <c r="H575" s="7">
        <f t="shared" ca="1" si="50"/>
        <v>-694</v>
      </c>
      <c r="I575" s="13">
        <v>44406</v>
      </c>
      <c r="J575" s="9">
        <f t="shared" ca="1" si="51"/>
        <v>0</v>
      </c>
      <c r="K575" s="10"/>
      <c r="L575" s="10" t="str">
        <f t="shared" si="52"/>
        <v>Accepted</v>
      </c>
      <c r="M575" s="11">
        <v>0</v>
      </c>
      <c r="N575" s="10" t="s">
        <v>18</v>
      </c>
      <c r="O575" s="42">
        <f t="shared" si="53"/>
        <v>15000</v>
      </c>
      <c r="P575" s="10" t="s">
        <v>19</v>
      </c>
    </row>
    <row r="576" spans="1:16" s="22" customFormat="1" ht="14.25" customHeight="1" x14ac:dyDescent="0.25">
      <c r="A576" s="5" t="s">
        <v>1352</v>
      </c>
      <c r="B576" s="22" t="s">
        <v>716</v>
      </c>
      <c r="C576" s="22" t="s">
        <v>787</v>
      </c>
      <c r="D576" s="18" t="s">
        <v>1353</v>
      </c>
      <c r="E576" s="24" t="str">
        <f t="shared" si="49"/>
        <v>S0510382E006</v>
      </c>
      <c r="F576" s="13">
        <v>44403</v>
      </c>
      <c r="G576" s="13">
        <f t="shared" si="54"/>
        <v>44409</v>
      </c>
      <c r="H576" s="7">
        <f t="shared" ca="1" si="50"/>
        <v>-694</v>
      </c>
      <c r="I576" s="13">
        <v>44406</v>
      </c>
      <c r="J576" s="9">
        <f t="shared" ca="1" si="51"/>
        <v>0</v>
      </c>
      <c r="K576" s="10"/>
      <c r="L576" s="10" t="str">
        <f t="shared" si="52"/>
        <v>Accepted</v>
      </c>
      <c r="M576" s="11">
        <v>0</v>
      </c>
      <c r="N576" s="10" t="s">
        <v>18</v>
      </c>
      <c r="O576" s="42">
        <f t="shared" si="53"/>
        <v>15000</v>
      </c>
      <c r="P576" s="10" t="s">
        <v>19</v>
      </c>
    </row>
    <row r="577" spans="1:16" s="22" customFormat="1" ht="14.25" customHeight="1" x14ac:dyDescent="0.25">
      <c r="A577" s="5" t="s">
        <v>1354</v>
      </c>
      <c r="B577" s="22" t="s">
        <v>716</v>
      </c>
      <c r="C577" s="22" t="s">
        <v>787</v>
      </c>
      <c r="D577" s="18" t="s">
        <v>1355</v>
      </c>
      <c r="E577" s="24" t="str">
        <f t="shared" si="49"/>
        <v>S0510382E007</v>
      </c>
      <c r="F577" s="13">
        <v>44403</v>
      </c>
      <c r="G577" s="13">
        <f t="shared" si="54"/>
        <v>44409</v>
      </c>
      <c r="H577" s="7">
        <f t="shared" ca="1" si="50"/>
        <v>-694</v>
      </c>
      <c r="I577" s="13">
        <v>44406</v>
      </c>
      <c r="J577" s="9">
        <f t="shared" ca="1" si="51"/>
        <v>0</v>
      </c>
      <c r="K577" s="10"/>
      <c r="L577" s="10" t="str">
        <f t="shared" si="52"/>
        <v>Accepted</v>
      </c>
      <c r="M577" s="11">
        <v>0</v>
      </c>
      <c r="N577" s="10" t="s">
        <v>18</v>
      </c>
      <c r="O577" s="42">
        <f t="shared" si="53"/>
        <v>15000</v>
      </c>
      <c r="P577" s="10" t="s">
        <v>19</v>
      </c>
    </row>
    <row r="578" spans="1:16" s="22" customFormat="1" ht="14.25" customHeight="1" x14ac:dyDescent="0.25">
      <c r="A578" s="5" t="s">
        <v>1356</v>
      </c>
      <c r="B578" s="22" t="s">
        <v>716</v>
      </c>
      <c r="C578" s="22" t="s">
        <v>787</v>
      </c>
      <c r="D578" s="18" t="s">
        <v>1357</v>
      </c>
      <c r="E578" s="24" t="str">
        <f t="shared" ref="E578:E641" si="55">HYPERLINK(D578,A578)</f>
        <v>S0510382E008</v>
      </c>
      <c r="F578" s="13">
        <v>44403</v>
      </c>
      <c r="G578" s="13">
        <f t="shared" si="54"/>
        <v>44409</v>
      </c>
      <c r="H578" s="7">
        <f t="shared" ref="H578:H641" ca="1" si="56">G578-TODAY()</f>
        <v>-694</v>
      </c>
      <c r="I578" s="13">
        <v>44406</v>
      </c>
      <c r="J578" s="9">
        <f t="shared" ref="J578:J641" ca="1" si="57">IF(L578="Accepted",0,TODAY()-F578)</f>
        <v>0</v>
      </c>
      <c r="K578" s="10"/>
      <c r="L578" s="10" t="str">
        <f t="shared" ref="L578:L641" si="58">IF(AND(NOT(ISBLANK(I578)), ISBLANK(K578)),"Accepted", IF(AND(ISBLANK(I578),ISBLANK(K578)),"Not Submitted", "Rejected"))</f>
        <v>Accepted</v>
      </c>
      <c r="M578" s="11">
        <v>0</v>
      </c>
      <c r="N578" s="10" t="s">
        <v>18</v>
      </c>
      <c r="O578" s="42">
        <f t="shared" ref="O578:O641" si="59">IF(AND(L578="Accepted",B578="SMA",N578="no"),20000,
IF(AND(L578="Accepted",OR(B578="SMP",B578="SD"),N578="no"),15000,
IF(AND(L578="Accepted",B578="SMA",N578="yes"),25000,
IF(AND(L578="Accepted",OR(B578="SMP",B578="SD"),N578="yes"),18000,
0))))</f>
        <v>15000</v>
      </c>
      <c r="P578" s="10" t="s">
        <v>19</v>
      </c>
    </row>
    <row r="579" spans="1:16" s="22" customFormat="1" ht="14.25" customHeight="1" x14ac:dyDescent="0.25">
      <c r="A579" s="5" t="s">
        <v>1358</v>
      </c>
      <c r="B579" s="22" t="s">
        <v>716</v>
      </c>
      <c r="C579" s="22" t="s">
        <v>787</v>
      </c>
      <c r="D579" s="18" t="s">
        <v>1359</v>
      </c>
      <c r="E579" s="24" t="str">
        <f t="shared" si="55"/>
        <v>S0510382E009</v>
      </c>
      <c r="F579" s="13">
        <v>44403</v>
      </c>
      <c r="G579" s="13">
        <f t="shared" si="54"/>
        <v>44409</v>
      </c>
      <c r="H579" s="7">
        <f t="shared" ca="1" si="56"/>
        <v>-694</v>
      </c>
      <c r="I579" s="13">
        <v>44406</v>
      </c>
      <c r="J579" s="9">
        <f t="shared" ca="1" si="57"/>
        <v>0</v>
      </c>
      <c r="K579" s="10"/>
      <c r="L579" s="10" t="str">
        <f t="shared" si="58"/>
        <v>Accepted</v>
      </c>
      <c r="M579" s="11">
        <v>0</v>
      </c>
      <c r="N579" s="10" t="s">
        <v>18</v>
      </c>
      <c r="O579" s="42">
        <f t="shared" si="59"/>
        <v>15000</v>
      </c>
      <c r="P579" s="10" t="s">
        <v>19</v>
      </c>
    </row>
    <row r="580" spans="1:16" s="22" customFormat="1" ht="14.25" customHeight="1" x14ac:dyDescent="0.25">
      <c r="A580" s="5" t="s">
        <v>1360</v>
      </c>
      <c r="B580" s="22" t="s">
        <v>716</v>
      </c>
      <c r="C580" s="22" t="s">
        <v>787</v>
      </c>
      <c r="D580" s="18" t="s">
        <v>1361</v>
      </c>
      <c r="E580" s="24" t="str">
        <f t="shared" si="55"/>
        <v>S0510382E010</v>
      </c>
      <c r="F580" s="13">
        <v>44403</v>
      </c>
      <c r="G580" s="13">
        <f t="shared" si="54"/>
        <v>44409</v>
      </c>
      <c r="H580" s="7">
        <f t="shared" ca="1" si="56"/>
        <v>-694</v>
      </c>
      <c r="I580" s="13">
        <v>44406</v>
      </c>
      <c r="J580" s="9">
        <f t="shared" ca="1" si="57"/>
        <v>0</v>
      </c>
      <c r="K580" s="10"/>
      <c r="L580" s="10" t="str">
        <f t="shared" si="58"/>
        <v>Accepted</v>
      </c>
      <c r="M580" s="11">
        <v>0</v>
      </c>
      <c r="N580" s="10" t="s">
        <v>18</v>
      </c>
      <c r="O580" s="42">
        <f t="shared" si="59"/>
        <v>15000</v>
      </c>
      <c r="P580" s="10" t="s">
        <v>19</v>
      </c>
    </row>
    <row r="581" spans="1:16" s="22" customFormat="1" ht="14.25" customHeight="1" x14ac:dyDescent="0.25">
      <c r="A581" s="5" t="s">
        <v>1362</v>
      </c>
      <c r="B581" s="22" t="s">
        <v>716</v>
      </c>
      <c r="C581" s="22" t="s">
        <v>787</v>
      </c>
      <c r="D581" s="18" t="s">
        <v>1363</v>
      </c>
      <c r="E581" s="24" t="str">
        <f t="shared" si="55"/>
        <v>S0510382E011</v>
      </c>
      <c r="F581" s="13">
        <v>44403</v>
      </c>
      <c r="G581" s="13">
        <f t="shared" si="54"/>
        <v>44409</v>
      </c>
      <c r="H581" s="7">
        <f t="shared" ca="1" si="56"/>
        <v>-694</v>
      </c>
      <c r="I581" s="13">
        <v>44406</v>
      </c>
      <c r="J581" s="9">
        <f t="shared" ca="1" si="57"/>
        <v>0</v>
      </c>
      <c r="K581" s="10"/>
      <c r="L581" s="10" t="str">
        <f t="shared" si="58"/>
        <v>Accepted</v>
      </c>
      <c r="M581" s="11">
        <v>0</v>
      </c>
      <c r="N581" s="10" t="s">
        <v>18</v>
      </c>
      <c r="O581" s="42">
        <f t="shared" si="59"/>
        <v>15000</v>
      </c>
      <c r="P581" s="10" t="s">
        <v>19</v>
      </c>
    </row>
    <row r="582" spans="1:16" s="22" customFormat="1" ht="14.25" customHeight="1" x14ac:dyDescent="0.25">
      <c r="A582" s="5" t="s">
        <v>1364</v>
      </c>
      <c r="B582" s="22" t="s">
        <v>716</v>
      </c>
      <c r="C582" s="22" t="s">
        <v>787</v>
      </c>
      <c r="D582" s="18" t="s">
        <v>1365</v>
      </c>
      <c r="E582" s="24" t="str">
        <f t="shared" si="55"/>
        <v>S0510382E012</v>
      </c>
      <c r="F582" s="13">
        <v>44403</v>
      </c>
      <c r="G582" s="13">
        <f t="shared" si="54"/>
        <v>44409</v>
      </c>
      <c r="H582" s="7">
        <f t="shared" ca="1" si="56"/>
        <v>-694</v>
      </c>
      <c r="I582" s="13">
        <v>44406</v>
      </c>
      <c r="J582" s="9">
        <f t="shared" ca="1" si="57"/>
        <v>0</v>
      </c>
      <c r="K582" s="10"/>
      <c r="L582" s="10" t="str">
        <f t="shared" si="58"/>
        <v>Accepted</v>
      </c>
      <c r="M582" s="11">
        <v>0</v>
      </c>
      <c r="N582" s="10" t="s">
        <v>18</v>
      </c>
      <c r="O582" s="42">
        <f t="shared" si="59"/>
        <v>15000</v>
      </c>
      <c r="P582" s="10" t="s">
        <v>19</v>
      </c>
    </row>
    <row r="583" spans="1:16" s="22" customFormat="1" ht="14.25" customHeight="1" x14ac:dyDescent="0.25">
      <c r="A583" s="5" t="s">
        <v>1366</v>
      </c>
      <c r="B583" s="22" t="s">
        <v>716</v>
      </c>
      <c r="C583" s="22" t="s">
        <v>787</v>
      </c>
      <c r="D583" s="18" t="s">
        <v>1367</v>
      </c>
      <c r="E583" s="24" t="str">
        <f t="shared" si="55"/>
        <v>S0510382E013</v>
      </c>
      <c r="F583" s="13">
        <v>44403</v>
      </c>
      <c r="G583" s="13">
        <f t="shared" si="54"/>
        <v>44409</v>
      </c>
      <c r="H583" s="7">
        <f t="shared" ca="1" si="56"/>
        <v>-694</v>
      </c>
      <c r="I583" s="13">
        <v>44406</v>
      </c>
      <c r="J583" s="9">
        <f t="shared" ca="1" si="57"/>
        <v>0</v>
      </c>
      <c r="K583" s="10"/>
      <c r="L583" s="10" t="str">
        <f t="shared" si="58"/>
        <v>Accepted</v>
      </c>
      <c r="M583" s="11">
        <v>0</v>
      </c>
      <c r="N583" s="10" t="s">
        <v>18</v>
      </c>
      <c r="O583" s="42">
        <f t="shared" si="59"/>
        <v>15000</v>
      </c>
      <c r="P583" s="10" t="s">
        <v>19</v>
      </c>
    </row>
    <row r="584" spans="1:16" s="22" customFormat="1" ht="14.25" customHeight="1" x14ac:dyDescent="0.25">
      <c r="A584" s="5" t="s">
        <v>1368</v>
      </c>
      <c r="B584" s="22" t="s">
        <v>716</v>
      </c>
      <c r="C584" s="22" t="s">
        <v>787</v>
      </c>
      <c r="D584" s="18" t="s">
        <v>1369</v>
      </c>
      <c r="E584" s="24" t="str">
        <f t="shared" si="55"/>
        <v>S0510382E014</v>
      </c>
      <c r="F584" s="13">
        <v>44403</v>
      </c>
      <c r="G584" s="13">
        <f t="shared" si="54"/>
        <v>44409</v>
      </c>
      <c r="H584" s="7">
        <f t="shared" ca="1" si="56"/>
        <v>-694</v>
      </c>
      <c r="I584" s="13">
        <v>44406</v>
      </c>
      <c r="J584" s="9">
        <f t="shared" ca="1" si="57"/>
        <v>0</v>
      </c>
      <c r="K584" s="10"/>
      <c r="L584" s="10" t="str">
        <f t="shared" si="58"/>
        <v>Accepted</v>
      </c>
      <c r="M584" s="11">
        <v>0</v>
      </c>
      <c r="N584" s="10" t="s">
        <v>18</v>
      </c>
      <c r="O584" s="42">
        <f t="shared" si="59"/>
        <v>15000</v>
      </c>
      <c r="P584" s="10" t="s">
        <v>19</v>
      </c>
    </row>
    <row r="585" spans="1:16" s="22" customFormat="1" ht="14.25" customHeight="1" x14ac:dyDescent="0.25">
      <c r="A585" s="5" t="s">
        <v>1370</v>
      </c>
      <c r="B585" s="22" t="s">
        <v>716</v>
      </c>
      <c r="C585" s="22" t="s">
        <v>787</v>
      </c>
      <c r="D585" s="18" t="s">
        <v>1371</v>
      </c>
      <c r="E585" s="24" t="str">
        <f t="shared" si="55"/>
        <v>S0510382E015</v>
      </c>
      <c r="F585" s="13">
        <v>44403</v>
      </c>
      <c r="G585" s="13">
        <f t="shared" si="54"/>
        <v>44409</v>
      </c>
      <c r="H585" s="7">
        <f t="shared" ca="1" si="56"/>
        <v>-694</v>
      </c>
      <c r="I585" s="13">
        <v>44406</v>
      </c>
      <c r="J585" s="9">
        <f t="shared" ca="1" si="57"/>
        <v>0</v>
      </c>
      <c r="K585" s="10"/>
      <c r="L585" s="10" t="str">
        <f t="shared" si="58"/>
        <v>Accepted</v>
      </c>
      <c r="M585" s="11">
        <v>0</v>
      </c>
      <c r="N585" s="10" t="s">
        <v>18</v>
      </c>
      <c r="O585" s="42">
        <f t="shared" si="59"/>
        <v>15000</v>
      </c>
      <c r="P585" s="10" t="s">
        <v>19</v>
      </c>
    </row>
    <row r="586" spans="1:16" s="22" customFormat="1" ht="14.25" customHeight="1" x14ac:dyDescent="0.25">
      <c r="A586" s="5" t="s">
        <v>1372</v>
      </c>
      <c r="B586" s="22" t="s">
        <v>716</v>
      </c>
      <c r="C586" s="22" t="s">
        <v>787</v>
      </c>
      <c r="D586" s="18" t="s">
        <v>1373</v>
      </c>
      <c r="E586" s="24" t="str">
        <f t="shared" si="55"/>
        <v>S0510382E016</v>
      </c>
      <c r="F586" s="13">
        <v>44403</v>
      </c>
      <c r="G586" s="13">
        <f t="shared" si="54"/>
        <v>44409</v>
      </c>
      <c r="H586" s="7">
        <f t="shared" ca="1" si="56"/>
        <v>-694</v>
      </c>
      <c r="I586" s="13">
        <v>44406</v>
      </c>
      <c r="J586" s="9">
        <f t="shared" ca="1" si="57"/>
        <v>0</v>
      </c>
      <c r="K586" s="10"/>
      <c r="L586" s="10" t="str">
        <f t="shared" si="58"/>
        <v>Accepted</v>
      </c>
      <c r="M586" s="11">
        <v>0</v>
      </c>
      <c r="N586" s="10" t="s">
        <v>18</v>
      </c>
      <c r="O586" s="42">
        <f t="shared" si="59"/>
        <v>15000</v>
      </c>
      <c r="P586" s="10" t="s">
        <v>19</v>
      </c>
    </row>
    <row r="587" spans="1:16" s="22" customFormat="1" ht="14.25" customHeight="1" x14ac:dyDescent="0.25">
      <c r="A587" s="5" t="s">
        <v>1374</v>
      </c>
      <c r="B587" s="22" t="s">
        <v>716</v>
      </c>
      <c r="C587" s="22" t="s">
        <v>787</v>
      </c>
      <c r="D587" s="18" t="s">
        <v>1375</v>
      </c>
      <c r="E587" s="24" t="str">
        <f t="shared" si="55"/>
        <v>S0510382E017</v>
      </c>
      <c r="F587" s="13">
        <v>44403</v>
      </c>
      <c r="G587" s="13">
        <f t="shared" si="54"/>
        <v>44409</v>
      </c>
      <c r="H587" s="7">
        <f t="shared" ca="1" si="56"/>
        <v>-694</v>
      </c>
      <c r="I587" s="13">
        <v>44406</v>
      </c>
      <c r="J587" s="9">
        <f t="shared" ca="1" si="57"/>
        <v>0</v>
      </c>
      <c r="K587" s="10"/>
      <c r="L587" s="10" t="str">
        <f t="shared" si="58"/>
        <v>Accepted</v>
      </c>
      <c r="M587" s="11">
        <v>0</v>
      </c>
      <c r="N587" s="10" t="s">
        <v>18</v>
      </c>
      <c r="O587" s="42">
        <f t="shared" si="59"/>
        <v>15000</v>
      </c>
      <c r="P587" s="10" t="s">
        <v>19</v>
      </c>
    </row>
    <row r="588" spans="1:16" s="22" customFormat="1" ht="14.25" customHeight="1" x14ac:dyDescent="0.25">
      <c r="A588" s="5" t="s">
        <v>1376</v>
      </c>
      <c r="B588" s="22" t="s">
        <v>716</v>
      </c>
      <c r="C588" s="22" t="s">
        <v>787</v>
      </c>
      <c r="D588" s="18" t="s">
        <v>1377</v>
      </c>
      <c r="E588" s="24" t="str">
        <f t="shared" si="55"/>
        <v>S0510382E018</v>
      </c>
      <c r="F588" s="13">
        <v>44403</v>
      </c>
      <c r="G588" s="13">
        <f t="shared" si="54"/>
        <v>44409</v>
      </c>
      <c r="H588" s="7">
        <f t="shared" ca="1" si="56"/>
        <v>-694</v>
      </c>
      <c r="I588" s="13">
        <v>44406</v>
      </c>
      <c r="J588" s="9">
        <f t="shared" ca="1" si="57"/>
        <v>0</v>
      </c>
      <c r="K588" s="10"/>
      <c r="L588" s="10" t="str">
        <f t="shared" si="58"/>
        <v>Accepted</v>
      </c>
      <c r="M588" s="11">
        <v>0</v>
      </c>
      <c r="N588" s="10" t="s">
        <v>18</v>
      </c>
      <c r="O588" s="42">
        <f t="shared" si="59"/>
        <v>15000</v>
      </c>
      <c r="P588" s="10" t="s">
        <v>19</v>
      </c>
    </row>
    <row r="589" spans="1:16" s="22" customFormat="1" ht="14.25" customHeight="1" x14ac:dyDescent="0.25">
      <c r="A589" s="5" t="s">
        <v>1378</v>
      </c>
      <c r="B589" s="22" t="s">
        <v>716</v>
      </c>
      <c r="C589" s="22" t="s">
        <v>787</v>
      </c>
      <c r="D589" s="18" t="s">
        <v>1379</v>
      </c>
      <c r="E589" s="24" t="str">
        <f t="shared" si="55"/>
        <v>S0510382E019</v>
      </c>
      <c r="F589" s="13">
        <v>44403</v>
      </c>
      <c r="G589" s="13">
        <f t="shared" ref="G589:G601" si="60">F589+6</f>
        <v>44409</v>
      </c>
      <c r="H589" s="7">
        <f t="shared" ca="1" si="56"/>
        <v>-694</v>
      </c>
      <c r="I589" s="13">
        <v>44406</v>
      </c>
      <c r="J589" s="9">
        <f t="shared" ca="1" si="57"/>
        <v>0</v>
      </c>
      <c r="K589" s="10"/>
      <c r="L589" s="10" t="str">
        <f t="shared" si="58"/>
        <v>Accepted</v>
      </c>
      <c r="M589" s="11">
        <v>0</v>
      </c>
      <c r="N589" s="10" t="s">
        <v>18</v>
      </c>
      <c r="O589" s="42">
        <f t="shared" si="59"/>
        <v>15000</v>
      </c>
      <c r="P589" s="10" t="s">
        <v>19</v>
      </c>
    </row>
    <row r="590" spans="1:16" s="22" customFormat="1" ht="14.25" customHeight="1" x14ac:dyDescent="0.25">
      <c r="A590" s="5" t="s">
        <v>1380</v>
      </c>
      <c r="B590" s="22" t="s">
        <v>716</v>
      </c>
      <c r="C590" s="22" t="s">
        <v>787</v>
      </c>
      <c r="D590" s="18" t="s">
        <v>1381</v>
      </c>
      <c r="E590" s="24" t="str">
        <f t="shared" si="55"/>
        <v>S0510382E020</v>
      </c>
      <c r="F590" s="13">
        <v>44403</v>
      </c>
      <c r="G590" s="13">
        <f t="shared" si="60"/>
        <v>44409</v>
      </c>
      <c r="H590" s="7">
        <f t="shared" ca="1" si="56"/>
        <v>-694</v>
      </c>
      <c r="I590" s="13">
        <v>44406</v>
      </c>
      <c r="J590" s="9">
        <f t="shared" ca="1" si="57"/>
        <v>0</v>
      </c>
      <c r="K590" s="10"/>
      <c r="L590" s="10" t="str">
        <f t="shared" si="58"/>
        <v>Accepted</v>
      </c>
      <c r="M590" s="11">
        <v>0</v>
      </c>
      <c r="N590" s="10" t="s">
        <v>18</v>
      </c>
      <c r="O590" s="42">
        <f t="shared" si="59"/>
        <v>15000</v>
      </c>
      <c r="P590" s="10" t="s">
        <v>19</v>
      </c>
    </row>
    <row r="591" spans="1:16" s="22" customFormat="1" ht="14.25" customHeight="1" x14ac:dyDescent="0.25">
      <c r="A591" s="5" t="s">
        <v>1382</v>
      </c>
      <c r="B591" s="22" t="s">
        <v>716</v>
      </c>
      <c r="C591" s="22" t="s">
        <v>787</v>
      </c>
      <c r="D591" s="18" t="s">
        <v>1383</v>
      </c>
      <c r="E591" s="24" t="str">
        <f t="shared" si="55"/>
        <v>S0510391a001</v>
      </c>
      <c r="F591" s="13">
        <v>44403</v>
      </c>
      <c r="G591" s="13">
        <f t="shared" si="60"/>
        <v>44409</v>
      </c>
      <c r="H591" s="7">
        <f t="shared" ca="1" si="56"/>
        <v>-694</v>
      </c>
      <c r="I591" s="13">
        <v>44409</v>
      </c>
      <c r="J591" s="9">
        <f t="shared" ca="1" si="57"/>
        <v>0</v>
      </c>
      <c r="K591" s="10"/>
      <c r="L591" s="10" t="str">
        <f t="shared" si="58"/>
        <v>Accepted</v>
      </c>
      <c r="M591" s="11">
        <v>0</v>
      </c>
      <c r="N591" s="10" t="s">
        <v>18</v>
      </c>
      <c r="O591" s="42">
        <f t="shared" si="59"/>
        <v>15000</v>
      </c>
      <c r="P591" s="10" t="s">
        <v>19</v>
      </c>
    </row>
    <row r="592" spans="1:16" s="22" customFormat="1" ht="14.25" customHeight="1" x14ac:dyDescent="0.25">
      <c r="A592" s="5" t="s">
        <v>1384</v>
      </c>
      <c r="B592" s="22" t="s">
        <v>716</v>
      </c>
      <c r="C592" s="22" t="s">
        <v>787</v>
      </c>
      <c r="D592" s="18" t="s">
        <v>1385</v>
      </c>
      <c r="E592" s="24" t="str">
        <f t="shared" si="55"/>
        <v>S0510391b001</v>
      </c>
      <c r="F592" s="13">
        <v>44403</v>
      </c>
      <c r="G592" s="13">
        <f t="shared" si="60"/>
        <v>44409</v>
      </c>
      <c r="H592" s="7">
        <f t="shared" ca="1" si="56"/>
        <v>-694</v>
      </c>
      <c r="I592" s="13">
        <v>44409</v>
      </c>
      <c r="J592" s="9">
        <f t="shared" ca="1" si="57"/>
        <v>0</v>
      </c>
      <c r="K592" s="10"/>
      <c r="L592" s="10" t="str">
        <f t="shared" si="58"/>
        <v>Accepted</v>
      </c>
      <c r="M592" s="11">
        <v>0</v>
      </c>
      <c r="N592" s="10" t="s">
        <v>18</v>
      </c>
      <c r="O592" s="42">
        <f t="shared" si="59"/>
        <v>15000</v>
      </c>
      <c r="P592" s="10" t="s">
        <v>19</v>
      </c>
    </row>
    <row r="593" spans="1:16" s="22" customFormat="1" ht="14.25" customHeight="1" x14ac:dyDescent="0.25">
      <c r="A593" s="5" t="s">
        <v>1386</v>
      </c>
      <c r="B593" s="22" t="s">
        <v>716</v>
      </c>
      <c r="C593" s="22" t="s">
        <v>787</v>
      </c>
      <c r="D593" s="18" t="s">
        <v>1387</v>
      </c>
      <c r="E593" s="24" t="str">
        <f t="shared" si="55"/>
        <v>S0510392E002</v>
      </c>
      <c r="F593" s="13">
        <v>44403</v>
      </c>
      <c r="G593" s="13">
        <f t="shared" si="60"/>
        <v>44409</v>
      </c>
      <c r="H593" s="7">
        <f t="shared" ca="1" si="56"/>
        <v>-694</v>
      </c>
      <c r="I593" s="13">
        <v>44409</v>
      </c>
      <c r="J593" s="9">
        <f t="shared" ca="1" si="57"/>
        <v>0</v>
      </c>
      <c r="K593" s="10"/>
      <c r="L593" s="10" t="str">
        <f t="shared" si="58"/>
        <v>Accepted</v>
      </c>
      <c r="M593" s="11">
        <v>0</v>
      </c>
      <c r="N593" s="10" t="s">
        <v>18</v>
      </c>
      <c r="O593" s="42">
        <f t="shared" si="59"/>
        <v>15000</v>
      </c>
      <c r="P593" s="10" t="s">
        <v>19</v>
      </c>
    </row>
    <row r="594" spans="1:16" s="22" customFormat="1" ht="14.25" customHeight="1" x14ac:dyDescent="0.25">
      <c r="A594" s="5" t="s">
        <v>1388</v>
      </c>
      <c r="B594" s="22" t="s">
        <v>716</v>
      </c>
      <c r="C594" s="22" t="s">
        <v>787</v>
      </c>
      <c r="D594" s="18" t="s">
        <v>1389</v>
      </c>
      <c r="E594" s="24" t="str">
        <f t="shared" si="55"/>
        <v>S0510392E004</v>
      </c>
      <c r="F594" s="13">
        <v>44403</v>
      </c>
      <c r="G594" s="13">
        <f t="shared" si="60"/>
        <v>44409</v>
      </c>
      <c r="H594" s="7">
        <f t="shared" ca="1" si="56"/>
        <v>-694</v>
      </c>
      <c r="I594" s="13">
        <v>44409</v>
      </c>
      <c r="J594" s="9">
        <f t="shared" ca="1" si="57"/>
        <v>0</v>
      </c>
      <c r="K594" s="10"/>
      <c r="L594" s="10" t="str">
        <f t="shared" si="58"/>
        <v>Accepted</v>
      </c>
      <c r="M594" s="11">
        <v>0</v>
      </c>
      <c r="N594" s="10" t="s">
        <v>18</v>
      </c>
      <c r="O594" s="42">
        <f t="shared" si="59"/>
        <v>15000</v>
      </c>
      <c r="P594" s="10" t="s">
        <v>19</v>
      </c>
    </row>
    <row r="595" spans="1:16" s="22" customFormat="1" ht="14.25" customHeight="1" x14ac:dyDescent="0.25">
      <c r="A595" s="5" t="s">
        <v>1390</v>
      </c>
      <c r="B595" s="22" t="s">
        <v>716</v>
      </c>
      <c r="C595" s="22" t="s">
        <v>787</v>
      </c>
      <c r="D595" s="18" t="s">
        <v>1391</v>
      </c>
      <c r="E595" s="24" t="str">
        <f t="shared" si="55"/>
        <v>S0510392E005</v>
      </c>
      <c r="F595" s="13">
        <v>44403</v>
      </c>
      <c r="G595" s="13">
        <f t="shared" si="60"/>
        <v>44409</v>
      </c>
      <c r="H595" s="7">
        <f t="shared" ca="1" si="56"/>
        <v>-694</v>
      </c>
      <c r="I595" s="13">
        <v>44409</v>
      </c>
      <c r="J595" s="9">
        <f t="shared" ca="1" si="57"/>
        <v>0</v>
      </c>
      <c r="K595" s="10"/>
      <c r="L595" s="10" t="str">
        <f t="shared" si="58"/>
        <v>Accepted</v>
      </c>
      <c r="M595" s="11">
        <v>0</v>
      </c>
      <c r="N595" s="10" t="s">
        <v>18</v>
      </c>
      <c r="O595" s="42">
        <f t="shared" si="59"/>
        <v>15000</v>
      </c>
      <c r="P595" s="10" t="s">
        <v>19</v>
      </c>
    </row>
    <row r="596" spans="1:16" s="22" customFormat="1" ht="14.25" customHeight="1" x14ac:dyDescent="0.25">
      <c r="A596" s="5" t="s">
        <v>1392</v>
      </c>
      <c r="B596" s="22" t="s">
        <v>716</v>
      </c>
      <c r="C596" s="22" t="s">
        <v>787</v>
      </c>
      <c r="D596" s="18" t="s">
        <v>1393</v>
      </c>
      <c r="E596" s="24" t="str">
        <f t="shared" si="55"/>
        <v>S0510392E010</v>
      </c>
      <c r="F596" s="13">
        <v>44403</v>
      </c>
      <c r="G596" s="13">
        <f t="shared" si="60"/>
        <v>44409</v>
      </c>
      <c r="H596" s="7">
        <f t="shared" ca="1" si="56"/>
        <v>-694</v>
      </c>
      <c r="I596" s="13">
        <v>44409</v>
      </c>
      <c r="J596" s="9">
        <f t="shared" ca="1" si="57"/>
        <v>0</v>
      </c>
      <c r="K596" s="10"/>
      <c r="L596" s="10" t="str">
        <f t="shared" si="58"/>
        <v>Accepted</v>
      </c>
      <c r="M596" s="11">
        <v>0</v>
      </c>
      <c r="N596" s="10" t="s">
        <v>18</v>
      </c>
      <c r="O596" s="42">
        <f t="shared" si="59"/>
        <v>15000</v>
      </c>
      <c r="P596" s="10" t="s">
        <v>19</v>
      </c>
    </row>
    <row r="597" spans="1:16" s="22" customFormat="1" ht="14.25" customHeight="1" x14ac:dyDescent="0.25">
      <c r="A597" s="5" t="s">
        <v>1394</v>
      </c>
      <c r="B597" s="22" t="s">
        <v>716</v>
      </c>
      <c r="C597" s="22" t="s">
        <v>787</v>
      </c>
      <c r="D597" s="18" t="s">
        <v>1395</v>
      </c>
      <c r="E597" s="24" t="str">
        <f t="shared" si="55"/>
        <v>S0510401E001</v>
      </c>
      <c r="F597" s="13">
        <v>44403</v>
      </c>
      <c r="G597" s="13">
        <f t="shared" si="60"/>
        <v>44409</v>
      </c>
      <c r="H597" s="7">
        <f t="shared" ca="1" si="56"/>
        <v>-694</v>
      </c>
      <c r="I597" s="13">
        <v>44409</v>
      </c>
      <c r="J597" s="9">
        <f t="shared" ca="1" si="57"/>
        <v>0</v>
      </c>
      <c r="K597" s="10"/>
      <c r="L597" s="10" t="str">
        <f t="shared" si="58"/>
        <v>Accepted</v>
      </c>
      <c r="M597" s="11">
        <v>0</v>
      </c>
      <c r="N597" s="10" t="s">
        <v>18</v>
      </c>
      <c r="O597" s="42">
        <f t="shared" si="59"/>
        <v>15000</v>
      </c>
      <c r="P597" s="10" t="s">
        <v>19</v>
      </c>
    </row>
    <row r="598" spans="1:16" s="22" customFormat="1" ht="14.25" customHeight="1" x14ac:dyDescent="0.25">
      <c r="A598" s="5" t="s">
        <v>1396</v>
      </c>
      <c r="B598" s="22" t="s">
        <v>716</v>
      </c>
      <c r="C598" s="22" t="s">
        <v>787</v>
      </c>
      <c r="D598" s="18" t="s">
        <v>1397</v>
      </c>
      <c r="E598" s="24" t="str">
        <f t="shared" si="55"/>
        <v>S0510402E001</v>
      </c>
      <c r="F598" s="13">
        <v>44403</v>
      </c>
      <c r="G598" s="13">
        <f t="shared" si="60"/>
        <v>44409</v>
      </c>
      <c r="H598" s="7">
        <f t="shared" ca="1" si="56"/>
        <v>-694</v>
      </c>
      <c r="I598" s="13">
        <v>44409</v>
      </c>
      <c r="J598" s="9">
        <f t="shared" ca="1" si="57"/>
        <v>0</v>
      </c>
      <c r="K598" s="10"/>
      <c r="L598" s="10" t="str">
        <f t="shared" si="58"/>
        <v>Accepted</v>
      </c>
      <c r="M598" s="11">
        <v>0</v>
      </c>
      <c r="N598" s="10" t="s">
        <v>18</v>
      </c>
      <c r="O598" s="42">
        <f t="shared" si="59"/>
        <v>15000</v>
      </c>
      <c r="P598" s="10" t="s">
        <v>19</v>
      </c>
    </row>
    <row r="599" spans="1:16" s="22" customFormat="1" ht="14.25" customHeight="1" x14ac:dyDescent="0.25">
      <c r="A599" s="5" t="s">
        <v>1398</v>
      </c>
      <c r="B599" s="22" t="s">
        <v>716</v>
      </c>
      <c r="C599" s="22" t="s">
        <v>787</v>
      </c>
      <c r="D599" s="18" t="s">
        <v>1399</v>
      </c>
      <c r="E599" s="24" t="str">
        <f t="shared" si="55"/>
        <v>S0510402E002</v>
      </c>
      <c r="F599" s="13">
        <v>44403</v>
      </c>
      <c r="G599" s="13">
        <f t="shared" si="60"/>
        <v>44409</v>
      </c>
      <c r="H599" s="7">
        <f t="shared" ca="1" si="56"/>
        <v>-694</v>
      </c>
      <c r="I599" s="13">
        <v>44409</v>
      </c>
      <c r="J599" s="9">
        <f t="shared" ca="1" si="57"/>
        <v>0</v>
      </c>
      <c r="K599" s="10"/>
      <c r="L599" s="10" t="str">
        <f t="shared" si="58"/>
        <v>Accepted</v>
      </c>
      <c r="M599" s="11">
        <v>0</v>
      </c>
      <c r="N599" s="10" t="s">
        <v>18</v>
      </c>
      <c r="O599" s="42">
        <f t="shared" si="59"/>
        <v>15000</v>
      </c>
      <c r="P599" s="10" t="s">
        <v>19</v>
      </c>
    </row>
    <row r="600" spans="1:16" s="22" customFormat="1" ht="14.25" customHeight="1" x14ac:dyDescent="0.25">
      <c r="A600" s="5" t="s">
        <v>1400</v>
      </c>
      <c r="B600" s="22" t="s">
        <v>716</v>
      </c>
      <c r="C600" s="22" t="s">
        <v>787</v>
      </c>
      <c r="D600" s="18" t="s">
        <v>1401</v>
      </c>
      <c r="E600" s="24" t="str">
        <f t="shared" si="55"/>
        <v>V0101971P004</v>
      </c>
      <c r="F600" s="13">
        <v>44410</v>
      </c>
      <c r="G600" s="13">
        <f t="shared" si="60"/>
        <v>44416</v>
      </c>
      <c r="H600" s="7">
        <f t="shared" ca="1" si="56"/>
        <v>-687</v>
      </c>
      <c r="I600" s="13">
        <v>44410</v>
      </c>
      <c r="J600" s="9">
        <f t="shared" ca="1" si="57"/>
        <v>0</v>
      </c>
      <c r="K600" s="10"/>
      <c r="L600" s="10" t="str">
        <f t="shared" si="58"/>
        <v>Accepted</v>
      </c>
      <c r="M600" s="11">
        <v>0</v>
      </c>
      <c r="N600" s="10" t="s">
        <v>30</v>
      </c>
      <c r="O600" s="42">
        <f t="shared" si="59"/>
        <v>18000</v>
      </c>
      <c r="P600" s="10" t="s">
        <v>19</v>
      </c>
    </row>
    <row r="601" spans="1:16" s="22" customFormat="1" ht="14.25" customHeight="1" x14ac:dyDescent="0.25">
      <c r="A601" s="5" t="s">
        <v>1402</v>
      </c>
      <c r="B601" s="22" t="s">
        <v>716</v>
      </c>
      <c r="C601" s="22" t="s">
        <v>787</v>
      </c>
      <c r="D601" s="18" t="s">
        <v>1403</v>
      </c>
      <c r="E601" s="24" t="str">
        <f t="shared" si="55"/>
        <v>S0540781E017</v>
      </c>
      <c r="F601" s="13">
        <v>44410</v>
      </c>
      <c r="G601" s="13">
        <f t="shared" si="60"/>
        <v>44416</v>
      </c>
      <c r="H601" s="7">
        <f t="shared" ca="1" si="56"/>
        <v>-687</v>
      </c>
      <c r="I601" s="13">
        <v>44410</v>
      </c>
      <c r="J601" s="9">
        <f t="shared" ca="1" si="57"/>
        <v>0</v>
      </c>
      <c r="K601" s="10"/>
      <c r="L601" s="10" t="str">
        <f t="shared" si="58"/>
        <v>Accepted</v>
      </c>
      <c r="M601" s="11">
        <v>0</v>
      </c>
      <c r="N601" s="10" t="s">
        <v>18</v>
      </c>
      <c r="O601" s="42">
        <f t="shared" si="59"/>
        <v>15000</v>
      </c>
      <c r="P601" s="10" t="s">
        <v>19</v>
      </c>
    </row>
    <row r="602" spans="1:16" s="22" customFormat="1" ht="14.25" customHeight="1" x14ac:dyDescent="0.25">
      <c r="A602" s="5" t="s">
        <v>1452</v>
      </c>
      <c r="B602" s="22" t="s">
        <v>716</v>
      </c>
      <c r="C602" s="22" t="s">
        <v>985</v>
      </c>
      <c r="D602" s="18" t="s">
        <v>1453</v>
      </c>
      <c r="E602" s="24" t="str">
        <f t="shared" si="55"/>
        <v>S0150863E001</v>
      </c>
      <c r="F602" s="13">
        <v>44410</v>
      </c>
      <c r="G602" s="13">
        <v>44437</v>
      </c>
      <c r="H602" s="7">
        <f t="shared" ca="1" si="56"/>
        <v>-666</v>
      </c>
      <c r="I602" s="13">
        <v>44411</v>
      </c>
      <c r="J602" s="9">
        <f t="shared" ca="1" si="57"/>
        <v>693</v>
      </c>
      <c r="K602" s="10" t="s">
        <v>712</v>
      </c>
      <c r="L602" s="10" t="str">
        <f t="shared" si="58"/>
        <v>Rejected</v>
      </c>
      <c r="M602" s="11">
        <v>1</v>
      </c>
      <c r="N602" s="10" t="s">
        <v>18</v>
      </c>
      <c r="O602" s="42">
        <f t="shared" si="59"/>
        <v>0</v>
      </c>
      <c r="P602" s="10" t="s">
        <v>2485</v>
      </c>
    </row>
    <row r="603" spans="1:16" s="22" customFormat="1" ht="14.25" customHeight="1" x14ac:dyDescent="0.25">
      <c r="A603" s="5" t="s">
        <v>1421</v>
      </c>
      <c r="B603" s="22" t="s">
        <v>716</v>
      </c>
      <c r="C603" s="22" t="s">
        <v>787</v>
      </c>
      <c r="D603" s="18" t="s">
        <v>1422</v>
      </c>
      <c r="E603" s="24" t="str">
        <f t="shared" si="55"/>
        <v>S0300981E005</v>
      </c>
      <c r="F603" s="13">
        <v>44410</v>
      </c>
      <c r="G603" s="13">
        <f t="shared" ref="G603:G634" si="61">F603+6</f>
        <v>44416</v>
      </c>
      <c r="H603" s="7">
        <f t="shared" ca="1" si="56"/>
        <v>-687</v>
      </c>
      <c r="I603" s="13">
        <v>44412</v>
      </c>
      <c r="J603" s="9">
        <f t="shared" ca="1" si="57"/>
        <v>0</v>
      </c>
      <c r="K603" s="10"/>
      <c r="L603" s="10" t="str">
        <f t="shared" si="58"/>
        <v>Accepted</v>
      </c>
      <c r="M603" s="11">
        <v>1</v>
      </c>
      <c r="N603" s="10" t="s">
        <v>30</v>
      </c>
      <c r="O603" s="42">
        <f t="shared" si="59"/>
        <v>18000</v>
      </c>
      <c r="P603" s="10" t="s">
        <v>19</v>
      </c>
    </row>
    <row r="604" spans="1:16" s="22" customFormat="1" ht="14.25" customHeight="1" x14ac:dyDescent="0.25">
      <c r="A604" s="5" t="s">
        <v>1404</v>
      </c>
      <c r="B604" s="22" t="s">
        <v>716</v>
      </c>
      <c r="C604" s="22" t="s">
        <v>2505</v>
      </c>
      <c r="D604" s="18" t="s">
        <v>1405</v>
      </c>
      <c r="E604" s="24" t="str">
        <f t="shared" si="55"/>
        <v>S0410203E002</v>
      </c>
      <c r="F604" s="13">
        <v>44410</v>
      </c>
      <c r="G604" s="13">
        <f t="shared" si="61"/>
        <v>44416</v>
      </c>
      <c r="H604" s="7">
        <f t="shared" ca="1" si="56"/>
        <v>-687</v>
      </c>
      <c r="I604" s="13">
        <v>44413</v>
      </c>
      <c r="J604" s="9">
        <f t="shared" ca="1" si="57"/>
        <v>0</v>
      </c>
      <c r="K604" s="10"/>
      <c r="L604" s="10" t="str">
        <f t="shared" si="58"/>
        <v>Accepted</v>
      </c>
      <c r="M604" s="11">
        <v>1</v>
      </c>
      <c r="N604" s="10" t="s">
        <v>30</v>
      </c>
      <c r="O604" s="42">
        <f t="shared" si="59"/>
        <v>18000</v>
      </c>
      <c r="P604" s="10" t="s">
        <v>19</v>
      </c>
    </row>
    <row r="605" spans="1:16" s="22" customFormat="1" ht="14.25" customHeight="1" x14ac:dyDescent="0.25">
      <c r="A605" s="5" t="s">
        <v>1406</v>
      </c>
      <c r="B605" s="22" t="s">
        <v>716</v>
      </c>
      <c r="C605" s="22" t="s">
        <v>787</v>
      </c>
      <c r="D605" s="18" t="s">
        <v>1407</v>
      </c>
      <c r="E605" s="24" t="str">
        <f t="shared" si="55"/>
        <v>S0300981E001</v>
      </c>
      <c r="F605" s="13">
        <v>44410</v>
      </c>
      <c r="G605" s="13">
        <f t="shared" si="61"/>
        <v>44416</v>
      </c>
      <c r="H605" s="7">
        <f t="shared" ca="1" si="56"/>
        <v>-687</v>
      </c>
      <c r="I605" s="13">
        <v>44413</v>
      </c>
      <c r="J605" s="9">
        <f t="shared" ca="1" si="57"/>
        <v>0</v>
      </c>
      <c r="K605" s="10"/>
      <c r="L605" s="10" t="str">
        <f t="shared" si="58"/>
        <v>Accepted</v>
      </c>
      <c r="M605" s="11">
        <v>1</v>
      </c>
      <c r="N605" s="10" t="s">
        <v>30</v>
      </c>
      <c r="O605" s="42">
        <f t="shared" si="59"/>
        <v>18000</v>
      </c>
      <c r="P605" s="10" t="s">
        <v>19</v>
      </c>
    </row>
    <row r="606" spans="1:16" s="22" customFormat="1" ht="14.25" customHeight="1" x14ac:dyDescent="0.25">
      <c r="A606" s="5" t="s">
        <v>1410</v>
      </c>
      <c r="B606" s="22" t="s">
        <v>716</v>
      </c>
      <c r="C606" s="22" t="s">
        <v>2471</v>
      </c>
      <c r="D606" s="18" t="s">
        <v>1411</v>
      </c>
      <c r="E606" s="24" t="str">
        <f t="shared" si="55"/>
        <v>S0401533E002</v>
      </c>
      <c r="F606" s="13">
        <v>44410</v>
      </c>
      <c r="G606" s="13">
        <f t="shared" si="61"/>
        <v>44416</v>
      </c>
      <c r="H606" s="7">
        <f t="shared" ca="1" si="56"/>
        <v>-687</v>
      </c>
      <c r="I606" s="13">
        <v>44413</v>
      </c>
      <c r="J606" s="9">
        <f t="shared" ca="1" si="57"/>
        <v>693</v>
      </c>
      <c r="K606" s="10" t="s">
        <v>1412</v>
      </c>
      <c r="L606" s="10" t="str">
        <f t="shared" si="58"/>
        <v>Rejected</v>
      </c>
      <c r="M606" s="11">
        <v>1</v>
      </c>
      <c r="N606" s="10" t="s">
        <v>18</v>
      </c>
      <c r="O606" s="42">
        <f t="shared" si="59"/>
        <v>0</v>
      </c>
      <c r="P606" s="10" t="s">
        <v>2485</v>
      </c>
    </row>
    <row r="607" spans="1:16" s="22" customFormat="1" ht="14.25" customHeight="1" x14ac:dyDescent="0.25">
      <c r="A607" s="5" t="s">
        <v>1417</v>
      </c>
      <c r="B607" s="22" t="s">
        <v>716</v>
      </c>
      <c r="C607" s="22" t="s">
        <v>787</v>
      </c>
      <c r="D607" s="18" t="s">
        <v>1418</v>
      </c>
      <c r="E607" s="24" t="str">
        <f t="shared" si="55"/>
        <v>S0300981E003</v>
      </c>
      <c r="F607" s="13">
        <v>44410</v>
      </c>
      <c r="G607" s="13">
        <f t="shared" si="61"/>
        <v>44416</v>
      </c>
      <c r="H607" s="7">
        <f t="shared" ca="1" si="56"/>
        <v>-687</v>
      </c>
      <c r="I607" s="13">
        <v>44413</v>
      </c>
      <c r="J607" s="9">
        <f t="shared" ca="1" si="57"/>
        <v>0</v>
      </c>
      <c r="K607" s="10"/>
      <c r="L607" s="10" t="str">
        <f t="shared" si="58"/>
        <v>Accepted</v>
      </c>
      <c r="M607" s="11">
        <v>1</v>
      </c>
      <c r="N607" s="10" t="s">
        <v>30</v>
      </c>
      <c r="O607" s="42">
        <f t="shared" si="59"/>
        <v>18000</v>
      </c>
      <c r="P607" s="10" t="s">
        <v>19</v>
      </c>
    </row>
    <row r="608" spans="1:16" s="22" customFormat="1" ht="14.25" customHeight="1" x14ac:dyDescent="0.25">
      <c r="A608" s="5" t="s">
        <v>1431</v>
      </c>
      <c r="B608" s="22" t="s">
        <v>716</v>
      </c>
      <c r="C608" s="22" t="s">
        <v>992</v>
      </c>
      <c r="D608" s="18" t="s">
        <v>1432</v>
      </c>
      <c r="E608" s="24" t="str">
        <f t="shared" si="55"/>
        <v>S0501052E003</v>
      </c>
      <c r="F608" s="13">
        <v>44410</v>
      </c>
      <c r="G608" s="13">
        <f t="shared" si="61"/>
        <v>44416</v>
      </c>
      <c r="H608" s="7">
        <f t="shared" ca="1" si="56"/>
        <v>-687</v>
      </c>
      <c r="I608" s="13">
        <v>44413</v>
      </c>
      <c r="J608" s="9">
        <f t="shared" ca="1" si="57"/>
        <v>0</v>
      </c>
      <c r="K608" s="10"/>
      <c r="L608" s="10" t="str">
        <f t="shared" si="58"/>
        <v>Accepted</v>
      </c>
      <c r="M608" s="11">
        <v>2</v>
      </c>
      <c r="N608" s="10" t="s">
        <v>18</v>
      </c>
      <c r="O608" s="42">
        <f t="shared" si="59"/>
        <v>15000</v>
      </c>
      <c r="P608" s="10" t="s">
        <v>19</v>
      </c>
    </row>
    <row r="609" spans="1:16" s="22" customFormat="1" ht="14.25" customHeight="1" x14ac:dyDescent="0.25">
      <c r="A609" s="5" t="s">
        <v>1435</v>
      </c>
      <c r="B609" s="22" t="s">
        <v>716</v>
      </c>
      <c r="C609" s="22" t="s">
        <v>787</v>
      </c>
      <c r="D609" s="18" t="s">
        <v>1436</v>
      </c>
      <c r="E609" s="24" t="str">
        <f t="shared" si="55"/>
        <v>S0390941E004</v>
      </c>
      <c r="F609" s="13">
        <v>44410</v>
      </c>
      <c r="G609" s="13">
        <f t="shared" si="61"/>
        <v>44416</v>
      </c>
      <c r="H609" s="7">
        <f t="shared" ca="1" si="56"/>
        <v>-687</v>
      </c>
      <c r="I609" s="13">
        <v>44413</v>
      </c>
      <c r="J609" s="9">
        <f t="shared" ca="1" si="57"/>
        <v>0</v>
      </c>
      <c r="K609" s="10"/>
      <c r="L609" s="10" t="str">
        <f t="shared" si="58"/>
        <v>Accepted</v>
      </c>
      <c r="M609" s="11">
        <v>1</v>
      </c>
      <c r="N609" s="10" t="s">
        <v>18</v>
      </c>
      <c r="O609" s="42">
        <f t="shared" si="59"/>
        <v>15000</v>
      </c>
      <c r="P609" s="10" t="s">
        <v>19</v>
      </c>
    </row>
    <row r="610" spans="1:16" s="22" customFormat="1" ht="14.25" customHeight="1" x14ac:dyDescent="0.25">
      <c r="A610" s="5" t="s">
        <v>1447</v>
      </c>
      <c r="B610" s="22" t="s">
        <v>716</v>
      </c>
      <c r="C610" s="22" t="s">
        <v>787</v>
      </c>
      <c r="D610" s="18" t="s">
        <v>1448</v>
      </c>
      <c r="E610" s="24" t="str">
        <f t="shared" si="55"/>
        <v>S0510453E007</v>
      </c>
      <c r="F610" s="13">
        <v>44410</v>
      </c>
      <c r="G610" s="13">
        <f t="shared" si="61"/>
        <v>44416</v>
      </c>
      <c r="H610" s="7">
        <f t="shared" ca="1" si="56"/>
        <v>-687</v>
      </c>
      <c r="I610" s="13">
        <v>44413</v>
      </c>
      <c r="J610" s="9">
        <f t="shared" ca="1" si="57"/>
        <v>0</v>
      </c>
      <c r="K610" s="10"/>
      <c r="L610" s="10" t="str">
        <f t="shared" si="58"/>
        <v>Accepted</v>
      </c>
      <c r="M610" s="11">
        <v>0</v>
      </c>
      <c r="N610" s="10" t="s">
        <v>18</v>
      </c>
      <c r="O610" s="42">
        <f t="shared" si="59"/>
        <v>15000</v>
      </c>
      <c r="P610" s="10" t="s">
        <v>19</v>
      </c>
    </row>
    <row r="611" spans="1:16" s="22" customFormat="1" ht="14.25" customHeight="1" x14ac:dyDescent="0.25">
      <c r="A611" s="5" t="s">
        <v>1449</v>
      </c>
      <c r="B611" s="22" t="s">
        <v>716</v>
      </c>
      <c r="C611" s="22" t="s">
        <v>1450</v>
      </c>
      <c r="D611" s="18" t="s">
        <v>1451</v>
      </c>
      <c r="E611" s="24" t="str">
        <f t="shared" si="55"/>
        <v>S0351231P010</v>
      </c>
      <c r="F611" s="13">
        <v>44410</v>
      </c>
      <c r="G611" s="13">
        <f t="shared" si="61"/>
        <v>44416</v>
      </c>
      <c r="H611" s="7">
        <f t="shared" ca="1" si="56"/>
        <v>-687</v>
      </c>
      <c r="I611" s="13">
        <v>44413</v>
      </c>
      <c r="J611" s="9">
        <f t="shared" ca="1" si="57"/>
        <v>0</v>
      </c>
      <c r="K611" s="10"/>
      <c r="L611" s="10" t="str">
        <f t="shared" si="58"/>
        <v>Accepted</v>
      </c>
      <c r="M611" s="11">
        <v>0</v>
      </c>
      <c r="N611" s="10" t="s">
        <v>18</v>
      </c>
      <c r="O611" s="42">
        <f t="shared" si="59"/>
        <v>15000</v>
      </c>
      <c r="P611" s="10" t="s">
        <v>19</v>
      </c>
    </row>
    <row r="612" spans="1:16" s="22" customFormat="1" ht="14.25" customHeight="1" x14ac:dyDescent="0.25">
      <c r="A612" s="5" t="s">
        <v>1456</v>
      </c>
      <c r="B612" s="22" t="s">
        <v>716</v>
      </c>
      <c r="C612" s="22" t="s">
        <v>787</v>
      </c>
      <c r="D612" s="18" t="s">
        <v>1457</v>
      </c>
      <c r="E612" s="24" t="str">
        <f t="shared" si="55"/>
        <v>S0540821E007</v>
      </c>
      <c r="F612" s="13">
        <v>44410</v>
      </c>
      <c r="G612" s="13">
        <f t="shared" si="61"/>
        <v>44416</v>
      </c>
      <c r="H612" s="7">
        <f t="shared" ca="1" si="56"/>
        <v>-687</v>
      </c>
      <c r="I612" s="13">
        <v>44413</v>
      </c>
      <c r="J612" s="9">
        <f t="shared" ca="1" si="57"/>
        <v>0</v>
      </c>
      <c r="K612" s="10"/>
      <c r="L612" s="10" t="str">
        <f t="shared" si="58"/>
        <v>Accepted</v>
      </c>
      <c r="M612" s="11">
        <v>0</v>
      </c>
      <c r="N612" s="10" t="s">
        <v>18</v>
      </c>
      <c r="O612" s="42">
        <f t="shared" si="59"/>
        <v>15000</v>
      </c>
      <c r="P612" s="10" t="s">
        <v>19</v>
      </c>
    </row>
    <row r="613" spans="1:16" s="22" customFormat="1" ht="14.25" customHeight="1" x14ac:dyDescent="0.25">
      <c r="A613" s="5" t="s">
        <v>1458</v>
      </c>
      <c r="B613" s="22" t="s">
        <v>716</v>
      </c>
      <c r="C613" s="22" t="s">
        <v>1043</v>
      </c>
      <c r="D613" s="18" t="s">
        <v>1459</v>
      </c>
      <c r="E613" s="24" t="str">
        <f t="shared" si="55"/>
        <v>S0260901E024</v>
      </c>
      <c r="F613" s="13">
        <v>44410</v>
      </c>
      <c r="G613" s="13">
        <f t="shared" si="61"/>
        <v>44416</v>
      </c>
      <c r="H613" s="7">
        <f t="shared" ca="1" si="56"/>
        <v>-687</v>
      </c>
      <c r="I613" s="13">
        <v>44413</v>
      </c>
      <c r="J613" s="9">
        <f t="shared" ca="1" si="57"/>
        <v>0</v>
      </c>
      <c r="K613" s="10"/>
      <c r="L613" s="10" t="str">
        <f t="shared" si="58"/>
        <v>Accepted</v>
      </c>
      <c r="M613" s="11">
        <v>0</v>
      </c>
      <c r="N613" s="10" t="s">
        <v>18</v>
      </c>
      <c r="O613" s="42">
        <f t="shared" si="59"/>
        <v>15000</v>
      </c>
      <c r="P613" s="10" t="s">
        <v>19</v>
      </c>
    </row>
    <row r="614" spans="1:16" s="22" customFormat="1" ht="14.25" customHeight="1" x14ac:dyDescent="0.25">
      <c r="A614" s="5" t="s">
        <v>1460</v>
      </c>
      <c r="B614" s="22" t="s">
        <v>716</v>
      </c>
      <c r="C614" s="22" t="s">
        <v>992</v>
      </c>
      <c r="D614" s="18" t="s">
        <v>1461</v>
      </c>
      <c r="E614" s="24" t="str">
        <f t="shared" si="55"/>
        <v>S0400782E002</v>
      </c>
      <c r="F614" s="13">
        <v>44410</v>
      </c>
      <c r="G614" s="13">
        <f t="shared" si="61"/>
        <v>44416</v>
      </c>
      <c r="H614" s="7">
        <f t="shared" ca="1" si="56"/>
        <v>-687</v>
      </c>
      <c r="I614" s="13">
        <v>44413</v>
      </c>
      <c r="J614" s="9">
        <f t="shared" ca="1" si="57"/>
        <v>0</v>
      </c>
      <c r="K614" s="10"/>
      <c r="L614" s="10" t="str">
        <f t="shared" si="58"/>
        <v>Accepted</v>
      </c>
      <c r="M614" s="11">
        <v>0</v>
      </c>
      <c r="N614" s="10" t="s">
        <v>18</v>
      </c>
      <c r="O614" s="42">
        <f t="shared" si="59"/>
        <v>15000</v>
      </c>
      <c r="P614" s="10" t="s">
        <v>19</v>
      </c>
    </row>
    <row r="615" spans="1:16" s="22" customFormat="1" ht="14.25" customHeight="1" x14ac:dyDescent="0.25">
      <c r="A615" s="5" t="s">
        <v>1462</v>
      </c>
      <c r="B615" s="22" t="s">
        <v>716</v>
      </c>
      <c r="C615" s="22" t="s">
        <v>1043</v>
      </c>
      <c r="D615" s="18" t="s">
        <v>1463</v>
      </c>
      <c r="E615" s="24" t="str">
        <f t="shared" si="55"/>
        <v>S0422352E010</v>
      </c>
      <c r="F615" s="13">
        <v>44410</v>
      </c>
      <c r="G615" s="13">
        <f t="shared" si="61"/>
        <v>44416</v>
      </c>
      <c r="H615" s="7">
        <f t="shared" ca="1" si="56"/>
        <v>-687</v>
      </c>
      <c r="I615" s="13">
        <v>44413</v>
      </c>
      <c r="J615" s="9">
        <f t="shared" ca="1" si="57"/>
        <v>0</v>
      </c>
      <c r="K615" s="10"/>
      <c r="L615" s="10" t="str">
        <f t="shared" si="58"/>
        <v>Accepted</v>
      </c>
      <c r="M615" s="11">
        <v>0</v>
      </c>
      <c r="N615" s="10" t="s">
        <v>18</v>
      </c>
      <c r="O615" s="42">
        <f t="shared" si="59"/>
        <v>15000</v>
      </c>
      <c r="P615" s="10" t="s">
        <v>19</v>
      </c>
    </row>
    <row r="616" spans="1:16" s="22" customFormat="1" ht="14.25" customHeight="1" x14ac:dyDescent="0.25">
      <c r="A616" s="5" t="s">
        <v>1464</v>
      </c>
      <c r="B616" s="22" t="s">
        <v>716</v>
      </c>
      <c r="C616" s="22" t="s">
        <v>992</v>
      </c>
      <c r="D616" s="18" t="s">
        <v>1465</v>
      </c>
      <c r="E616" s="24" t="str">
        <f t="shared" si="55"/>
        <v>S0421171E010</v>
      </c>
      <c r="F616" s="13">
        <v>44410</v>
      </c>
      <c r="G616" s="13">
        <f t="shared" si="61"/>
        <v>44416</v>
      </c>
      <c r="H616" s="7">
        <f t="shared" ca="1" si="56"/>
        <v>-687</v>
      </c>
      <c r="I616" s="13">
        <v>44413</v>
      </c>
      <c r="J616" s="9">
        <f t="shared" ca="1" si="57"/>
        <v>0</v>
      </c>
      <c r="K616" s="10"/>
      <c r="L616" s="10" t="str">
        <f t="shared" si="58"/>
        <v>Accepted</v>
      </c>
      <c r="M616" s="11">
        <v>0</v>
      </c>
      <c r="N616" s="10" t="s">
        <v>18</v>
      </c>
      <c r="O616" s="42">
        <f t="shared" si="59"/>
        <v>15000</v>
      </c>
      <c r="P616" s="10" t="s">
        <v>19</v>
      </c>
    </row>
    <row r="617" spans="1:16" s="22" customFormat="1" ht="14.25" customHeight="1" x14ac:dyDescent="0.25">
      <c r="A617" s="5" t="s">
        <v>1466</v>
      </c>
      <c r="B617" s="22" t="s">
        <v>716</v>
      </c>
      <c r="C617" s="22" t="s">
        <v>787</v>
      </c>
      <c r="D617" s="18" t="s">
        <v>1467</v>
      </c>
      <c r="E617" s="24" t="str">
        <f t="shared" si="55"/>
        <v>S0570791E020</v>
      </c>
      <c r="F617" s="13">
        <v>44410</v>
      </c>
      <c r="G617" s="13">
        <f t="shared" si="61"/>
        <v>44416</v>
      </c>
      <c r="H617" s="7">
        <f t="shared" ca="1" si="56"/>
        <v>-687</v>
      </c>
      <c r="I617" s="13">
        <v>44413</v>
      </c>
      <c r="J617" s="9">
        <f t="shared" ca="1" si="57"/>
        <v>0</v>
      </c>
      <c r="K617" s="10"/>
      <c r="L617" s="10" t="str">
        <f t="shared" si="58"/>
        <v>Accepted</v>
      </c>
      <c r="M617" s="11">
        <v>0</v>
      </c>
      <c r="N617" s="10" t="s">
        <v>18</v>
      </c>
      <c r="O617" s="42">
        <f t="shared" si="59"/>
        <v>15000</v>
      </c>
      <c r="P617" s="10" t="s">
        <v>19</v>
      </c>
    </row>
    <row r="618" spans="1:16" s="22" customFormat="1" ht="14.25" customHeight="1" x14ac:dyDescent="0.25">
      <c r="A618" s="5" t="s">
        <v>1415</v>
      </c>
      <c r="B618" s="22" t="s">
        <v>716</v>
      </c>
      <c r="C618" s="22" t="s">
        <v>787</v>
      </c>
      <c r="D618" s="18" t="s">
        <v>1416</v>
      </c>
      <c r="E618" s="24" t="str">
        <f t="shared" si="55"/>
        <v>S0300981E002</v>
      </c>
      <c r="F618" s="13">
        <v>44410</v>
      </c>
      <c r="G618" s="13">
        <f t="shared" si="61"/>
        <v>44416</v>
      </c>
      <c r="H618" s="7">
        <f t="shared" ca="1" si="56"/>
        <v>-687</v>
      </c>
      <c r="I618" s="13">
        <v>44414</v>
      </c>
      <c r="J618" s="9">
        <f t="shared" ca="1" si="57"/>
        <v>0</v>
      </c>
      <c r="K618" s="10"/>
      <c r="L618" s="10" t="str">
        <f t="shared" si="58"/>
        <v>Accepted</v>
      </c>
      <c r="M618" s="11">
        <v>1</v>
      </c>
      <c r="N618" s="10" t="s">
        <v>30</v>
      </c>
      <c r="O618" s="42">
        <f t="shared" si="59"/>
        <v>18000</v>
      </c>
      <c r="P618" s="10" t="s">
        <v>19</v>
      </c>
    </row>
    <row r="619" spans="1:16" s="22" customFormat="1" ht="14.25" customHeight="1" x14ac:dyDescent="0.25">
      <c r="A619" s="5" t="s">
        <v>1423</v>
      </c>
      <c r="B619" s="22" t="s">
        <v>716</v>
      </c>
      <c r="C619" s="22" t="s">
        <v>787</v>
      </c>
      <c r="D619" s="18" t="s">
        <v>1424</v>
      </c>
      <c r="E619" s="24" t="str">
        <f t="shared" si="55"/>
        <v>S0300981E007</v>
      </c>
      <c r="F619" s="13">
        <v>44410</v>
      </c>
      <c r="G619" s="13">
        <f t="shared" si="61"/>
        <v>44416</v>
      </c>
      <c r="H619" s="7">
        <f t="shared" ca="1" si="56"/>
        <v>-687</v>
      </c>
      <c r="I619" s="13">
        <v>44414</v>
      </c>
      <c r="J619" s="9">
        <f t="shared" ca="1" si="57"/>
        <v>0</v>
      </c>
      <c r="K619" s="10"/>
      <c r="L619" s="10" t="str">
        <f t="shared" si="58"/>
        <v>Accepted</v>
      </c>
      <c r="M619" s="11">
        <v>2</v>
      </c>
      <c r="N619" s="10" t="s">
        <v>18</v>
      </c>
      <c r="O619" s="42">
        <f t="shared" si="59"/>
        <v>15000</v>
      </c>
      <c r="P619" s="10" t="s">
        <v>19</v>
      </c>
    </row>
    <row r="620" spans="1:16" s="22" customFormat="1" ht="14.25" customHeight="1" x14ac:dyDescent="0.25">
      <c r="A620" s="5" t="s">
        <v>1425</v>
      </c>
      <c r="B620" s="22" t="s">
        <v>716</v>
      </c>
      <c r="C620" s="22" t="s">
        <v>787</v>
      </c>
      <c r="D620" s="18" t="s">
        <v>1426</v>
      </c>
      <c r="E620" s="24" t="str">
        <f t="shared" si="55"/>
        <v>S0301021E002</v>
      </c>
      <c r="F620" s="13">
        <v>44410</v>
      </c>
      <c r="G620" s="13">
        <f t="shared" si="61"/>
        <v>44416</v>
      </c>
      <c r="H620" s="7">
        <f t="shared" ca="1" si="56"/>
        <v>-687</v>
      </c>
      <c r="I620" s="13">
        <v>44414</v>
      </c>
      <c r="J620" s="9">
        <f t="shared" ca="1" si="57"/>
        <v>0</v>
      </c>
      <c r="K620" s="10"/>
      <c r="L620" s="10" t="str">
        <f t="shared" si="58"/>
        <v>Accepted</v>
      </c>
      <c r="M620" s="11">
        <v>2</v>
      </c>
      <c r="N620" s="10" t="s">
        <v>18</v>
      </c>
      <c r="O620" s="42">
        <f t="shared" si="59"/>
        <v>15000</v>
      </c>
      <c r="P620" s="10" t="s">
        <v>19</v>
      </c>
    </row>
    <row r="621" spans="1:16" s="22" customFormat="1" ht="14.25" customHeight="1" x14ac:dyDescent="0.25">
      <c r="A621" s="5" t="s">
        <v>1427</v>
      </c>
      <c r="B621" s="22" t="s">
        <v>716</v>
      </c>
      <c r="C621" s="22" t="s">
        <v>787</v>
      </c>
      <c r="D621" s="18" t="s">
        <v>1428</v>
      </c>
      <c r="E621" s="24" t="str">
        <f t="shared" si="55"/>
        <v>S0301032E001</v>
      </c>
      <c r="F621" s="13">
        <v>44410</v>
      </c>
      <c r="G621" s="13">
        <f t="shared" si="61"/>
        <v>44416</v>
      </c>
      <c r="H621" s="7">
        <f t="shared" ca="1" si="56"/>
        <v>-687</v>
      </c>
      <c r="I621" s="13">
        <v>44414</v>
      </c>
      <c r="J621" s="9">
        <f t="shared" ca="1" si="57"/>
        <v>0</v>
      </c>
      <c r="K621" s="10"/>
      <c r="L621" s="10" t="str">
        <f t="shared" si="58"/>
        <v>Accepted</v>
      </c>
      <c r="M621" s="11">
        <v>2</v>
      </c>
      <c r="N621" s="10" t="s">
        <v>18</v>
      </c>
      <c r="O621" s="42">
        <f t="shared" si="59"/>
        <v>15000</v>
      </c>
      <c r="P621" s="10" t="s">
        <v>19</v>
      </c>
    </row>
    <row r="622" spans="1:16" s="22" customFormat="1" ht="14.25" customHeight="1" x14ac:dyDescent="0.25">
      <c r="A622" s="5" t="s">
        <v>1433</v>
      </c>
      <c r="B622" s="22" t="s">
        <v>716</v>
      </c>
      <c r="C622" s="22" t="s">
        <v>2470</v>
      </c>
      <c r="D622" s="18" t="s">
        <v>1434</v>
      </c>
      <c r="E622" s="24" t="str">
        <f t="shared" si="55"/>
        <v>S0140342a002</v>
      </c>
      <c r="F622" s="13">
        <v>44410</v>
      </c>
      <c r="G622" s="13">
        <f t="shared" si="61"/>
        <v>44416</v>
      </c>
      <c r="H622" s="7">
        <f t="shared" ca="1" si="56"/>
        <v>-687</v>
      </c>
      <c r="I622" s="13">
        <v>44414</v>
      </c>
      <c r="J622" s="9">
        <f t="shared" ca="1" si="57"/>
        <v>0</v>
      </c>
      <c r="K622" s="10"/>
      <c r="L622" s="10" t="str">
        <f t="shared" si="58"/>
        <v>Accepted</v>
      </c>
      <c r="M622" s="11">
        <v>1</v>
      </c>
      <c r="N622" s="10" t="s">
        <v>18</v>
      </c>
      <c r="O622" s="42">
        <f t="shared" si="59"/>
        <v>15000</v>
      </c>
      <c r="P622" s="10" t="s">
        <v>19</v>
      </c>
    </row>
    <row r="623" spans="1:16" s="22" customFormat="1" ht="14.25" customHeight="1" x14ac:dyDescent="0.25">
      <c r="A623" s="5" t="s">
        <v>1441</v>
      </c>
      <c r="B623" s="22" t="s">
        <v>716</v>
      </c>
      <c r="C623" s="22" t="s">
        <v>787</v>
      </c>
      <c r="D623" s="18" t="s">
        <v>1442</v>
      </c>
      <c r="E623" s="24" t="str">
        <f t="shared" si="55"/>
        <v>S0380971E003</v>
      </c>
      <c r="F623" s="13">
        <v>44410</v>
      </c>
      <c r="G623" s="13">
        <f t="shared" si="61"/>
        <v>44416</v>
      </c>
      <c r="H623" s="7">
        <f t="shared" ca="1" si="56"/>
        <v>-687</v>
      </c>
      <c r="I623" s="13">
        <v>44414</v>
      </c>
      <c r="J623" s="9">
        <f t="shared" ca="1" si="57"/>
        <v>0</v>
      </c>
      <c r="K623" s="10"/>
      <c r="L623" s="10" t="str">
        <f t="shared" si="58"/>
        <v>Accepted</v>
      </c>
      <c r="M623" s="11">
        <v>1</v>
      </c>
      <c r="N623" s="10" t="s">
        <v>18</v>
      </c>
      <c r="O623" s="42">
        <f t="shared" si="59"/>
        <v>15000</v>
      </c>
      <c r="P623" s="10" t="s">
        <v>19</v>
      </c>
    </row>
    <row r="624" spans="1:16" s="22" customFormat="1" ht="14.25" customHeight="1" x14ac:dyDescent="0.25">
      <c r="A624" s="5" t="s">
        <v>1443</v>
      </c>
      <c r="B624" s="22" t="s">
        <v>716</v>
      </c>
      <c r="C624" s="22" t="s">
        <v>787</v>
      </c>
      <c r="D624" s="18" t="s">
        <v>1444</v>
      </c>
      <c r="E624" s="24" t="str">
        <f t="shared" si="55"/>
        <v>S0380991E003</v>
      </c>
      <c r="F624" s="13">
        <v>44410</v>
      </c>
      <c r="G624" s="13">
        <f t="shared" si="61"/>
        <v>44416</v>
      </c>
      <c r="H624" s="7">
        <f t="shared" ca="1" si="56"/>
        <v>-687</v>
      </c>
      <c r="I624" s="13">
        <v>44414</v>
      </c>
      <c r="J624" s="9">
        <f t="shared" ca="1" si="57"/>
        <v>0</v>
      </c>
      <c r="K624" s="10"/>
      <c r="L624" s="10" t="str">
        <f t="shared" si="58"/>
        <v>Accepted</v>
      </c>
      <c r="M624" s="11">
        <v>1</v>
      </c>
      <c r="N624" s="10" t="s">
        <v>18</v>
      </c>
      <c r="O624" s="42">
        <f t="shared" si="59"/>
        <v>15000</v>
      </c>
      <c r="P624" s="10" t="s">
        <v>19</v>
      </c>
    </row>
    <row r="625" spans="1:16" s="22" customFormat="1" ht="14.25" customHeight="1" x14ac:dyDescent="0.25">
      <c r="A625" s="5" t="s">
        <v>1408</v>
      </c>
      <c r="B625" s="22" t="s">
        <v>716</v>
      </c>
      <c r="C625" s="22" t="s">
        <v>2505</v>
      </c>
      <c r="D625" s="18" t="s">
        <v>1409</v>
      </c>
      <c r="E625" s="24" t="str">
        <f t="shared" si="55"/>
        <v>S0370412E003</v>
      </c>
      <c r="F625" s="13">
        <v>44410</v>
      </c>
      <c r="G625" s="13">
        <f t="shared" si="61"/>
        <v>44416</v>
      </c>
      <c r="H625" s="7">
        <f t="shared" ca="1" si="56"/>
        <v>-687</v>
      </c>
      <c r="I625" s="13">
        <v>44415</v>
      </c>
      <c r="J625" s="9">
        <f t="shared" ca="1" si="57"/>
        <v>693</v>
      </c>
      <c r="K625" s="10" t="s">
        <v>771</v>
      </c>
      <c r="L625" s="10" t="str">
        <f t="shared" si="58"/>
        <v>Rejected</v>
      </c>
      <c r="M625" s="11">
        <v>1</v>
      </c>
      <c r="N625" s="10" t="s">
        <v>30</v>
      </c>
      <c r="O625" s="42">
        <f t="shared" si="59"/>
        <v>0</v>
      </c>
      <c r="P625" s="10" t="s">
        <v>2485</v>
      </c>
    </row>
    <row r="626" spans="1:16" s="22" customFormat="1" ht="14.25" customHeight="1" x14ac:dyDescent="0.25">
      <c r="A626" s="5" t="s">
        <v>1429</v>
      </c>
      <c r="B626" s="22" t="s">
        <v>716</v>
      </c>
      <c r="C626" s="22" t="s">
        <v>787</v>
      </c>
      <c r="D626" s="18" t="s">
        <v>1430</v>
      </c>
      <c r="E626" s="24" t="str">
        <f t="shared" si="55"/>
        <v>S0301041E001</v>
      </c>
      <c r="F626" s="13">
        <v>44410</v>
      </c>
      <c r="G626" s="13">
        <f t="shared" si="61"/>
        <v>44416</v>
      </c>
      <c r="H626" s="7">
        <f t="shared" ca="1" si="56"/>
        <v>-687</v>
      </c>
      <c r="I626" s="13">
        <v>44415</v>
      </c>
      <c r="J626" s="9">
        <f t="shared" ca="1" si="57"/>
        <v>0</v>
      </c>
      <c r="K626" s="10"/>
      <c r="L626" s="10" t="str">
        <f t="shared" si="58"/>
        <v>Accepted</v>
      </c>
      <c r="M626" s="11">
        <v>2</v>
      </c>
      <c r="N626" s="10" t="s">
        <v>18</v>
      </c>
      <c r="O626" s="42">
        <f t="shared" si="59"/>
        <v>15000</v>
      </c>
      <c r="P626" s="10" t="s">
        <v>19</v>
      </c>
    </row>
    <row r="627" spans="1:16" s="22" customFormat="1" ht="14.25" customHeight="1" x14ac:dyDescent="0.25">
      <c r="A627" s="5" t="s">
        <v>1437</v>
      </c>
      <c r="B627" s="22" t="s">
        <v>716</v>
      </c>
      <c r="C627" s="22" t="s">
        <v>787</v>
      </c>
      <c r="D627" s="18" t="s">
        <v>1438</v>
      </c>
      <c r="E627" s="24" t="str">
        <f t="shared" si="55"/>
        <v>S0371321b001</v>
      </c>
      <c r="F627" s="13">
        <v>44410</v>
      </c>
      <c r="G627" s="13">
        <f t="shared" si="61"/>
        <v>44416</v>
      </c>
      <c r="H627" s="7">
        <f t="shared" ca="1" si="56"/>
        <v>-687</v>
      </c>
      <c r="I627" s="13">
        <v>44415</v>
      </c>
      <c r="J627" s="9">
        <f t="shared" ca="1" si="57"/>
        <v>0</v>
      </c>
      <c r="K627" s="10"/>
      <c r="L627" s="10" t="str">
        <f t="shared" si="58"/>
        <v>Accepted</v>
      </c>
      <c r="M627" s="11">
        <v>1</v>
      </c>
      <c r="N627" s="10" t="s">
        <v>30</v>
      </c>
      <c r="O627" s="42">
        <f t="shared" si="59"/>
        <v>18000</v>
      </c>
      <c r="P627" s="10" t="s">
        <v>19</v>
      </c>
    </row>
    <row r="628" spans="1:16" s="22" customFormat="1" ht="14.25" customHeight="1" x14ac:dyDescent="0.25">
      <c r="A628" s="5" t="s">
        <v>1439</v>
      </c>
      <c r="B628" s="22" t="s">
        <v>716</v>
      </c>
      <c r="C628" s="22" t="s">
        <v>787</v>
      </c>
      <c r="D628" s="18" t="s">
        <v>1440</v>
      </c>
      <c r="E628" s="24" t="str">
        <f t="shared" si="55"/>
        <v>S0380942E002</v>
      </c>
      <c r="F628" s="13">
        <v>44410</v>
      </c>
      <c r="G628" s="13">
        <f t="shared" si="61"/>
        <v>44416</v>
      </c>
      <c r="H628" s="7">
        <f t="shared" ca="1" si="56"/>
        <v>-687</v>
      </c>
      <c r="I628" s="13">
        <v>44415</v>
      </c>
      <c r="J628" s="9">
        <f t="shared" ca="1" si="57"/>
        <v>0</v>
      </c>
      <c r="K628" s="10"/>
      <c r="L628" s="10" t="str">
        <f t="shared" si="58"/>
        <v>Accepted</v>
      </c>
      <c r="M628" s="11">
        <v>1</v>
      </c>
      <c r="N628" s="10" t="s">
        <v>18</v>
      </c>
      <c r="O628" s="42">
        <f t="shared" si="59"/>
        <v>15000</v>
      </c>
      <c r="P628" s="10" t="s">
        <v>19</v>
      </c>
    </row>
    <row r="629" spans="1:16" s="22" customFormat="1" ht="14.25" customHeight="1" x14ac:dyDescent="0.25">
      <c r="A629" s="5" t="s">
        <v>1445</v>
      </c>
      <c r="B629" s="22" t="s">
        <v>716</v>
      </c>
      <c r="C629" s="22" t="s">
        <v>787</v>
      </c>
      <c r="D629" s="18" t="s">
        <v>1446</v>
      </c>
      <c r="E629" s="24" t="str">
        <f t="shared" si="55"/>
        <v>S0150371E004</v>
      </c>
      <c r="F629" s="13">
        <v>44410</v>
      </c>
      <c r="G629" s="13">
        <f t="shared" si="61"/>
        <v>44416</v>
      </c>
      <c r="H629" s="7">
        <f t="shared" ca="1" si="56"/>
        <v>-687</v>
      </c>
      <c r="I629" s="13">
        <v>44415</v>
      </c>
      <c r="J629" s="9">
        <f t="shared" ca="1" si="57"/>
        <v>0</v>
      </c>
      <c r="K629" s="10"/>
      <c r="L629" s="10" t="str">
        <f t="shared" si="58"/>
        <v>Accepted</v>
      </c>
      <c r="M629" s="11">
        <v>0</v>
      </c>
      <c r="N629" s="10" t="s">
        <v>30</v>
      </c>
      <c r="O629" s="42">
        <f t="shared" si="59"/>
        <v>18000</v>
      </c>
      <c r="P629" s="10" t="s">
        <v>19</v>
      </c>
    </row>
    <row r="630" spans="1:16" s="22" customFormat="1" ht="14.25" customHeight="1" x14ac:dyDescent="0.25">
      <c r="A630" s="5" t="s">
        <v>1454</v>
      </c>
      <c r="B630" s="22" t="s">
        <v>716</v>
      </c>
      <c r="C630" s="22" t="s">
        <v>985</v>
      </c>
      <c r="D630" s="18" t="s">
        <v>1455</v>
      </c>
      <c r="E630" s="24" t="str">
        <f t="shared" si="55"/>
        <v>S0561091E005</v>
      </c>
      <c r="F630" s="13">
        <v>44410</v>
      </c>
      <c r="G630" s="13">
        <f t="shared" si="61"/>
        <v>44416</v>
      </c>
      <c r="H630" s="7">
        <f t="shared" ca="1" si="56"/>
        <v>-687</v>
      </c>
      <c r="I630" s="13">
        <v>44415</v>
      </c>
      <c r="J630" s="9">
        <f t="shared" ca="1" si="57"/>
        <v>0</v>
      </c>
      <c r="K630" s="10"/>
      <c r="L630" s="10" t="str">
        <f t="shared" si="58"/>
        <v>Accepted</v>
      </c>
      <c r="M630" s="11">
        <v>0</v>
      </c>
      <c r="N630" s="10" t="s">
        <v>30</v>
      </c>
      <c r="O630" s="42">
        <f t="shared" si="59"/>
        <v>18000</v>
      </c>
      <c r="P630" s="10" t="s">
        <v>19</v>
      </c>
    </row>
    <row r="631" spans="1:16" s="22" customFormat="1" ht="14.25" customHeight="1" x14ac:dyDescent="0.25">
      <c r="A631" s="5" t="s">
        <v>1468</v>
      </c>
      <c r="B631" s="22" t="s">
        <v>716</v>
      </c>
      <c r="C631" s="22" t="s">
        <v>787</v>
      </c>
      <c r="D631" s="18" t="s">
        <v>1469</v>
      </c>
      <c r="E631" s="24" t="str">
        <f t="shared" si="55"/>
        <v>S0510071E006</v>
      </c>
      <c r="F631" s="13">
        <v>44410</v>
      </c>
      <c r="G631" s="13">
        <f t="shared" si="61"/>
        <v>44416</v>
      </c>
      <c r="H631" s="7">
        <f t="shared" ca="1" si="56"/>
        <v>-687</v>
      </c>
      <c r="I631" s="13">
        <v>44415</v>
      </c>
      <c r="J631" s="9">
        <f t="shared" ca="1" si="57"/>
        <v>0</v>
      </c>
      <c r="K631" s="10"/>
      <c r="L631" s="10" t="str">
        <f t="shared" si="58"/>
        <v>Accepted</v>
      </c>
      <c r="M631" s="11">
        <v>0</v>
      </c>
      <c r="N631" s="10" t="s">
        <v>18</v>
      </c>
      <c r="O631" s="42">
        <f t="shared" si="59"/>
        <v>15000</v>
      </c>
      <c r="P631" s="10" t="s">
        <v>19</v>
      </c>
    </row>
    <row r="632" spans="1:16" s="22" customFormat="1" ht="14.25" customHeight="1" x14ac:dyDescent="0.25">
      <c r="A632" s="5" t="s">
        <v>1470</v>
      </c>
      <c r="B632" s="22" t="s">
        <v>716</v>
      </c>
      <c r="C632" s="22" t="s">
        <v>787</v>
      </c>
      <c r="D632" s="18" t="s">
        <v>1471</v>
      </c>
      <c r="E632" s="24" t="str">
        <f t="shared" si="55"/>
        <v>S0580062E007</v>
      </c>
      <c r="F632" s="13">
        <v>44410</v>
      </c>
      <c r="G632" s="13">
        <f t="shared" si="61"/>
        <v>44416</v>
      </c>
      <c r="H632" s="7">
        <f t="shared" ca="1" si="56"/>
        <v>-687</v>
      </c>
      <c r="I632" s="13">
        <v>44415</v>
      </c>
      <c r="J632" s="9">
        <f t="shared" ca="1" si="57"/>
        <v>0</v>
      </c>
      <c r="K632" s="10"/>
      <c r="L632" s="10" t="str">
        <f t="shared" si="58"/>
        <v>Accepted</v>
      </c>
      <c r="M632" s="11">
        <v>0</v>
      </c>
      <c r="N632" s="10" t="s">
        <v>30</v>
      </c>
      <c r="O632" s="42">
        <f t="shared" si="59"/>
        <v>18000</v>
      </c>
      <c r="P632" s="10" t="s">
        <v>19</v>
      </c>
    </row>
    <row r="633" spans="1:16" s="22" customFormat="1" ht="14.25" customHeight="1" x14ac:dyDescent="0.25">
      <c r="A633" s="5" t="s">
        <v>1413</v>
      </c>
      <c r="B633" s="22" t="s">
        <v>716</v>
      </c>
      <c r="C633" s="22" t="s">
        <v>787</v>
      </c>
      <c r="D633" s="18" t="s">
        <v>1414</v>
      </c>
      <c r="E633" s="24" t="str">
        <f t="shared" si="55"/>
        <v>S0300971E001</v>
      </c>
      <c r="F633" s="13">
        <v>44410</v>
      </c>
      <c r="G633" s="13">
        <f t="shared" si="61"/>
        <v>44416</v>
      </c>
      <c r="H633" s="7">
        <f t="shared" ca="1" si="56"/>
        <v>-687</v>
      </c>
      <c r="I633" s="13">
        <v>44416</v>
      </c>
      <c r="J633" s="9">
        <f t="shared" ca="1" si="57"/>
        <v>0</v>
      </c>
      <c r="K633" s="10"/>
      <c r="L633" s="10" t="str">
        <f t="shared" si="58"/>
        <v>Accepted</v>
      </c>
      <c r="M633" s="11">
        <v>1</v>
      </c>
      <c r="N633" s="10" t="s">
        <v>30</v>
      </c>
      <c r="O633" s="42">
        <f t="shared" si="59"/>
        <v>18000</v>
      </c>
      <c r="P633" s="10" t="s">
        <v>19</v>
      </c>
    </row>
    <row r="634" spans="1:16" s="22" customFormat="1" ht="14.25" customHeight="1" x14ac:dyDescent="0.25">
      <c r="A634" s="5" t="s">
        <v>1419</v>
      </c>
      <c r="B634" s="22" t="s">
        <v>716</v>
      </c>
      <c r="C634" s="22" t="s">
        <v>787</v>
      </c>
      <c r="D634" s="18" t="s">
        <v>1420</v>
      </c>
      <c r="E634" s="24" t="str">
        <f t="shared" si="55"/>
        <v>S0300981E004</v>
      </c>
      <c r="F634" s="13">
        <v>44410</v>
      </c>
      <c r="G634" s="13">
        <f t="shared" si="61"/>
        <v>44416</v>
      </c>
      <c r="H634" s="7">
        <f t="shared" ca="1" si="56"/>
        <v>-687</v>
      </c>
      <c r="I634" s="13">
        <v>44416</v>
      </c>
      <c r="J634" s="9">
        <f t="shared" ca="1" si="57"/>
        <v>0</v>
      </c>
      <c r="K634" s="10"/>
      <c r="L634" s="10" t="str">
        <f t="shared" si="58"/>
        <v>Accepted</v>
      </c>
      <c r="M634" s="11">
        <v>1</v>
      </c>
      <c r="N634" s="10" t="s">
        <v>30</v>
      </c>
      <c r="O634" s="42">
        <f t="shared" si="59"/>
        <v>18000</v>
      </c>
      <c r="P634" s="10" t="s">
        <v>19</v>
      </c>
    </row>
    <row r="635" spans="1:16" s="22" customFormat="1" ht="14.25" customHeight="1" x14ac:dyDescent="0.25">
      <c r="A635" s="5" t="s">
        <v>1472</v>
      </c>
      <c r="B635" s="22" t="s">
        <v>716</v>
      </c>
      <c r="C635" s="22" t="s">
        <v>787</v>
      </c>
      <c r="D635" s="18" t="s">
        <v>1473</v>
      </c>
      <c r="E635" s="24" t="str">
        <f t="shared" si="55"/>
        <v>V0110363a004</v>
      </c>
      <c r="F635" s="13">
        <v>44410</v>
      </c>
      <c r="G635" s="13">
        <f t="shared" ref="G635:G666" si="62">F635+6</f>
        <v>44416</v>
      </c>
      <c r="H635" s="7">
        <f t="shared" ca="1" si="56"/>
        <v>-687</v>
      </c>
      <c r="I635" s="13">
        <v>44416</v>
      </c>
      <c r="J635" s="9">
        <f t="shared" ca="1" si="57"/>
        <v>0</v>
      </c>
      <c r="K635" s="10"/>
      <c r="L635" s="10" t="str">
        <f t="shared" si="58"/>
        <v>Accepted</v>
      </c>
      <c r="M635" s="11">
        <v>0</v>
      </c>
      <c r="N635" s="10" t="s">
        <v>18</v>
      </c>
      <c r="O635" s="42">
        <f t="shared" si="59"/>
        <v>15000</v>
      </c>
      <c r="P635" s="10" t="s">
        <v>19</v>
      </c>
    </row>
    <row r="636" spans="1:16" s="22" customFormat="1" ht="14.25" customHeight="1" x14ac:dyDescent="0.25">
      <c r="A636" s="5" t="s">
        <v>1474</v>
      </c>
      <c r="B636" s="22" t="s">
        <v>716</v>
      </c>
      <c r="C636" s="22" t="s">
        <v>787</v>
      </c>
      <c r="D636" s="18" t="s">
        <v>1475</v>
      </c>
      <c r="E636" s="24" t="str">
        <f t="shared" si="55"/>
        <v>V0110363b004</v>
      </c>
      <c r="F636" s="13">
        <v>44410</v>
      </c>
      <c r="G636" s="13">
        <f t="shared" si="62"/>
        <v>44416</v>
      </c>
      <c r="H636" s="7">
        <f t="shared" ca="1" si="56"/>
        <v>-687</v>
      </c>
      <c r="I636" s="13">
        <v>44416</v>
      </c>
      <c r="J636" s="9">
        <f t="shared" ca="1" si="57"/>
        <v>0</v>
      </c>
      <c r="K636" s="10"/>
      <c r="L636" s="10" t="str">
        <f t="shared" si="58"/>
        <v>Accepted</v>
      </c>
      <c r="M636" s="11">
        <v>0</v>
      </c>
      <c r="N636" s="10" t="s">
        <v>18</v>
      </c>
      <c r="O636" s="42">
        <f t="shared" si="59"/>
        <v>15000</v>
      </c>
      <c r="P636" s="10" t="s">
        <v>19</v>
      </c>
    </row>
    <row r="637" spans="1:16" s="22" customFormat="1" ht="14.25" customHeight="1" x14ac:dyDescent="0.25">
      <c r="A637" s="5" t="s">
        <v>1476</v>
      </c>
      <c r="B637" s="22" t="s">
        <v>716</v>
      </c>
      <c r="C637" s="22" t="s">
        <v>787</v>
      </c>
      <c r="D637" s="18" t="s">
        <v>1477</v>
      </c>
      <c r="E637" s="24" t="str">
        <f t="shared" si="55"/>
        <v>V0110373a004</v>
      </c>
      <c r="F637" s="13">
        <v>44410</v>
      </c>
      <c r="G637" s="13">
        <f t="shared" si="62"/>
        <v>44416</v>
      </c>
      <c r="H637" s="7">
        <f t="shared" ca="1" si="56"/>
        <v>-687</v>
      </c>
      <c r="I637" s="13">
        <v>44416</v>
      </c>
      <c r="J637" s="9">
        <f t="shared" ca="1" si="57"/>
        <v>0</v>
      </c>
      <c r="K637" s="10"/>
      <c r="L637" s="10" t="str">
        <f t="shared" si="58"/>
        <v>Accepted</v>
      </c>
      <c r="M637" s="11">
        <v>0</v>
      </c>
      <c r="N637" s="10" t="s">
        <v>18</v>
      </c>
      <c r="O637" s="42">
        <f t="shared" si="59"/>
        <v>15000</v>
      </c>
      <c r="P637" s="10" t="s">
        <v>19</v>
      </c>
    </row>
    <row r="638" spans="1:16" s="22" customFormat="1" ht="14.25" customHeight="1" x14ac:dyDescent="0.25">
      <c r="A638" s="5" t="s">
        <v>1478</v>
      </c>
      <c r="B638" s="22" t="s">
        <v>716</v>
      </c>
      <c r="C638" s="22" t="s">
        <v>787</v>
      </c>
      <c r="D638" s="18" t="s">
        <v>1479</v>
      </c>
      <c r="E638" s="24" t="str">
        <f t="shared" si="55"/>
        <v>V0110373b004</v>
      </c>
      <c r="F638" s="13">
        <v>44410</v>
      </c>
      <c r="G638" s="13">
        <f t="shared" si="62"/>
        <v>44416</v>
      </c>
      <c r="H638" s="7">
        <f t="shared" ca="1" si="56"/>
        <v>-687</v>
      </c>
      <c r="I638" s="13">
        <v>44416</v>
      </c>
      <c r="J638" s="9">
        <f t="shared" ca="1" si="57"/>
        <v>0</v>
      </c>
      <c r="K638" s="10"/>
      <c r="L638" s="10" t="str">
        <f t="shared" si="58"/>
        <v>Accepted</v>
      </c>
      <c r="M638" s="11">
        <v>0</v>
      </c>
      <c r="N638" s="10" t="s">
        <v>18</v>
      </c>
      <c r="O638" s="42">
        <f t="shared" si="59"/>
        <v>15000</v>
      </c>
      <c r="P638" s="10" t="s">
        <v>19</v>
      </c>
    </row>
    <row r="639" spans="1:16" s="22" customFormat="1" ht="14.25" customHeight="1" x14ac:dyDescent="0.25">
      <c r="A639" s="5" t="s">
        <v>1480</v>
      </c>
      <c r="B639" s="22" t="s">
        <v>716</v>
      </c>
      <c r="C639" s="22" t="s">
        <v>787</v>
      </c>
      <c r="D639" s="18" t="s">
        <v>1481</v>
      </c>
      <c r="E639" s="24" t="str">
        <f t="shared" si="55"/>
        <v>V0110373c004</v>
      </c>
      <c r="F639" s="13">
        <v>44410</v>
      </c>
      <c r="G639" s="13">
        <f t="shared" si="62"/>
        <v>44416</v>
      </c>
      <c r="H639" s="7">
        <f t="shared" ca="1" si="56"/>
        <v>-687</v>
      </c>
      <c r="I639" s="13">
        <v>44416</v>
      </c>
      <c r="J639" s="9">
        <f t="shared" ca="1" si="57"/>
        <v>0</v>
      </c>
      <c r="K639" s="10"/>
      <c r="L639" s="10" t="str">
        <f t="shared" si="58"/>
        <v>Accepted</v>
      </c>
      <c r="M639" s="11">
        <v>0</v>
      </c>
      <c r="N639" s="10" t="s">
        <v>18</v>
      </c>
      <c r="O639" s="42">
        <f t="shared" si="59"/>
        <v>15000</v>
      </c>
      <c r="P639" s="10" t="s">
        <v>19</v>
      </c>
    </row>
    <row r="640" spans="1:16" s="22" customFormat="1" ht="14.25" customHeight="1" x14ac:dyDescent="0.25">
      <c r="A640" s="5" t="s">
        <v>1482</v>
      </c>
      <c r="B640" s="22" t="s">
        <v>716</v>
      </c>
      <c r="C640" s="22" t="s">
        <v>787</v>
      </c>
      <c r="D640" s="18" t="s">
        <v>1483</v>
      </c>
      <c r="E640" s="24" t="str">
        <f t="shared" si="55"/>
        <v>V0110373a005</v>
      </c>
      <c r="F640" s="13">
        <v>44410</v>
      </c>
      <c r="G640" s="13">
        <f t="shared" si="62"/>
        <v>44416</v>
      </c>
      <c r="H640" s="7">
        <f t="shared" ca="1" si="56"/>
        <v>-687</v>
      </c>
      <c r="I640" s="13">
        <v>44416</v>
      </c>
      <c r="J640" s="9">
        <f t="shared" ca="1" si="57"/>
        <v>0</v>
      </c>
      <c r="K640" s="10"/>
      <c r="L640" s="10" t="str">
        <f t="shared" si="58"/>
        <v>Accepted</v>
      </c>
      <c r="M640" s="11">
        <v>0</v>
      </c>
      <c r="N640" s="10" t="s">
        <v>18</v>
      </c>
      <c r="O640" s="42">
        <f t="shared" si="59"/>
        <v>15000</v>
      </c>
      <c r="P640" s="10" t="s">
        <v>19</v>
      </c>
    </row>
    <row r="641" spans="1:16" s="22" customFormat="1" ht="14.25" customHeight="1" x14ac:dyDescent="0.25">
      <c r="A641" s="5" t="s">
        <v>1484</v>
      </c>
      <c r="B641" s="22" t="s">
        <v>716</v>
      </c>
      <c r="C641" s="22" t="s">
        <v>787</v>
      </c>
      <c r="D641" s="18" t="s">
        <v>1485</v>
      </c>
      <c r="E641" s="24" t="str">
        <f t="shared" si="55"/>
        <v>V0110373b005</v>
      </c>
      <c r="F641" s="13">
        <v>44410</v>
      </c>
      <c r="G641" s="13">
        <f t="shared" si="62"/>
        <v>44416</v>
      </c>
      <c r="H641" s="7">
        <f t="shared" ca="1" si="56"/>
        <v>-687</v>
      </c>
      <c r="I641" s="13">
        <v>44416</v>
      </c>
      <c r="J641" s="9">
        <f t="shared" ca="1" si="57"/>
        <v>0</v>
      </c>
      <c r="K641" s="10"/>
      <c r="L641" s="10" t="str">
        <f t="shared" si="58"/>
        <v>Accepted</v>
      </c>
      <c r="M641" s="11">
        <v>0</v>
      </c>
      <c r="N641" s="10" t="s">
        <v>18</v>
      </c>
      <c r="O641" s="42">
        <f t="shared" si="59"/>
        <v>15000</v>
      </c>
      <c r="P641" s="10" t="s">
        <v>19</v>
      </c>
    </row>
    <row r="642" spans="1:16" s="22" customFormat="1" ht="14.25" customHeight="1" x14ac:dyDescent="0.25">
      <c r="A642" s="5" t="s">
        <v>1486</v>
      </c>
      <c r="B642" s="22" t="s">
        <v>716</v>
      </c>
      <c r="C642" s="22" t="s">
        <v>787</v>
      </c>
      <c r="D642" s="18" t="s">
        <v>1487</v>
      </c>
      <c r="E642" s="24" t="str">
        <f t="shared" ref="E642:E705" si="63">HYPERLINK(D642,A642)</f>
        <v>V0110373c005</v>
      </c>
      <c r="F642" s="13">
        <v>44410</v>
      </c>
      <c r="G642" s="13">
        <f t="shared" si="62"/>
        <v>44416</v>
      </c>
      <c r="H642" s="7">
        <f t="shared" ref="H642:H705" ca="1" si="64">G642-TODAY()</f>
        <v>-687</v>
      </c>
      <c r="I642" s="13">
        <v>44416</v>
      </c>
      <c r="J642" s="9">
        <f t="shared" ref="J642:J705" ca="1" si="65">IF(L642="Accepted",0,TODAY()-F642)</f>
        <v>0</v>
      </c>
      <c r="K642" s="10"/>
      <c r="L642" s="10" t="str">
        <f t="shared" ref="L642:L705" si="66">IF(AND(NOT(ISBLANK(I642)), ISBLANK(K642)),"Accepted", IF(AND(ISBLANK(I642),ISBLANK(K642)),"Not Submitted", "Rejected"))</f>
        <v>Accepted</v>
      </c>
      <c r="M642" s="11">
        <v>0</v>
      </c>
      <c r="N642" s="10" t="s">
        <v>18</v>
      </c>
      <c r="O642" s="42">
        <f t="shared" ref="O642:O705" si="67">IF(AND(L642="Accepted",B642="SMA",N642="no"),20000,
IF(AND(L642="Accepted",OR(B642="SMP",B642="SD"),N642="no"),15000,
IF(AND(L642="Accepted",B642="SMA",N642="yes"),25000,
IF(AND(L642="Accepted",OR(B642="SMP",B642="SD"),N642="yes"),18000,
0))))</f>
        <v>15000</v>
      </c>
      <c r="P642" s="10" t="s">
        <v>19</v>
      </c>
    </row>
    <row r="643" spans="1:16" s="22" customFormat="1" ht="14.25" customHeight="1" x14ac:dyDescent="0.25">
      <c r="A643" s="5" t="s">
        <v>1488</v>
      </c>
      <c r="B643" s="22" t="s">
        <v>716</v>
      </c>
      <c r="C643" s="22" t="s">
        <v>787</v>
      </c>
      <c r="D643" s="18" t="s">
        <v>1489</v>
      </c>
      <c r="E643" s="24" t="str">
        <f t="shared" si="63"/>
        <v>V0110373d005</v>
      </c>
      <c r="F643" s="13">
        <v>44410</v>
      </c>
      <c r="G643" s="13">
        <f t="shared" si="62"/>
        <v>44416</v>
      </c>
      <c r="H643" s="7">
        <f t="shared" ca="1" si="64"/>
        <v>-687</v>
      </c>
      <c r="I643" s="13">
        <v>44416</v>
      </c>
      <c r="J643" s="9">
        <f t="shared" ca="1" si="65"/>
        <v>0</v>
      </c>
      <c r="K643" s="10"/>
      <c r="L643" s="10" t="str">
        <f t="shared" si="66"/>
        <v>Accepted</v>
      </c>
      <c r="M643" s="11">
        <v>0</v>
      </c>
      <c r="N643" s="10" t="s">
        <v>18</v>
      </c>
      <c r="O643" s="42">
        <f t="shared" si="67"/>
        <v>15000</v>
      </c>
      <c r="P643" s="10" t="s">
        <v>19</v>
      </c>
    </row>
    <row r="644" spans="1:16" s="22" customFormat="1" ht="14.25" customHeight="1" x14ac:dyDescent="0.25">
      <c r="A644" s="5" t="s">
        <v>1490</v>
      </c>
      <c r="B644" s="22" t="s">
        <v>716</v>
      </c>
      <c r="C644" s="22" t="s">
        <v>787</v>
      </c>
      <c r="D644" s="18" t="s">
        <v>1491</v>
      </c>
      <c r="E644" s="24" t="str">
        <f t="shared" si="63"/>
        <v>V0110373e005</v>
      </c>
      <c r="F644" s="13">
        <v>44410</v>
      </c>
      <c r="G644" s="13">
        <f t="shared" si="62"/>
        <v>44416</v>
      </c>
      <c r="H644" s="7">
        <f t="shared" ca="1" si="64"/>
        <v>-687</v>
      </c>
      <c r="I644" s="13">
        <v>44416</v>
      </c>
      <c r="J644" s="9">
        <f t="shared" ca="1" si="65"/>
        <v>0</v>
      </c>
      <c r="K644" s="10"/>
      <c r="L644" s="10" t="str">
        <f t="shared" si="66"/>
        <v>Accepted</v>
      </c>
      <c r="M644" s="11">
        <v>0</v>
      </c>
      <c r="N644" s="10" t="s">
        <v>18</v>
      </c>
      <c r="O644" s="42">
        <f t="shared" si="67"/>
        <v>15000</v>
      </c>
      <c r="P644" s="10" t="s">
        <v>19</v>
      </c>
    </row>
    <row r="645" spans="1:16" s="22" customFormat="1" ht="14.25" customHeight="1" x14ac:dyDescent="0.25">
      <c r="A645" s="5" t="s">
        <v>1532</v>
      </c>
      <c r="B645" s="22" t="s">
        <v>716</v>
      </c>
      <c r="C645" s="22" t="s">
        <v>1450</v>
      </c>
      <c r="D645" s="18" t="s">
        <v>1533</v>
      </c>
      <c r="E645" s="24" t="str">
        <f t="shared" si="63"/>
        <v>V0172691P009</v>
      </c>
      <c r="F645" s="13">
        <v>44417</v>
      </c>
      <c r="G645" s="13">
        <f t="shared" si="62"/>
        <v>44423</v>
      </c>
      <c r="H645" s="7">
        <f t="shared" ca="1" si="64"/>
        <v>-680</v>
      </c>
      <c r="I645" s="13">
        <v>44419</v>
      </c>
      <c r="J645" s="9">
        <f t="shared" ca="1" si="65"/>
        <v>0</v>
      </c>
      <c r="K645" s="10"/>
      <c r="L645" s="10" t="str">
        <f t="shared" si="66"/>
        <v>Accepted</v>
      </c>
      <c r="M645" s="11">
        <v>0</v>
      </c>
      <c r="N645" s="10" t="s">
        <v>18</v>
      </c>
      <c r="O645" s="42">
        <f t="shared" si="67"/>
        <v>15000</v>
      </c>
      <c r="P645" s="10" t="s">
        <v>19</v>
      </c>
    </row>
    <row r="646" spans="1:16" s="22" customFormat="1" ht="14.25" customHeight="1" x14ac:dyDescent="0.25">
      <c r="A646" s="5" t="s">
        <v>1536</v>
      </c>
      <c r="B646" s="22" t="s">
        <v>716</v>
      </c>
      <c r="C646" s="22" t="s">
        <v>787</v>
      </c>
      <c r="D646" s="18" t="s">
        <v>1537</v>
      </c>
      <c r="E646" s="24" t="str">
        <f t="shared" si="63"/>
        <v>S0381001E007</v>
      </c>
      <c r="F646" s="13">
        <v>44417</v>
      </c>
      <c r="G646" s="13">
        <f t="shared" si="62"/>
        <v>44423</v>
      </c>
      <c r="H646" s="7">
        <f t="shared" ca="1" si="64"/>
        <v>-680</v>
      </c>
      <c r="I646" s="13">
        <v>44419</v>
      </c>
      <c r="J646" s="9">
        <f t="shared" ca="1" si="65"/>
        <v>0</v>
      </c>
      <c r="K646" s="10"/>
      <c r="L646" s="10" t="str">
        <f t="shared" si="66"/>
        <v>Accepted</v>
      </c>
      <c r="M646" s="11">
        <v>0</v>
      </c>
      <c r="N646" s="10" t="s">
        <v>18</v>
      </c>
      <c r="O646" s="42">
        <f t="shared" si="67"/>
        <v>15000</v>
      </c>
      <c r="P646" s="10" t="s">
        <v>19</v>
      </c>
    </row>
    <row r="647" spans="1:16" s="22" customFormat="1" ht="14.25" customHeight="1" x14ac:dyDescent="0.25">
      <c r="A647" s="5" t="s">
        <v>1538</v>
      </c>
      <c r="B647" s="22" t="s">
        <v>716</v>
      </c>
      <c r="C647" s="22" t="s">
        <v>787</v>
      </c>
      <c r="D647" s="18" t="s">
        <v>1539</v>
      </c>
      <c r="E647" s="24" t="str">
        <f t="shared" si="63"/>
        <v>S0510091E009</v>
      </c>
      <c r="F647" s="13">
        <v>44417</v>
      </c>
      <c r="G647" s="13">
        <f t="shared" si="62"/>
        <v>44423</v>
      </c>
      <c r="H647" s="7">
        <f t="shared" ca="1" si="64"/>
        <v>-680</v>
      </c>
      <c r="I647" s="13">
        <v>44419</v>
      </c>
      <c r="J647" s="9">
        <f t="shared" ca="1" si="65"/>
        <v>0</v>
      </c>
      <c r="K647" s="10"/>
      <c r="L647" s="10" t="str">
        <f t="shared" si="66"/>
        <v>Accepted</v>
      </c>
      <c r="M647" s="11">
        <v>0</v>
      </c>
      <c r="N647" s="10" t="s">
        <v>18</v>
      </c>
      <c r="O647" s="42">
        <f t="shared" si="67"/>
        <v>15000</v>
      </c>
      <c r="P647" s="10" t="s">
        <v>19</v>
      </c>
    </row>
    <row r="648" spans="1:16" s="22" customFormat="1" ht="14.25" customHeight="1" x14ac:dyDescent="0.25">
      <c r="A648" s="5" t="s">
        <v>1540</v>
      </c>
      <c r="B648" s="22" t="s">
        <v>716</v>
      </c>
      <c r="C648" s="22" t="s">
        <v>787</v>
      </c>
      <c r="D648" s="18" t="s">
        <v>1541</v>
      </c>
      <c r="E648" s="24" t="str">
        <f t="shared" si="63"/>
        <v>S0510172E009</v>
      </c>
      <c r="F648" s="13">
        <v>44417</v>
      </c>
      <c r="G648" s="13">
        <f t="shared" si="62"/>
        <v>44423</v>
      </c>
      <c r="H648" s="7">
        <f t="shared" ca="1" si="64"/>
        <v>-680</v>
      </c>
      <c r="I648" s="13">
        <v>44419</v>
      </c>
      <c r="J648" s="9">
        <f t="shared" ca="1" si="65"/>
        <v>0</v>
      </c>
      <c r="K648" s="10"/>
      <c r="L648" s="10" t="str">
        <f t="shared" si="66"/>
        <v>Accepted</v>
      </c>
      <c r="M648" s="11">
        <v>0</v>
      </c>
      <c r="N648" s="10" t="s">
        <v>18</v>
      </c>
      <c r="O648" s="42">
        <f t="shared" si="67"/>
        <v>15000</v>
      </c>
      <c r="P648" s="10" t="s">
        <v>19</v>
      </c>
    </row>
    <row r="649" spans="1:16" s="22" customFormat="1" ht="14.25" customHeight="1" x14ac:dyDescent="0.25">
      <c r="A649" s="5" t="s">
        <v>1544</v>
      </c>
      <c r="B649" s="22" t="s">
        <v>716</v>
      </c>
      <c r="C649" s="22" t="s">
        <v>787</v>
      </c>
      <c r="D649" s="18" t="s">
        <v>1545</v>
      </c>
      <c r="E649" s="24" t="str">
        <f t="shared" si="63"/>
        <v>V0110403E001</v>
      </c>
      <c r="F649" s="13">
        <v>44417</v>
      </c>
      <c r="G649" s="13">
        <f t="shared" si="62"/>
        <v>44423</v>
      </c>
      <c r="H649" s="7">
        <f t="shared" ca="1" si="64"/>
        <v>-680</v>
      </c>
      <c r="I649" s="13">
        <v>44419</v>
      </c>
      <c r="J649" s="9">
        <f t="shared" ca="1" si="65"/>
        <v>0</v>
      </c>
      <c r="K649" s="10"/>
      <c r="L649" s="10" t="str">
        <f t="shared" si="66"/>
        <v>Accepted</v>
      </c>
      <c r="M649" s="11">
        <v>0</v>
      </c>
      <c r="N649" s="10" t="s">
        <v>18</v>
      </c>
      <c r="O649" s="42">
        <f t="shared" si="67"/>
        <v>15000</v>
      </c>
      <c r="P649" s="10" t="s">
        <v>19</v>
      </c>
    </row>
    <row r="650" spans="1:16" s="22" customFormat="1" ht="14.25" customHeight="1" x14ac:dyDescent="0.25">
      <c r="A650" s="5" t="s">
        <v>1506</v>
      </c>
      <c r="B650" s="22" t="s">
        <v>716</v>
      </c>
      <c r="C650" s="22" t="s">
        <v>2505</v>
      </c>
      <c r="D650" s="18" t="s">
        <v>1507</v>
      </c>
      <c r="E650" s="24" t="str">
        <f t="shared" si="63"/>
        <v>V0080881P008</v>
      </c>
      <c r="F650" s="13">
        <v>44417</v>
      </c>
      <c r="G650" s="13">
        <f t="shared" si="62"/>
        <v>44423</v>
      </c>
      <c r="H650" s="7">
        <f t="shared" ca="1" si="64"/>
        <v>-680</v>
      </c>
      <c r="I650" s="13">
        <v>44421</v>
      </c>
      <c r="J650" s="9">
        <f t="shared" ca="1" si="65"/>
        <v>0</v>
      </c>
      <c r="K650" s="10"/>
      <c r="L650" s="10" t="str">
        <f t="shared" si="66"/>
        <v>Accepted</v>
      </c>
      <c r="M650" s="11">
        <v>0</v>
      </c>
      <c r="N650" s="10" t="s">
        <v>18</v>
      </c>
      <c r="O650" s="42">
        <f t="shared" si="67"/>
        <v>15000</v>
      </c>
      <c r="P650" s="10" t="s">
        <v>19</v>
      </c>
    </row>
    <row r="651" spans="1:16" s="22" customFormat="1" ht="14.25" customHeight="1" x14ac:dyDescent="0.25">
      <c r="A651" s="5" t="s">
        <v>1512</v>
      </c>
      <c r="B651" s="22" t="s">
        <v>716</v>
      </c>
      <c r="C651" s="22" t="s">
        <v>787</v>
      </c>
      <c r="D651" s="18" t="s">
        <v>1513</v>
      </c>
      <c r="E651" s="24" t="str">
        <f t="shared" si="63"/>
        <v>V0161351E001</v>
      </c>
      <c r="F651" s="13">
        <v>44417</v>
      </c>
      <c r="G651" s="13">
        <f t="shared" si="62"/>
        <v>44423</v>
      </c>
      <c r="H651" s="7">
        <f t="shared" ca="1" si="64"/>
        <v>-680</v>
      </c>
      <c r="I651" s="13">
        <v>44421</v>
      </c>
      <c r="J651" s="9">
        <f t="shared" ca="1" si="65"/>
        <v>0</v>
      </c>
      <c r="K651" s="10"/>
      <c r="L651" s="10" t="str">
        <f t="shared" si="66"/>
        <v>Accepted</v>
      </c>
      <c r="M651" s="11">
        <v>0</v>
      </c>
      <c r="N651" s="10" t="s">
        <v>18</v>
      </c>
      <c r="O651" s="42">
        <f t="shared" si="67"/>
        <v>15000</v>
      </c>
      <c r="P651" s="10" t="s">
        <v>19</v>
      </c>
    </row>
    <row r="652" spans="1:16" s="22" customFormat="1" ht="14.25" customHeight="1" x14ac:dyDescent="0.25">
      <c r="A652" s="5" t="s">
        <v>1514</v>
      </c>
      <c r="B652" s="22" t="s">
        <v>716</v>
      </c>
      <c r="C652" s="22" t="s">
        <v>787</v>
      </c>
      <c r="D652" s="18" t="s">
        <v>1515</v>
      </c>
      <c r="E652" s="24" t="str">
        <f t="shared" si="63"/>
        <v>V0150682E007</v>
      </c>
      <c r="F652" s="13">
        <v>44417</v>
      </c>
      <c r="G652" s="13">
        <f t="shared" si="62"/>
        <v>44423</v>
      </c>
      <c r="H652" s="7">
        <f t="shared" ca="1" si="64"/>
        <v>-680</v>
      </c>
      <c r="I652" s="13">
        <v>44421</v>
      </c>
      <c r="J652" s="9">
        <f t="shared" ca="1" si="65"/>
        <v>0</v>
      </c>
      <c r="K652" s="10"/>
      <c r="L652" s="10" t="str">
        <f t="shared" si="66"/>
        <v>Accepted</v>
      </c>
      <c r="M652" s="11">
        <v>0</v>
      </c>
      <c r="N652" s="10" t="s">
        <v>18</v>
      </c>
      <c r="O652" s="42">
        <f t="shared" si="67"/>
        <v>15000</v>
      </c>
      <c r="P652" s="10" t="s">
        <v>19</v>
      </c>
    </row>
    <row r="653" spans="1:16" s="22" customFormat="1" ht="14.25" customHeight="1" x14ac:dyDescent="0.25">
      <c r="A653" s="5" t="s">
        <v>1516</v>
      </c>
      <c r="B653" s="22" t="s">
        <v>716</v>
      </c>
      <c r="C653" s="22" t="s">
        <v>787</v>
      </c>
      <c r="D653" s="18" t="s">
        <v>1517</v>
      </c>
      <c r="E653" s="24" t="str">
        <f t="shared" si="63"/>
        <v>V0171691P004</v>
      </c>
      <c r="F653" s="13">
        <v>44417</v>
      </c>
      <c r="G653" s="13">
        <f t="shared" si="62"/>
        <v>44423</v>
      </c>
      <c r="H653" s="7">
        <f t="shared" ca="1" si="64"/>
        <v>-680</v>
      </c>
      <c r="I653" s="13">
        <v>44421</v>
      </c>
      <c r="J653" s="9">
        <f t="shared" ca="1" si="65"/>
        <v>0</v>
      </c>
      <c r="K653" s="10"/>
      <c r="L653" s="10" t="str">
        <f t="shared" si="66"/>
        <v>Accepted</v>
      </c>
      <c r="M653" s="11">
        <v>0</v>
      </c>
      <c r="N653" s="10" t="s">
        <v>18</v>
      </c>
      <c r="O653" s="42">
        <f t="shared" si="67"/>
        <v>15000</v>
      </c>
      <c r="P653" s="10" t="s">
        <v>19</v>
      </c>
    </row>
    <row r="654" spans="1:16" s="22" customFormat="1" ht="14.25" customHeight="1" x14ac:dyDescent="0.25">
      <c r="A654" s="5" t="s">
        <v>1528</v>
      </c>
      <c r="B654" s="22" t="s">
        <v>716</v>
      </c>
      <c r="C654" s="22" t="s">
        <v>932</v>
      </c>
      <c r="D654" s="18" t="s">
        <v>1529</v>
      </c>
      <c r="E654" s="24" t="str">
        <f t="shared" si="63"/>
        <v>V0080881P007</v>
      </c>
      <c r="F654" s="13">
        <v>44417</v>
      </c>
      <c r="G654" s="13">
        <f t="shared" si="62"/>
        <v>44423</v>
      </c>
      <c r="H654" s="7">
        <f t="shared" ca="1" si="64"/>
        <v>-680</v>
      </c>
      <c r="I654" s="13">
        <v>44421</v>
      </c>
      <c r="J654" s="9">
        <f t="shared" ca="1" si="65"/>
        <v>0</v>
      </c>
      <c r="K654" s="10"/>
      <c r="L654" s="10" t="str">
        <f t="shared" si="66"/>
        <v>Accepted</v>
      </c>
      <c r="M654" s="11">
        <v>0</v>
      </c>
      <c r="N654" s="10" t="s">
        <v>18</v>
      </c>
      <c r="O654" s="42">
        <f t="shared" si="67"/>
        <v>15000</v>
      </c>
      <c r="P654" s="10" t="s">
        <v>19</v>
      </c>
    </row>
    <row r="655" spans="1:16" s="22" customFormat="1" ht="14.25" customHeight="1" x14ac:dyDescent="0.25">
      <c r="A655" s="5" t="s">
        <v>1530</v>
      </c>
      <c r="B655" s="22" t="s">
        <v>716</v>
      </c>
      <c r="C655" s="22" t="s">
        <v>932</v>
      </c>
      <c r="D655" s="18" t="s">
        <v>1531</v>
      </c>
      <c r="E655" s="24" t="str">
        <f t="shared" si="63"/>
        <v>V0103771P007</v>
      </c>
      <c r="F655" s="13">
        <v>44417</v>
      </c>
      <c r="G655" s="13">
        <f t="shared" si="62"/>
        <v>44423</v>
      </c>
      <c r="H655" s="7">
        <f t="shared" ca="1" si="64"/>
        <v>-680</v>
      </c>
      <c r="I655" s="13">
        <v>44421</v>
      </c>
      <c r="J655" s="9">
        <f t="shared" ca="1" si="65"/>
        <v>0</v>
      </c>
      <c r="K655" s="10"/>
      <c r="L655" s="10" t="str">
        <f t="shared" si="66"/>
        <v>Accepted</v>
      </c>
      <c r="M655" s="11">
        <v>0</v>
      </c>
      <c r="N655" s="10" t="s">
        <v>18</v>
      </c>
      <c r="O655" s="42">
        <f t="shared" si="67"/>
        <v>15000</v>
      </c>
      <c r="P655" s="10" t="s">
        <v>19</v>
      </c>
    </row>
    <row r="656" spans="1:16" s="22" customFormat="1" ht="14.25" customHeight="1" x14ac:dyDescent="0.25">
      <c r="A656" s="5" t="s">
        <v>1498</v>
      </c>
      <c r="B656" s="22" t="s">
        <v>716</v>
      </c>
      <c r="C656" s="22" t="s">
        <v>932</v>
      </c>
      <c r="D656" s="18" t="s">
        <v>1499</v>
      </c>
      <c r="E656" s="24" t="str">
        <f t="shared" si="63"/>
        <v>S0380852E002</v>
      </c>
      <c r="F656" s="13">
        <v>44417</v>
      </c>
      <c r="G656" s="13">
        <f t="shared" si="62"/>
        <v>44423</v>
      </c>
      <c r="H656" s="7">
        <f t="shared" ca="1" si="64"/>
        <v>-680</v>
      </c>
      <c r="I656" s="13">
        <v>44422</v>
      </c>
      <c r="J656" s="9">
        <f t="shared" ca="1" si="65"/>
        <v>0</v>
      </c>
      <c r="K656" s="10"/>
      <c r="L656" s="10" t="str">
        <f t="shared" si="66"/>
        <v>Accepted</v>
      </c>
      <c r="M656" s="11">
        <v>1</v>
      </c>
      <c r="N656" s="10" t="s">
        <v>18</v>
      </c>
      <c r="O656" s="42">
        <f t="shared" si="67"/>
        <v>15000</v>
      </c>
      <c r="P656" s="10" t="s">
        <v>19</v>
      </c>
    </row>
    <row r="657" spans="1:16" s="22" customFormat="1" ht="14.25" customHeight="1" x14ac:dyDescent="0.25">
      <c r="A657" s="5" t="s">
        <v>1500</v>
      </c>
      <c r="B657" s="22" t="s">
        <v>716</v>
      </c>
      <c r="C657" s="22" t="s">
        <v>787</v>
      </c>
      <c r="D657" s="18" t="s">
        <v>1501</v>
      </c>
      <c r="E657" s="24" t="str">
        <f t="shared" si="63"/>
        <v>S0510401E002</v>
      </c>
      <c r="F657" s="13">
        <v>44417</v>
      </c>
      <c r="G657" s="13">
        <f t="shared" si="62"/>
        <v>44423</v>
      </c>
      <c r="H657" s="7">
        <f t="shared" ca="1" si="64"/>
        <v>-680</v>
      </c>
      <c r="I657" s="13">
        <v>44422</v>
      </c>
      <c r="J657" s="9">
        <f t="shared" ca="1" si="65"/>
        <v>0</v>
      </c>
      <c r="K657" s="10"/>
      <c r="L657" s="10" t="str">
        <f t="shared" si="66"/>
        <v>Accepted</v>
      </c>
      <c r="M657" s="11">
        <v>1</v>
      </c>
      <c r="N657" s="10" t="s">
        <v>18</v>
      </c>
      <c r="O657" s="42">
        <f t="shared" si="67"/>
        <v>15000</v>
      </c>
      <c r="P657" s="10" t="s">
        <v>19</v>
      </c>
    </row>
    <row r="658" spans="1:16" s="22" customFormat="1" ht="14.25" customHeight="1" x14ac:dyDescent="0.25">
      <c r="A658" s="5" t="s">
        <v>1502</v>
      </c>
      <c r="B658" s="22" t="s">
        <v>716</v>
      </c>
      <c r="C658" s="22" t="s">
        <v>787</v>
      </c>
      <c r="D658" s="18" t="s">
        <v>1503</v>
      </c>
      <c r="E658" s="24" t="str">
        <f t="shared" si="63"/>
        <v>S0510402E003</v>
      </c>
      <c r="F658" s="13">
        <v>44417</v>
      </c>
      <c r="G658" s="13">
        <f t="shared" si="62"/>
        <v>44423</v>
      </c>
      <c r="H658" s="7">
        <f t="shared" ca="1" si="64"/>
        <v>-680</v>
      </c>
      <c r="I658" s="13">
        <v>44422</v>
      </c>
      <c r="J658" s="9">
        <f t="shared" ca="1" si="65"/>
        <v>0</v>
      </c>
      <c r="K658" s="10"/>
      <c r="L658" s="10" t="str">
        <f t="shared" si="66"/>
        <v>Accepted</v>
      </c>
      <c r="M658" s="11">
        <v>1</v>
      </c>
      <c r="N658" s="10" t="s">
        <v>18</v>
      </c>
      <c r="O658" s="42">
        <f t="shared" si="67"/>
        <v>15000</v>
      </c>
      <c r="P658" s="10" t="s">
        <v>19</v>
      </c>
    </row>
    <row r="659" spans="1:16" s="22" customFormat="1" ht="14.25" customHeight="1" x14ac:dyDescent="0.25">
      <c r="A659" s="5" t="s">
        <v>1504</v>
      </c>
      <c r="B659" s="22" t="s">
        <v>716</v>
      </c>
      <c r="C659" s="22" t="s">
        <v>787</v>
      </c>
      <c r="D659" s="18" t="s">
        <v>1505</v>
      </c>
      <c r="E659" s="24" t="str">
        <f t="shared" si="63"/>
        <v>S0510402E004</v>
      </c>
      <c r="F659" s="13">
        <v>44417</v>
      </c>
      <c r="G659" s="13">
        <f t="shared" si="62"/>
        <v>44423</v>
      </c>
      <c r="H659" s="7">
        <f t="shared" ca="1" si="64"/>
        <v>-680</v>
      </c>
      <c r="I659" s="13">
        <v>44422</v>
      </c>
      <c r="J659" s="9">
        <f t="shared" ca="1" si="65"/>
        <v>0</v>
      </c>
      <c r="K659" s="10"/>
      <c r="L659" s="10" t="str">
        <f t="shared" si="66"/>
        <v>Accepted</v>
      </c>
      <c r="M659" s="11">
        <v>1</v>
      </c>
      <c r="N659" s="10" t="s">
        <v>18</v>
      </c>
      <c r="O659" s="42">
        <f t="shared" si="67"/>
        <v>15000</v>
      </c>
      <c r="P659" s="10" t="s">
        <v>19</v>
      </c>
    </row>
    <row r="660" spans="1:16" s="22" customFormat="1" ht="14.25" customHeight="1" x14ac:dyDescent="0.25">
      <c r="A660" s="5" t="s">
        <v>1508</v>
      </c>
      <c r="B660" s="22" t="s">
        <v>716</v>
      </c>
      <c r="C660" s="22" t="s">
        <v>2505</v>
      </c>
      <c r="D660" s="18" t="s">
        <v>1509</v>
      </c>
      <c r="E660" s="24" t="str">
        <f t="shared" si="63"/>
        <v>V0170801P014</v>
      </c>
      <c r="F660" s="13">
        <v>44417</v>
      </c>
      <c r="G660" s="13">
        <f t="shared" si="62"/>
        <v>44423</v>
      </c>
      <c r="H660" s="7">
        <f t="shared" ca="1" si="64"/>
        <v>-680</v>
      </c>
      <c r="I660" s="13">
        <v>44422</v>
      </c>
      <c r="J660" s="9">
        <f t="shared" ca="1" si="65"/>
        <v>0</v>
      </c>
      <c r="K660" s="10"/>
      <c r="L660" s="10" t="str">
        <f t="shared" si="66"/>
        <v>Accepted</v>
      </c>
      <c r="M660" s="11">
        <v>0</v>
      </c>
      <c r="N660" s="10" t="s">
        <v>18</v>
      </c>
      <c r="O660" s="42">
        <f t="shared" si="67"/>
        <v>15000</v>
      </c>
      <c r="P660" s="10" t="s">
        <v>19</v>
      </c>
    </row>
    <row r="661" spans="1:16" s="22" customFormat="1" ht="14.25" customHeight="1" x14ac:dyDescent="0.25">
      <c r="A661" s="5" t="s">
        <v>1510</v>
      </c>
      <c r="B661" s="22" t="s">
        <v>716</v>
      </c>
      <c r="C661" s="22" t="s">
        <v>787</v>
      </c>
      <c r="D661" s="18" t="s">
        <v>1511</v>
      </c>
      <c r="E661" s="24" t="str">
        <f t="shared" si="63"/>
        <v>V0181393E004</v>
      </c>
      <c r="F661" s="13">
        <v>44417</v>
      </c>
      <c r="G661" s="13">
        <f t="shared" si="62"/>
        <v>44423</v>
      </c>
      <c r="H661" s="7">
        <f t="shared" ca="1" si="64"/>
        <v>-680</v>
      </c>
      <c r="I661" s="13">
        <v>44422</v>
      </c>
      <c r="J661" s="9">
        <f t="shared" ca="1" si="65"/>
        <v>0</v>
      </c>
      <c r="K661" s="10"/>
      <c r="L661" s="10" t="str">
        <f t="shared" si="66"/>
        <v>Accepted</v>
      </c>
      <c r="M661" s="11">
        <v>0</v>
      </c>
      <c r="N661" s="10" t="s">
        <v>18</v>
      </c>
      <c r="O661" s="42">
        <f t="shared" si="67"/>
        <v>15000</v>
      </c>
      <c r="P661" s="10" t="s">
        <v>19</v>
      </c>
    </row>
    <row r="662" spans="1:16" s="22" customFormat="1" ht="14.25" customHeight="1" x14ac:dyDescent="0.25">
      <c r="A662" s="5" t="s">
        <v>1518</v>
      </c>
      <c r="B662" s="22" t="s">
        <v>716</v>
      </c>
      <c r="C662" s="22" t="s">
        <v>787</v>
      </c>
      <c r="D662" s="18" t="s">
        <v>1519</v>
      </c>
      <c r="E662" s="24" t="str">
        <f t="shared" si="63"/>
        <v>V0173641P007</v>
      </c>
      <c r="F662" s="13">
        <v>44417</v>
      </c>
      <c r="G662" s="13">
        <f t="shared" si="62"/>
        <v>44423</v>
      </c>
      <c r="H662" s="7">
        <f t="shared" ca="1" si="64"/>
        <v>-680</v>
      </c>
      <c r="I662" s="13">
        <v>44422</v>
      </c>
      <c r="J662" s="9">
        <f t="shared" ca="1" si="65"/>
        <v>0</v>
      </c>
      <c r="K662" s="10"/>
      <c r="L662" s="10" t="str">
        <f t="shared" si="66"/>
        <v>Accepted</v>
      </c>
      <c r="M662" s="11">
        <v>0</v>
      </c>
      <c r="N662" s="10" t="s">
        <v>18</v>
      </c>
      <c r="O662" s="42">
        <f t="shared" si="67"/>
        <v>15000</v>
      </c>
      <c r="P662" s="10" t="s">
        <v>19</v>
      </c>
    </row>
    <row r="663" spans="1:16" s="22" customFormat="1" ht="14.25" customHeight="1" x14ac:dyDescent="0.25">
      <c r="A663" s="5" t="s">
        <v>1520</v>
      </c>
      <c r="B663" s="22" t="s">
        <v>716</v>
      </c>
      <c r="C663" s="22" t="s">
        <v>787</v>
      </c>
      <c r="D663" s="18" t="s">
        <v>1521</v>
      </c>
      <c r="E663" s="24" t="str">
        <f t="shared" si="63"/>
        <v>V0181381P016</v>
      </c>
      <c r="F663" s="13">
        <v>44417</v>
      </c>
      <c r="G663" s="13">
        <f t="shared" si="62"/>
        <v>44423</v>
      </c>
      <c r="H663" s="7">
        <f t="shared" ca="1" si="64"/>
        <v>-680</v>
      </c>
      <c r="I663" s="13">
        <v>44422</v>
      </c>
      <c r="J663" s="9">
        <f t="shared" ca="1" si="65"/>
        <v>0</v>
      </c>
      <c r="K663" s="10"/>
      <c r="L663" s="10" t="str">
        <f t="shared" si="66"/>
        <v>Accepted</v>
      </c>
      <c r="M663" s="11">
        <v>0</v>
      </c>
      <c r="N663" s="10" t="s">
        <v>18</v>
      </c>
      <c r="O663" s="42">
        <f t="shared" si="67"/>
        <v>15000</v>
      </c>
      <c r="P663" s="10" t="s">
        <v>19</v>
      </c>
    </row>
    <row r="664" spans="1:16" s="22" customFormat="1" ht="14.25" customHeight="1" x14ac:dyDescent="0.25">
      <c r="A664" s="5" t="s">
        <v>1522</v>
      </c>
      <c r="B664" s="22" t="s">
        <v>716</v>
      </c>
      <c r="C664" s="22" t="s">
        <v>787</v>
      </c>
      <c r="D664" s="18" t="s">
        <v>1523</v>
      </c>
      <c r="E664" s="24" t="str">
        <f t="shared" si="63"/>
        <v>V0181451P003</v>
      </c>
      <c r="F664" s="13">
        <v>44417</v>
      </c>
      <c r="G664" s="13">
        <f t="shared" si="62"/>
        <v>44423</v>
      </c>
      <c r="H664" s="7">
        <f t="shared" ca="1" si="64"/>
        <v>-680</v>
      </c>
      <c r="I664" s="13">
        <v>44422</v>
      </c>
      <c r="J664" s="9">
        <f t="shared" ca="1" si="65"/>
        <v>0</v>
      </c>
      <c r="K664" s="10"/>
      <c r="L664" s="10" t="str">
        <f t="shared" si="66"/>
        <v>Accepted</v>
      </c>
      <c r="M664" s="11">
        <v>0</v>
      </c>
      <c r="N664" s="10" t="s">
        <v>18</v>
      </c>
      <c r="O664" s="42">
        <f t="shared" si="67"/>
        <v>15000</v>
      </c>
      <c r="P664" s="10" t="s">
        <v>19</v>
      </c>
    </row>
    <row r="665" spans="1:16" s="22" customFormat="1" ht="14.25" customHeight="1" x14ac:dyDescent="0.25">
      <c r="A665" s="5" t="s">
        <v>1524</v>
      </c>
      <c r="B665" s="22" t="s">
        <v>716</v>
      </c>
      <c r="C665" s="22" t="s">
        <v>787</v>
      </c>
      <c r="D665" s="18" t="s">
        <v>1525</v>
      </c>
      <c r="E665" s="24" t="str">
        <f t="shared" si="63"/>
        <v>V0181461P009</v>
      </c>
      <c r="F665" s="13">
        <v>44417</v>
      </c>
      <c r="G665" s="13">
        <f t="shared" si="62"/>
        <v>44423</v>
      </c>
      <c r="H665" s="7">
        <f t="shared" ca="1" si="64"/>
        <v>-680</v>
      </c>
      <c r="I665" s="13">
        <v>44422</v>
      </c>
      <c r="J665" s="9">
        <f t="shared" ca="1" si="65"/>
        <v>0</v>
      </c>
      <c r="K665" s="10"/>
      <c r="L665" s="10" t="str">
        <f t="shared" si="66"/>
        <v>Accepted</v>
      </c>
      <c r="M665" s="11">
        <v>0</v>
      </c>
      <c r="N665" s="10" t="s">
        <v>18</v>
      </c>
      <c r="O665" s="42">
        <f t="shared" si="67"/>
        <v>15000</v>
      </c>
      <c r="P665" s="10" t="s">
        <v>19</v>
      </c>
    </row>
    <row r="666" spans="1:16" s="22" customFormat="1" ht="14.25" customHeight="1" x14ac:dyDescent="0.25">
      <c r="A666" s="5" t="s">
        <v>1526</v>
      </c>
      <c r="B666" s="22" t="s">
        <v>716</v>
      </c>
      <c r="C666" s="22" t="s">
        <v>787</v>
      </c>
      <c r="D666" s="18" t="s">
        <v>1527</v>
      </c>
      <c r="E666" s="24" t="str">
        <f t="shared" si="63"/>
        <v>V0181461P015</v>
      </c>
      <c r="F666" s="13">
        <v>44417</v>
      </c>
      <c r="G666" s="13">
        <f t="shared" si="62"/>
        <v>44423</v>
      </c>
      <c r="H666" s="7">
        <f t="shared" ca="1" si="64"/>
        <v>-680</v>
      </c>
      <c r="I666" s="13">
        <v>44422</v>
      </c>
      <c r="J666" s="9">
        <f t="shared" ca="1" si="65"/>
        <v>0</v>
      </c>
      <c r="K666" s="10"/>
      <c r="L666" s="10" t="str">
        <f t="shared" si="66"/>
        <v>Accepted</v>
      </c>
      <c r="M666" s="11">
        <v>0</v>
      </c>
      <c r="N666" s="10" t="s">
        <v>18</v>
      </c>
      <c r="O666" s="42">
        <f t="shared" si="67"/>
        <v>15000</v>
      </c>
      <c r="P666" s="10" t="s">
        <v>19</v>
      </c>
    </row>
    <row r="667" spans="1:16" s="22" customFormat="1" ht="14.25" customHeight="1" x14ac:dyDescent="0.25">
      <c r="A667" s="5" t="s">
        <v>1542</v>
      </c>
      <c r="B667" s="22" t="s">
        <v>716</v>
      </c>
      <c r="C667" s="22" t="s">
        <v>787</v>
      </c>
      <c r="D667" s="18" t="s">
        <v>1543</v>
      </c>
      <c r="E667" s="24" t="str">
        <f t="shared" si="63"/>
        <v>S0510231E007</v>
      </c>
      <c r="F667" s="13">
        <v>44417</v>
      </c>
      <c r="G667" s="13">
        <f t="shared" ref="G667:G698" si="68">F667+6</f>
        <v>44423</v>
      </c>
      <c r="H667" s="7">
        <f t="shared" ca="1" si="64"/>
        <v>-680</v>
      </c>
      <c r="I667" s="13">
        <v>44423</v>
      </c>
      <c r="J667" s="9">
        <f t="shared" ca="1" si="65"/>
        <v>0</v>
      </c>
      <c r="K667" s="10"/>
      <c r="L667" s="10" t="str">
        <f t="shared" si="66"/>
        <v>Accepted</v>
      </c>
      <c r="M667" s="11">
        <v>0</v>
      </c>
      <c r="N667" s="10" t="s">
        <v>30</v>
      </c>
      <c r="O667" s="42">
        <f t="shared" si="67"/>
        <v>18000</v>
      </c>
      <c r="P667" s="10" t="s">
        <v>19</v>
      </c>
    </row>
    <row r="668" spans="1:16" s="22" customFormat="1" ht="14.25" customHeight="1" x14ac:dyDescent="0.25">
      <c r="A668" s="5" t="s">
        <v>1546</v>
      </c>
      <c r="B668" s="22" t="s">
        <v>716</v>
      </c>
      <c r="C668" s="22" t="s">
        <v>787</v>
      </c>
      <c r="D668" s="18" t="s">
        <v>1547</v>
      </c>
      <c r="E668" s="24" t="str">
        <f t="shared" si="63"/>
        <v>S0510321E008</v>
      </c>
      <c r="F668" s="13">
        <v>44417</v>
      </c>
      <c r="G668" s="13">
        <f t="shared" si="68"/>
        <v>44423</v>
      </c>
      <c r="H668" s="7">
        <f t="shared" ca="1" si="64"/>
        <v>-680</v>
      </c>
      <c r="I668" s="13">
        <v>44423</v>
      </c>
      <c r="J668" s="9">
        <f t="shared" ca="1" si="65"/>
        <v>0</v>
      </c>
      <c r="K668" s="10"/>
      <c r="L668" s="10" t="str">
        <f t="shared" si="66"/>
        <v>Accepted</v>
      </c>
      <c r="M668" s="11">
        <v>0</v>
      </c>
      <c r="N668" s="10" t="s">
        <v>18</v>
      </c>
      <c r="O668" s="42">
        <f t="shared" si="67"/>
        <v>15000</v>
      </c>
      <c r="P668" s="10" t="s">
        <v>19</v>
      </c>
    </row>
    <row r="669" spans="1:16" s="22" customFormat="1" ht="14.25" customHeight="1" x14ac:dyDescent="0.25">
      <c r="A669" s="5" t="s">
        <v>1548</v>
      </c>
      <c r="B669" s="22" t="s">
        <v>716</v>
      </c>
      <c r="C669" s="22" t="s">
        <v>1043</v>
      </c>
      <c r="D669" s="18" t="s">
        <v>1549</v>
      </c>
      <c r="E669" s="24" t="str">
        <f t="shared" si="63"/>
        <v>S0422281E001</v>
      </c>
      <c r="F669" s="13">
        <v>44417</v>
      </c>
      <c r="G669" s="13">
        <f t="shared" si="68"/>
        <v>44423</v>
      </c>
      <c r="H669" s="7">
        <f t="shared" ca="1" si="64"/>
        <v>-680</v>
      </c>
      <c r="I669" s="13">
        <v>44423</v>
      </c>
      <c r="J669" s="9">
        <f t="shared" ca="1" si="65"/>
        <v>0</v>
      </c>
      <c r="K669" s="10"/>
      <c r="L669" s="10" t="str">
        <f t="shared" si="66"/>
        <v>Accepted</v>
      </c>
      <c r="M669" s="11">
        <v>0</v>
      </c>
      <c r="N669" s="10" t="s">
        <v>18</v>
      </c>
      <c r="O669" s="42">
        <f t="shared" si="67"/>
        <v>15000</v>
      </c>
      <c r="P669" s="10" t="s">
        <v>19</v>
      </c>
    </row>
    <row r="670" spans="1:16" s="22" customFormat="1" ht="14.25" customHeight="1" x14ac:dyDescent="0.25">
      <c r="A670" s="5" t="s">
        <v>1550</v>
      </c>
      <c r="B670" s="22" t="s">
        <v>716</v>
      </c>
      <c r="C670" s="22" t="s">
        <v>787</v>
      </c>
      <c r="D670" s="18" t="s">
        <v>1551</v>
      </c>
      <c r="E670" s="24" t="str">
        <f t="shared" si="63"/>
        <v>V0140212E010</v>
      </c>
      <c r="F670" s="13">
        <v>44417</v>
      </c>
      <c r="G670" s="13">
        <f t="shared" si="68"/>
        <v>44423</v>
      </c>
      <c r="H670" s="7">
        <f t="shared" ca="1" si="64"/>
        <v>-680</v>
      </c>
      <c r="I670" s="13">
        <v>44423</v>
      </c>
      <c r="J670" s="9">
        <f t="shared" ca="1" si="65"/>
        <v>0</v>
      </c>
      <c r="K670" s="10"/>
      <c r="L670" s="10" t="str">
        <f t="shared" si="66"/>
        <v>Accepted</v>
      </c>
      <c r="M670" s="11">
        <v>0</v>
      </c>
      <c r="N670" s="10" t="s">
        <v>18</v>
      </c>
      <c r="O670" s="42">
        <f t="shared" si="67"/>
        <v>15000</v>
      </c>
      <c r="P670" s="10" t="s">
        <v>19</v>
      </c>
    </row>
    <row r="671" spans="1:16" s="22" customFormat="1" ht="14.25" customHeight="1" x14ac:dyDescent="0.25">
      <c r="A671" s="5" t="s">
        <v>1556</v>
      </c>
      <c r="B671" s="22" t="s">
        <v>716</v>
      </c>
      <c r="C671" s="22" t="s">
        <v>787</v>
      </c>
      <c r="D671" s="18" t="s">
        <v>1557</v>
      </c>
      <c r="E671" s="24" t="str">
        <f t="shared" si="63"/>
        <v>S0291611E004</v>
      </c>
      <c r="F671" s="13">
        <v>44424</v>
      </c>
      <c r="G671" s="13">
        <f t="shared" si="68"/>
        <v>44430</v>
      </c>
      <c r="H671" s="7">
        <f t="shared" ca="1" si="64"/>
        <v>-673</v>
      </c>
      <c r="I671" s="13">
        <v>44425</v>
      </c>
      <c r="J671" s="9">
        <f t="shared" ca="1" si="65"/>
        <v>0</v>
      </c>
      <c r="K671" s="10"/>
      <c r="L671" s="10" t="str">
        <f t="shared" si="66"/>
        <v>Accepted</v>
      </c>
      <c r="M671" s="11">
        <v>0</v>
      </c>
      <c r="N671" s="10" t="s">
        <v>18</v>
      </c>
      <c r="O671" s="42">
        <f t="shared" si="67"/>
        <v>15000</v>
      </c>
      <c r="P671" s="10" t="s">
        <v>19</v>
      </c>
    </row>
    <row r="672" spans="1:16" s="22" customFormat="1" ht="14.25" customHeight="1" x14ac:dyDescent="0.25">
      <c r="A672" s="5" t="s">
        <v>1552</v>
      </c>
      <c r="B672" s="22" t="s">
        <v>716</v>
      </c>
      <c r="C672" s="22" t="s">
        <v>787</v>
      </c>
      <c r="D672" s="18" t="s">
        <v>1553</v>
      </c>
      <c r="E672" s="24" t="str">
        <f t="shared" si="63"/>
        <v>V0140152E006</v>
      </c>
      <c r="F672" s="13">
        <v>44424</v>
      </c>
      <c r="G672" s="13">
        <f t="shared" si="68"/>
        <v>44430</v>
      </c>
      <c r="H672" s="7">
        <f t="shared" ca="1" si="64"/>
        <v>-673</v>
      </c>
      <c r="I672" s="13">
        <v>44426</v>
      </c>
      <c r="J672" s="9">
        <f t="shared" ca="1" si="65"/>
        <v>0</v>
      </c>
      <c r="K672" s="10"/>
      <c r="L672" s="10" t="str">
        <f t="shared" si="66"/>
        <v>Accepted</v>
      </c>
      <c r="M672" s="11">
        <v>0</v>
      </c>
      <c r="N672" s="10" t="s">
        <v>18</v>
      </c>
      <c r="O672" s="42">
        <f t="shared" si="67"/>
        <v>15000</v>
      </c>
      <c r="P672" s="10" t="s">
        <v>19</v>
      </c>
    </row>
    <row r="673" spans="1:16" s="22" customFormat="1" ht="14.25" customHeight="1" x14ac:dyDescent="0.25">
      <c r="A673" s="5" t="s">
        <v>1560</v>
      </c>
      <c r="B673" s="22" t="s">
        <v>716</v>
      </c>
      <c r="C673" s="22" t="s">
        <v>985</v>
      </c>
      <c r="D673" s="18" t="s">
        <v>1561</v>
      </c>
      <c r="E673" s="24" t="str">
        <f t="shared" si="63"/>
        <v>S0150712E002</v>
      </c>
      <c r="F673" s="13">
        <v>44424</v>
      </c>
      <c r="G673" s="13">
        <f t="shared" si="68"/>
        <v>44430</v>
      </c>
      <c r="H673" s="7">
        <f t="shared" ca="1" si="64"/>
        <v>-673</v>
      </c>
      <c r="I673" s="13">
        <v>44426</v>
      </c>
      <c r="J673" s="9">
        <f t="shared" ca="1" si="65"/>
        <v>0</v>
      </c>
      <c r="K673" s="10"/>
      <c r="L673" s="10" t="str">
        <f t="shared" si="66"/>
        <v>Accepted</v>
      </c>
      <c r="M673" s="11">
        <v>0</v>
      </c>
      <c r="N673" s="10" t="s">
        <v>18</v>
      </c>
      <c r="O673" s="42">
        <f t="shared" si="67"/>
        <v>15000</v>
      </c>
      <c r="P673" s="10" t="s">
        <v>19</v>
      </c>
    </row>
    <row r="674" spans="1:16" s="22" customFormat="1" ht="14.25" customHeight="1" x14ac:dyDescent="0.25">
      <c r="A674" s="5" t="s">
        <v>1566</v>
      </c>
      <c r="B674" s="22" t="s">
        <v>716</v>
      </c>
      <c r="C674" s="22" t="s">
        <v>787</v>
      </c>
      <c r="D674" s="18" t="s">
        <v>1567</v>
      </c>
      <c r="E674" s="24" t="str">
        <f t="shared" si="63"/>
        <v>S0300981E006</v>
      </c>
      <c r="F674" s="13">
        <v>44424</v>
      </c>
      <c r="G674" s="13">
        <f t="shared" si="68"/>
        <v>44430</v>
      </c>
      <c r="H674" s="7">
        <f t="shared" ca="1" si="64"/>
        <v>-673</v>
      </c>
      <c r="I674" s="13">
        <v>44426</v>
      </c>
      <c r="J674" s="9">
        <f t="shared" ca="1" si="65"/>
        <v>0</v>
      </c>
      <c r="K674" s="10"/>
      <c r="L674" s="10" t="str">
        <f t="shared" si="66"/>
        <v>Accepted</v>
      </c>
      <c r="M674" s="11">
        <v>1</v>
      </c>
      <c r="N674" s="10" t="s">
        <v>18</v>
      </c>
      <c r="O674" s="42">
        <f t="shared" si="67"/>
        <v>15000</v>
      </c>
      <c r="P674" s="10" t="s">
        <v>19</v>
      </c>
    </row>
    <row r="675" spans="1:16" s="22" customFormat="1" ht="14.25" customHeight="1" x14ac:dyDescent="0.25">
      <c r="A675" s="5" t="s">
        <v>1568</v>
      </c>
      <c r="B675" s="22" t="s">
        <v>716</v>
      </c>
      <c r="C675" s="22" t="s">
        <v>2505</v>
      </c>
      <c r="D675" s="18" t="s">
        <v>1569</v>
      </c>
      <c r="E675" s="24" t="str">
        <f t="shared" si="63"/>
        <v>S0130721E005</v>
      </c>
      <c r="F675" s="13">
        <v>44424</v>
      </c>
      <c r="G675" s="13">
        <f t="shared" si="68"/>
        <v>44430</v>
      </c>
      <c r="H675" s="7">
        <f t="shared" ca="1" si="64"/>
        <v>-673</v>
      </c>
      <c r="I675" s="13">
        <v>44426</v>
      </c>
      <c r="J675" s="9">
        <f t="shared" ca="1" si="65"/>
        <v>0</v>
      </c>
      <c r="K675" s="10"/>
      <c r="L675" s="10" t="str">
        <f t="shared" si="66"/>
        <v>Accepted</v>
      </c>
      <c r="M675" s="11">
        <v>1</v>
      </c>
      <c r="N675" s="10" t="s">
        <v>30</v>
      </c>
      <c r="O675" s="42">
        <f t="shared" si="67"/>
        <v>18000</v>
      </c>
      <c r="P675" s="10" t="s">
        <v>19</v>
      </c>
    </row>
    <row r="676" spans="1:16" s="22" customFormat="1" ht="14.25" customHeight="1" x14ac:dyDescent="0.25">
      <c r="A676" s="5" t="s">
        <v>1570</v>
      </c>
      <c r="B676" s="22" t="s">
        <v>716</v>
      </c>
      <c r="C676" s="22" t="s">
        <v>787</v>
      </c>
      <c r="D676" s="18" t="s">
        <v>1571</v>
      </c>
      <c r="E676" s="24" t="str">
        <f t="shared" si="63"/>
        <v>S0292074E001</v>
      </c>
      <c r="F676" s="13">
        <v>44424</v>
      </c>
      <c r="G676" s="13">
        <f t="shared" si="68"/>
        <v>44430</v>
      </c>
      <c r="H676" s="7">
        <f t="shared" ca="1" si="64"/>
        <v>-673</v>
      </c>
      <c r="I676" s="13">
        <v>44426</v>
      </c>
      <c r="J676" s="9">
        <f t="shared" ca="1" si="65"/>
        <v>679</v>
      </c>
      <c r="K676" s="10" t="s">
        <v>771</v>
      </c>
      <c r="L676" s="10" t="str">
        <f t="shared" si="66"/>
        <v>Rejected</v>
      </c>
      <c r="M676" s="11">
        <v>1</v>
      </c>
      <c r="N676" s="10" t="s">
        <v>18</v>
      </c>
      <c r="O676" s="42">
        <f t="shared" si="67"/>
        <v>0</v>
      </c>
      <c r="P676" s="10" t="s">
        <v>2485</v>
      </c>
    </row>
    <row r="677" spans="1:16" s="22" customFormat="1" ht="14.25" customHeight="1" x14ac:dyDescent="0.25">
      <c r="A677" s="5" t="s">
        <v>1582</v>
      </c>
      <c r="B677" s="22" t="s">
        <v>716</v>
      </c>
      <c r="C677" s="22" t="s">
        <v>787</v>
      </c>
      <c r="D677" s="18" t="s">
        <v>1583</v>
      </c>
      <c r="E677" s="24" t="str">
        <f t="shared" si="63"/>
        <v>V0140101P011</v>
      </c>
      <c r="F677" s="13">
        <v>44424</v>
      </c>
      <c r="G677" s="13">
        <f t="shared" si="68"/>
        <v>44430</v>
      </c>
      <c r="H677" s="7">
        <f t="shared" ca="1" si="64"/>
        <v>-673</v>
      </c>
      <c r="I677" s="13">
        <v>44426</v>
      </c>
      <c r="J677" s="9">
        <f t="shared" ca="1" si="65"/>
        <v>0</v>
      </c>
      <c r="K677" s="10"/>
      <c r="L677" s="10" t="str">
        <f t="shared" si="66"/>
        <v>Accepted</v>
      </c>
      <c r="M677" s="11">
        <v>0</v>
      </c>
      <c r="N677" s="10" t="s">
        <v>18</v>
      </c>
      <c r="O677" s="42">
        <f t="shared" si="67"/>
        <v>15000</v>
      </c>
      <c r="P677" s="10" t="s">
        <v>19</v>
      </c>
    </row>
    <row r="678" spans="1:16" s="22" customFormat="1" ht="14.25" customHeight="1" x14ac:dyDescent="0.25">
      <c r="A678" s="5" t="s">
        <v>1534</v>
      </c>
      <c r="B678" s="22" t="s">
        <v>716</v>
      </c>
      <c r="C678" s="22" t="s">
        <v>1043</v>
      </c>
      <c r="D678" s="18" t="s">
        <v>1535</v>
      </c>
      <c r="E678" s="24" t="str">
        <f t="shared" si="63"/>
        <v>S0400812E001</v>
      </c>
      <c r="F678" s="13">
        <v>44417</v>
      </c>
      <c r="G678" s="13">
        <f t="shared" si="68"/>
        <v>44423</v>
      </c>
      <c r="H678" s="7">
        <f t="shared" ca="1" si="64"/>
        <v>-680</v>
      </c>
      <c r="I678" s="13">
        <v>44427</v>
      </c>
      <c r="J678" s="9">
        <f t="shared" ca="1" si="65"/>
        <v>0</v>
      </c>
      <c r="K678" s="10"/>
      <c r="L678" s="10" t="str">
        <f t="shared" si="66"/>
        <v>Accepted</v>
      </c>
      <c r="M678" s="11">
        <v>1</v>
      </c>
      <c r="N678" s="10" t="s">
        <v>30</v>
      </c>
      <c r="O678" s="42">
        <f t="shared" si="67"/>
        <v>18000</v>
      </c>
      <c r="P678" s="10" t="s">
        <v>19</v>
      </c>
    </row>
    <row r="679" spans="1:16" s="22" customFormat="1" ht="14.25" customHeight="1" x14ac:dyDescent="0.25">
      <c r="A679" s="5" t="s">
        <v>1554</v>
      </c>
      <c r="B679" s="22" t="s">
        <v>716</v>
      </c>
      <c r="C679" s="22" t="s">
        <v>787</v>
      </c>
      <c r="D679" s="18" t="s">
        <v>1555</v>
      </c>
      <c r="E679" s="24" t="str">
        <f t="shared" si="63"/>
        <v>V0140151P020</v>
      </c>
      <c r="F679" s="13">
        <v>44424</v>
      </c>
      <c r="G679" s="13">
        <f t="shared" si="68"/>
        <v>44430</v>
      </c>
      <c r="H679" s="7">
        <f t="shared" ca="1" si="64"/>
        <v>-673</v>
      </c>
      <c r="I679" s="13">
        <v>44427</v>
      </c>
      <c r="J679" s="9">
        <f t="shared" ca="1" si="65"/>
        <v>0</v>
      </c>
      <c r="K679" s="10"/>
      <c r="L679" s="10" t="str">
        <f t="shared" si="66"/>
        <v>Accepted</v>
      </c>
      <c r="M679" s="11">
        <v>0</v>
      </c>
      <c r="N679" s="10" t="s">
        <v>18</v>
      </c>
      <c r="O679" s="42">
        <f t="shared" si="67"/>
        <v>15000</v>
      </c>
      <c r="P679" s="10" t="s">
        <v>19</v>
      </c>
    </row>
    <row r="680" spans="1:16" s="22" customFormat="1" ht="14.25" customHeight="1" x14ac:dyDescent="0.25">
      <c r="A680" s="5" t="s">
        <v>1562</v>
      </c>
      <c r="B680" s="22" t="s">
        <v>716</v>
      </c>
      <c r="C680" s="22" t="s">
        <v>985</v>
      </c>
      <c r="D680" s="18" t="s">
        <v>1563</v>
      </c>
      <c r="E680" s="24" t="str">
        <f t="shared" si="63"/>
        <v>S0571811E004</v>
      </c>
      <c r="F680" s="13">
        <v>44424</v>
      </c>
      <c r="G680" s="13">
        <f t="shared" si="68"/>
        <v>44430</v>
      </c>
      <c r="H680" s="7">
        <f t="shared" ca="1" si="64"/>
        <v>-673</v>
      </c>
      <c r="I680" s="13">
        <v>44427</v>
      </c>
      <c r="J680" s="9">
        <f t="shared" ca="1" si="65"/>
        <v>679</v>
      </c>
      <c r="K680" s="10" t="s">
        <v>712</v>
      </c>
      <c r="L680" s="10" t="str">
        <f t="shared" si="66"/>
        <v>Rejected</v>
      </c>
      <c r="M680" s="11">
        <v>1</v>
      </c>
      <c r="N680" s="10" t="s">
        <v>18</v>
      </c>
      <c r="O680" s="42">
        <f t="shared" si="67"/>
        <v>0</v>
      </c>
      <c r="P680" s="10" t="s">
        <v>2485</v>
      </c>
    </row>
    <row r="681" spans="1:16" s="22" customFormat="1" ht="14.25" customHeight="1" x14ac:dyDescent="0.25">
      <c r="A681" s="5" t="s">
        <v>1572</v>
      </c>
      <c r="B681" s="22" t="s">
        <v>716</v>
      </c>
      <c r="C681" s="22" t="s">
        <v>2470</v>
      </c>
      <c r="D681" s="18" t="s">
        <v>1573</v>
      </c>
      <c r="E681" s="24" t="str">
        <f t="shared" si="63"/>
        <v>V0170811P022</v>
      </c>
      <c r="F681" s="13">
        <v>44424</v>
      </c>
      <c r="G681" s="13">
        <f t="shared" si="68"/>
        <v>44430</v>
      </c>
      <c r="H681" s="7">
        <f t="shared" ca="1" si="64"/>
        <v>-673</v>
      </c>
      <c r="I681" s="13">
        <v>44427</v>
      </c>
      <c r="J681" s="9">
        <f t="shared" ca="1" si="65"/>
        <v>0</v>
      </c>
      <c r="K681" s="10"/>
      <c r="L681" s="10" t="str">
        <f t="shared" si="66"/>
        <v>Accepted</v>
      </c>
      <c r="M681" s="11">
        <v>0</v>
      </c>
      <c r="N681" s="10" t="s">
        <v>30</v>
      </c>
      <c r="O681" s="42">
        <f t="shared" si="67"/>
        <v>18000</v>
      </c>
      <c r="P681" s="10" t="s">
        <v>19</v>
      </c>
    </row>
    <row r="682" spans="1:16" s="22" customFormat="1" ht="14.25" customHeight="1" x14ac:dyDescent="0.25">
      <c r="A682" s="5" t="s">
        <v>1574</v>
      </c>
      <c r="B682" s="22" t="s">
        <v>716</v>
      </c>
      <c r="C682" s="22" t="s">
        <v>787</v>
      </c>
      <c r="D682" s="18" t="s">
        <v>1575</v>
      </c>
      <c r="E682" s="24" t="str">
        <f t="shared" si="63"/>
        <v>V0161401P003</v>
      </c>
      <c r="F682" s="13">
        <v>44424</v>
      </c>
      <c r="G682" s="13">
        <f t="shared" si="68"/>
        <v>44430</v>
      </c>
      <c r="H682" s="7">
        <f t="shared" ca="1" si="64"/>
        <v>-673</v>
      </c>
      <c r="I682" s="13">
        <v>44427</v>
      </c>
      <c r="J682" s="9">
        <f t="shared" ca="1" si="65"/>
        <v>0</v>
      </c>
      <c r="K682" s="10"/>
      <c r="L682" s="10" t="str">
        <f t="shared" si="66"/>
        <v>Accepted</v>
      </c>
      <c r="M682" s="11">
        <v>0</v>
      </c>
      <c r="N682" s="10" t="s">
        <v>30</v>
      </c>
      <c r="O682" s="42">
        <f t="shared" si="67"/>
        <v>18000</v>
      </c>
      <c r="P682" s="10" t="s">
        <v>19</v>
      </c>
    </row>
    <row r="683" spans="1:16" s="22" customFormat="1" ht="14.25" customHeight="1" x14ac:dyDescent="0.25">
      <c r="A683" s="5" t="s">
        <v>1576</v>
      </c>
      <c r="B683" s="22" t="s">
        <v>716</v>
      </c>
      <c r="C683" s="22" t="s">
        <v>787</v>
      </c>
      <c r="D683" s="18" t="s">
        <v>1577</v>
      </c>
      <c r="E683" s="24" t="str">
        <f t="shared" si="63"/>
        <v>V0170791P007</v>
      </c>
      <c r="F683" s="13">
        <v>44424</v>
      </c>
      <c r="G683" s="13">
        <f t="shared" si="68"/>
        <v>44430</v>
      </c>
      <c r="H683" s="7">
        <f t="shared" ca="1" si="64"/>
        <v>-673</v>
      </c>
      <c r="I683" s="13">
        <v>44427</v>
      </c>
      <c r="J683" s="9">
        <f t="shared" ca="1" si="65"/>
        <v>0</v>
      </c>
      <c r="K683" s="10"/>
      <c r="L683" s="10" t="str">
        <f t="shared" si="66"/>
        <v>Accepted</v>
      </c>
      <c r="M683" s="11">
        <v>0</v>
      </c>
      <c r="N683" s="10" t="s">
        <v>30</v>
      </c>
      <c r="O683" s="42">
        <f t="shared" si="67"/>
        <v>18000</v>
      </c>
      <c r="P683" s="10" t="s">
        <v>19</v>
      </c>
    </row>
    <row r="684" spans="1:16" s="22" customFormat="1" ht="14.25" customHeight="1" x14ac:dyDescent="0.25">
      <c r="A684" s="5" t="s">
        <v>1578</v>
      </c>
      <c r="B684" s="22" t="s">
        <v>716</v>
      </c>
      <c r="C684" s="22" t="s">
        <v>787</v>
      </c>
      <c r="D684" s="18" t="s">
        <v>1579</v>
      </c>
      <c r="E684" s="24" t="str">
        <f t="shared" si="63"/>
        <v>V0172681P007</v>
      </c>
      <c r="F684" s="13">
        <v>44424</v>
      </c>
      <c r="G684" s="13">
        <f t="shared" si="68"/>
        <v>44430</v>
      </c>
      <c r="H684" s="7">
        <f t="shared" ca="1" si="64"/>
        <v>-673</v>
      </c>
      <c r="I684" s="13">
        <v>44427</v>
      </c>
      <c r="J684" s="9">
        <f t="shared" ca="1" si="65"/>
        <v>0</v>
      </c>
      <c r="K684" s="10"/>
      <c r="L684" s="10" t="str">
        <f t="shared" si="66"/>
        <v>Accepted</v>
      </c>
      <c r="M684" s="11">
        <v>0</v>
      </c>
      <c r="N684" s="10" t="s">
        <v>18</v>
      </c>
      <c r="O684" s="42">
        <f t="shared" si="67"/>
        <v>15000</v>
      </c>
      <c r="P684" s="10" t="s">
        <v>19</v>
      </c>
    </row>
    <row r="685" spans="1:16" s="22" customFormat="1" ht="14.25" customHeight="1" x14ac:dyDescent="0.25">
      <c r="A685" s="5" t="s">
        <v>1580</v>
      </c>
      <c r="B685" s="22" t="s">
        <v>716</v>
      </c>
      <c r="C685" s="22" t="s">
        <v>1450</v>
      </c>
      <c r="D685" s="18" t="s">
        <v>1581</v>
      </c>
      <c r="E685" s="24" t="str">
        <f t="shared" si="63"/>
        <v>V0161191E001</v>
      </c>
      <c r="F685" s="13">
        <v>44424</v>
      </c>
      <c r="G685" s="13">
        <f t="shared" si="68"/>
        <v>44430</v>
      </c>
      <c r="H685" s="7">
        <f t="shared" ca="1" si="64"/>
        <v>-673</v>
      </c>
      <c r="I685" s="13">
        <v>44427</v>
      </c>
      <c r="J685" s="9">
        <f t="shared" ca="1" si="65"/>
        <v>0</v>
      </c>
      <c r="K685" s="10"/>
      <c r="L685" s="10" t="str">
        <f t="shared" si="66"/>
        <v>Accepted</v>
      </c>
      <c r="M685" s="11">
        <v>1</v>
      </c>
      <c r="N685" s="10" t="s">
        <v>18</v>
      </c>
      <c r="O685" s="42">
        <f t="shared" si="67"/>
        <v>15000</v>
      </c>
      <c r="P685" s="10" t="s">
        <v>19</v>
      </c>
    </row>
    <row r="686" spans="1:16" s="22" customFormat="1" ht="14.25" customHeight="1" x14ac:dyDescent="0.25">
      <c r="A686" s="5" t="s">
        <v>1587</v>
      </c>
      <c r="B686" s="22" t="s">
        <v>716</v>
      </c>
      <c r="C686" s="22" t="s">
        <v>932</v>
      </c>
      <c r="D686" s="18" t="s">
        <v>1588</v>
      </c>
      <c r="E686" s="24" t="str">
        <f t="shared" si="63"/>
        <v>S0090331E006</v>
      </c>
      <c r="F686" s="13">
        <v>44424</v>
      </c>
      <c r="G686" s="13">
        <f t="shared" si="68"/>
        <v>44430</v>
      </c>
      <c r="H686" s="7">
        <f t="shared" ca="1" si="64"/>
        <v>-673</v>
      </c>
      <c r="I686" s="13">
        <v>44427</v>
      </c>
      <c r="J686" s="9">
        <f t="shared" ca="1" si="65"/>
        <v>0</v>
      </c>
      <c r="K686" s="10"/>
      <c r="L686" s="10" t="str">
        <f t="shared" si="66"/>
        <v>Accepted</v>
      </c>
      <c r="M686" s="11">
        <v>0</v>
      </c>
      <c r="N686" s="10" t="s">
        <v>18</v>
      </c>
      <c r="O686" s="42">
        <f t="shared" si="67"/>
        <v>15000</v>
      </c>
      <c r="P686" s="10" t="s">
        <v>19</v>
      </c>
    </row>
    <row r="687" spans="1:16" s="22" customFormat="1" ht="14.25" customHeight="1" x14ac:dyDescent="0.25">
      <c r="A687" s="5" t="s">
        <v>1603</v>
      </c>
      <c r="B687" s="22" t="s">
        <v>716</v>
      </c>
      <c r="C687" s="22" t="s">
        <v>932</v>
      </c>
      <c r="D687" s="18" t="s">
        <v>1604</v>
      </c>
      <c r="E687" s="24" t="str">
        <f t="shared" si="63"/>
        <v>S0090352E004</v>
      </c>
      <c r="F687" s="13">
        <v>44424</v>
      </c>
      <c r="G687" s="13">
        <f t="shared" si="68"/>
        <v>44430</v>
      </c>
      <c r="H687" s="7">
        <f t="shared" ca="1" si="64"/>
        <v>-673</v>
      </c>
      <c r="I687" s="13">
        <v>44427</v>
      </c>
      <c r="J687" s="9">
        <f t="shared" ca="1" si="65"/>
        <v>0</v>
      </c>
      <c r="K687" s="10"/>
      <c r="L687" s="10" t="str">
        <f t="shared" si="66"/>
        <v>Accepted</v>
      </c>
      <c r="M687" s="11">
        <v>0</v>
      </c>
      <c r="N687" s="10" t="s">
        <v>18</v>
      </c>
      <c r="O687" s="42">
        <f t="shared" si="67"/>
        <v>15000</v>
      </c>
      <c r="P687" s="10" t="s">
        <v>19</v>
      </c>
    </row>
    <row r="688" spans="1:16" s="22" customFormat="1" ht="14.25" customHeight="1" x14ac:dyDescent="0.25">
      <c r="A688" s="5" t="s">
        <v>1609</v>
      </c>
      <c r="B688" s="22" t="s">
        <v>716</v>
      </c>
      <c r="C688" s="22" t="s">
        <v>932</v>
      </c>
      <c r="D688" s="18" t="s">
        <v>1610</v>
      </c>
      <c r="E688" s="24" t="str">
        <f t="shared" si="63"/>
        <v>S0090352E009</v>
      </c>
      <c r="F688" s="13">
        <v>44424</v>
      </c>
      <c r="G688" s="13">
        <f t="shared" si="68"/>
        <v>44430</v>
      </c>
      <c r="H688" s="7">
        <f t="shared" ca="1" si="64"/>
        <v>-673</v>
      </c>
      <c r="I688" s="13">
        <v>44427</v>
      </c>
      <c r="J688" s="9">
        <f t="shared" ca="1" si="65"/>
        <v>0</v>
      </c>
      <c r="K688" s="10"/>
      <c r="L688" s="10" t="str">
        <f t="shared" si="66"/>
        <v>Accepted</v>
      </c>
      <c r="M688" s="11">
        <v>0</v>
      </c>
      <c r="N688" s="10" t="s">
        <v>18</v>
      </c>
      <c r="O688" s="42">
        <f t="shared" si="67"/>
        <v>15000</v>
      </c>
      <c r="P688" s="10" t="s">
        <v>19</v>
      </c>
    </row>
    <row r="689" spans="1:16" s="22" customFormat="1" ht="14.25" customHeight="1" x14ac:dyDescent="0.25">
      <c r="A689" s="5" t="s">
        <v>1631</v>
      </c>
      <c r="B689" s="22" t="s">
        <v>716</v>
      </c>
      <c r="C689" s="22" t="s">
        <v>932</v>
      </c>
      <c r="D689" s="18" t="s">
        <v>1632</v>
      </c>
      <c r="E689" s="24" t="str">
        <f t="shared" si="63"/>
        <v>S0090352E005</v>
      </c>
      <c r="F689" s="13">
        <v>44424</v>
      </c>
      <c r="G689" s="13">
        <f t="shared" si="68"/>
        <v>44430</v>
      </c>
      <c r="H689" s="7">
        <f t="shared" ca="1" si="64"/>
        <v>-673</v>
      </c>
      <c r="I689" s="13">
        <v>44427</v>
      </c>
      <c r="J689" s="9">
        <f t="shared" ca="1" si="65"/>
        <v>0</v>
      </c>
      <c r="K689" s="10"/>
      <c r="L689" s="10" t="str">
        <f t="shared" si="66"/>
        <v>Accepted</v>
      </c>
      <c r="M689" s="11">
        <v>0</v>
      </c>
      <c r="N689" s="10" t="s">
        <v>18</v>
      </c>
      <c r="O689" s="42">
        <f t="shared" si="67"/>
        <v>15000</v>
      </c>
      <c r="P689" s="10" t="s">
        <v>19</v>
      </c>
    </row>
    <row r="690" spans="1:16" s="22" customFormat="1" ht="14.25" customHeight="1" x14ac:dyDescent="0.25">
      <c r="A690" s="5" t="s">
        <v>1633</v>
      </c>
      <c r="B690" s="22" t="s">
        <v>716</v>
      </c>
      <c r="C690" s="22" t="s">
        <v>932</v>
      </c>
      <c r="D690" s="18" t="s">
        <v>1634</v>
      </c>
      <c r="E690" s="24" t="str">
        <f t="shared" si="63"/>
        <v>S0160093b002</v>
      </c>
      <c r="F690" s="13">
        <v>44424</v>
      </c>
      <c r="G690" s="13">
        <f t="shared" si="68"/>
        <v>44430</v>
      </c>
      <c r="H690" s="7">
        <f t="shared" ca="1" si="64"/>
        <v>-673</v>
      </c>
      <c r="I690" s="13">
        <v>44427</v>
      </c>
      <c r="J690" s="9">
        <f t="shared" ca="1" si="65"/>
        <v>0</v>
      </c>
      <c r="K690" s="10"/>
      <c r="L690" s="10" t="str">
        <f t="shared" si="66"/>
        <v>Accepted</v>
      </c>
      <c r="M690" s="11">
        <v>0</v>
      </c>
      <c r="N690" s="10" t="s">
        <v>18</v>
      </c>
      <c r="O690" s="42">
        <f t="shared" si="67"/>
        <v>15000</v>
      </c>
      <c r="P690" s="10" t="s">
        <v>19</v>
      </c>
    </row>
    <row r="691" spans="1:16" s="22" customFormat="1" ht="14.25" customHeight="1" x14ac:dyDescent="0.25">
      <c r="A691" s="5" t="s">
        <v>1653</v>
      </c>
      <c r="B691" s="22" t="s">
        <v>716</v>
      </c>
      <c r="C691" s="22" t="s">
        <v>932</v>
      </c>
      <c r="D691" s="18" t="s">
        <v>1654</v>
      </c>
      <c r="E691" s="24" t="str">
        <f t="shared" si="63"/>
        <v>S0160242E002</v>
      </c>
      <c r="F691" s="13">
        <v>44424</v>
      </c>
      <c r="G691" s="13">
        <f t="shared" si="68"/>
        <v>44430</v>
      </c>
      <c r="H691" s="7">
        <f t="shared" ca="1" si="64"/>
        <v>-673</v>
      </c>
      <c r="I691" s="13">
        <v>44427</v>
      </c>
      <c r="J691" s="9">
        <f t="shared" ca="1" si="65"/>
        <v>0</v>
      </c>
      <c r="K691" s="10"/>
      <c r="L691" s="10" t="str">
        <f t="shared" si="66"/>
        <v>Accepted</v>
      </c>
      <c r="M691" s="11">
        <v>0</v>
      </c>
      <c r="N691" s="10" t="s">
        <v>18</v>
      </c>
      <c r="O691" s="42">
        <f t="shared" si="67"/>
        <v>15000</v>
      </c>
      <c r="P691" s="10" t="s">
        <v>19</v>
      </c>
    </row>
    <row r="692" spans="1:16" s="22" customFormat="1" ht="14.25" customHeight="1" x14ac:dyDescent="0.25">
      <c r="A692" s="5" t="s">
        <v>1558</v>
      </c>
      <c r="B692" s="22" t="s">
        <v>716</v>
      </c>
      <c r="C692" s="22" t="s">
        <v>787</v>
      </c>
      <c r="D692" s="18" t="s">
        <v>1559</v>
      </c>
      <c r="E692" s="24" t="str">
        <f t="shared" si="63"/>
        <v>V0080931P005</v>
      </c>
      <c r="F692" s="13">
        <v>44424</v>
      </c>
      <c r="G692" s="13">
        <f t="shared" si="68"/>
        <v>44430</v>
      </c>
      <c r="H692" s="7">
        <f t="shared" ca="1" si="64"/>
        <v>-673</v>
      </c>
      <c r="I692" s="13">
        <v>44429</v>
      </c>
      <c r="J692" s="9">
        <f t="shared" ca="1" si="65"/>
        <v>0</v>
      </c>
      <c r="K692" s="10"/>
      <c r="L692" s="10" t="str">
        <f t="shared" si="66"/>
        <v>Accepted</v>
      </c>
      <c r="M692" s="11">
        <v>0</v>
      </c>
      <c r="N692" s="10" t="s">
        <v>18</v>
      </c>
      <c r="O692" s="42">
        <f t="shared" si="67"/>
        <v>15000</v>
      </c>
      <c r="P692" s="10" t="s">
        <v>19</v>
      </c>
    </row>
    <row r="693" spans="1:16" s="22" customFormat="1" ht="14.25" customHeight="1" x14ac:dyDescent="0.25">
      <c r="A693" s="5" t="s">
        <v>1564</v>
      </c>
      <c r="B693" s="22" t="s">
        <v>716</v>
      </c>
      <c r="C693" s="22" t="s">
        <v>787</v>
      </c>
      <c r="D693" s="18" t="s">
        <v>1565</v>
      </c>
      <c r="E693" s="24" t="str">
        <f t="shared" si="63"/>
        <v>S0291463E001</v>
      </c>
      <c r="F693" s="13">
        <v>44424</v>
      </c>
      <c r="G693" s="13">
        <f t="shared" si="68"/>
        <v>44430</v>
      </c>
      <c r="H693" s="7">
        <f t="shared" ca="1" si="64"/>
        <v>-673</v>
      </c>
      <c r="I693" s="13">
        <v>44429</v>
      </c>
      <c r="J693" s="9">
        <f t="shared" ca="1" si="65"/>
        <v>679</v>
      </c>
      <c r="K693" s="10" t="s">
        <v>712</v>
      </c>
      <c r="L693" s="10" t="str">
        <f t="shared" si="66"/>
        <v>Rejected</v>
      </c>
      <c r="M693" s="11">
        <v>1</v>
      </c>
      <c r="N693" s="10" t="s">
        <v>18</v>
      </c>
      <c r="O693" s="42">
        <f t="shared" si="67"/>
        <v>0</v>
      </c>
      <c r="P693" s="10" t="s">
        <v>2485</v>
      </c>
    </row>
    <row r="694" spans="1:16" s="22" customFormat="1" ht="14.25" customHeight="1" x14ac:dyDescent="0.25">
      <c r="A694" s="5" t="s">
        <v>1584</v>
      </c>
      <c r="B694" s="22" t="s">
        <v>716</v>
      </c>
      <c r="C694" s="22" t="s">
        <v>1585</v>
      </c>
      <c r="D694" s="18" t="s">
        <v>1586</v>
      </c>
      <c r="E694" s="24" t="str">
        <f t="shared" si="63"/>
        <v>S0210172E001</v>
      </c>
      <c r="F694" s="13">
        <v>44424</v>
      </c>
      <c r="G694" s="13">
        <f t="shared" si="68"/>
        <v>44430</v>
      </c>
      <c r="H694" s="7">
        <f t="shared" ca="1" si="64"/>
        <v>-673</v>
      </c>
      <c r="I694" s="13">
        <v>44429</v>
      </c>
      <c r="J694" s="9">
        <f t="shared" ca="1" si="65"/>
        <v>0</v>
      </c>
      <c r="K694" s="10"/>
      <c r="L694" s="10" t="str">
        <f t="shared" si="66"/>
        <v>Accepted</v>
      </c>
      <c r="M694" s="11">
        <v>0</v>
      </c>
      <c r="N694" s="10" t="s">
        <v>18</v>
      </c>
      <c r="O694" s="42">
        <f t="shared" si="67"/>
        <v>15000</v>
      </c>
      <c r="P694" s="10" t="s">
        <v>19</v>
      </c>
    </row>
    <row r="695" spans="1:16" s="22" customFormat="1" ht="14.25" customHeight="1" x14ac:dyDescent="0.25">
      <c r="A695" s="5" t="s">
        <v>1589</v>
      </c>
      <c r="B695" s="22" t="s">
        <v>716</v>
      </c>
      <c r="C695" s="22" t="s">
        <v>932</v>
      </c>
      <c r="D695" s="18" t="s">
        <v>1590</v>
      </c>
      <c r="E695" s="24" t="str">
        <f t="shared" si="63"/>
        <v>S0191261E001</v>
      </c>
      <c r="F695" s="13">
        <v>44424</v>
      </c>
      <c r="G695" s="13">
        <f t="shared" si="68"/>
        <v>44430</v>
      </c>
      <c r="H695" s="7">
        <f t="shared" ca="1" si="64"/>
        <v>-673</v>
      </c>
      <c r="I695" s="13">
        <v>44429</v>
      </c>
      <c r="J695" s="9">
        <f t="shared" ca="1" si="65"/>
        <v>0</v>
      </c>
      <c r="K695" s="10"/>
      <c r="L695" s="10" t="str">
        <f t="shared" si="66"/>
        <v>Accepted</v>
      </c>
      <c r="M695" s="11">
        <v>0</v>
      </c>
      <c r="N695" s="10" t="s">
        <v>18</v>
      </c>
      <c r="O695" s="42">
        <f t="shared" si="67"/>
        <v>15000</v>
      </c>
      <c r="P695" s="10" t="s">
        <v>19</v>
      </c>
    </row>
    <row r="696" spans="1:16" s="22" customFormat="1" ht="14.25" customHeight="1" x14ac:dyDescent="0.25">
      <c r="A696" s="5" t="s">
        <v>1593</v>
      </c>
      <c r="B696" s="22" t="s">
        <v>716</v>
      </c>
      <c r="C696" s="22" t="s">
        <v>932</v>
      </c>
      <c r="D696" s="18" t="s">
        <v>1594</v>
      </c>
      <c r="E696" s="24" t="str">
        <f t="shared" si="63"/>
        <v>S0451541E005</v>
      </c>
      <c r="F696" s="13">
        <v>44424</v>
      </c>
      <c r="G696" s="13">
        <f t="shared" si="68"/>
        <v>44430</v>
      </c>
      <c r="H696" s="7">
        <f t="shared" ca="1" si="64"/>
        <v>-673</v>
      </c>
      <c r="I696" s="13">
        <v>44429</v>
      </c>
      <c r="J696" s="9">
        <f t="shared" ca="1" si="65"/>
        <v>0</v>
      </c>
      <c r="K696" s="10"/>
      <c r="L696" s="10" t="str">
        <f t="shared" si="66"/>
        <v>Accepted</v>
      </c>
      <c r="M696" s="11">
        <v>0</v>
      </c>
      <c r="N696" s="10" t="s">
        <v>18</v>
      </c>
      <c r="O696" s="42">
        <f t="shared" si="67"/>
        <v>15000</v>
      </c>
      <c r="P696" s="10" t="s">
        <v>19</v>
      </c>
    </row>
    <row r="697" spans="1:16" s="22" customFormat="1" ht="14.25" customHeight="1" x14ac:dyDescent="0.25">
      <c r="A697" s="5" t="s">
        <v>1597</v>
      </c>
      <c r="B697" s="22" t="s">
        <v>716</v>
      </c>
      <c r="C697" s="22" t="s">
        <v>932</v>
      </c>
      <c r="D697" s="18" t="s">
        <v>1598</v>
      </c>
      <c r="E697" s="24" t="str">
        <f t="shared" si="63"/>
        <v>S0331461E001</v>
      </c>
      <c r="F697" s="13">
        <v>44424</v>
      </c>
      <c r="G697" s="13">
        <f t="shared" si="68"/>
        <v>44430</v>
      </c>
      <c r="H697" s="7">
        <f t="shared" ca="1" si="64"/>
        <v>-673</v>
      </c>
      <c r="I697" s="13">
        <v>44429</v>
      </c>
      <c r="J697" s="9">
        <f t="shared" ca="1" si="65"/>
        <v>0</v>
      </c>
      <c r="K697" s="10"/>
      <c r="L697" s="10" t="str">
        <f t="shared" si="66"/>
        <v>Accepted</v>
      </c>
      <c r="M697" s="11">
        <v>0</v>
      </c>
      <c r="N697" s="10" t="s">
        <v>18</v>
      </c>
      <c r="O697" s="42">
        <f t="shared" si="67"/>
        <v>15000</v>
      </c>
      <c r="P697" s="10" t="s">
        <v>19</v>
      </c>
    </row>
    <row r="698" spans="1:16" s="22" customFormat="1" ht="14.25" customHeight="1" x14ac:dyDescent="0.25">
      <c r="A698" s="5" t="s">
        <v>1601</v>
      </c>
      <c r="B698" s="22" t="s">
        <v>716</v>
      </c>
      <c r="C698" s="22" t="s">
        <v>932</v>
      </c>
      <c r="D698" s="18" t="s">
        <v>1602</v>
      </c>
      <c r="E698" s="24" t="str">
        <f t="shared" si="63"/>
        <v>S0251412E001</v>
      </c>
      <c r="F698" s="13">
        <v>44424</v>
      </c>
      <c r="G698" s="13">
        <f t="shared" si="68"/>
        <v>44430</v>
      </c>
      <c r="H698" s="7">
        <f t="shared" ca="1" si="64"/>
        <v>-673</v>
      </c>
      <c r="I698" s="13">
        <v>44429</v>
      </c>
      <c r="J698" s="9">
        <f t="shared" ca="1" si="65"/>
        <v>0</v>
      </c>
      <c r="K698" s="10"/>
      <c r="L698" s="10" t="str">
        <f t="shared" si="66"/>
        <v>Accepted</v>
      </c>
      <c r="M698" s="11">
        <v>0</v>
      </c>
      <c r="N698" s="10" t="s">
        <v>18</v>
      </c>
      <c r="O698" s="42">
        <f t="shared" si="67"/>
        <v>15000</v>
      </c>
      <c r="P698" s="10" t="s">
        <v>19</v>
      </c>
    </row>
    <row r="699" spans="1:16" s="22" customFormat="1" ht="14.25" customHeight="1" x14ac:dyDescent="0.25">
      <c r="A699" s="5" t="s">
        <v>1605</v>
      </c>
      <c r="B699" s="22" t="s">
        <v>716</v>
      </c>
      <c r="C699" s="22" t="s">
        <v>932</v>
      </c>
      <c r="D699" s="18" t="s">
        <v>1606</v>
      </c>
      <c r="E699" s="24" t="str">
        <f t="shared" si="63"/>
        <v>S0160243E001</v>
      </c>
      <c r="F699" s="13">
        <v>44424</v>
      </c>
      <c r="G699" s="13">
        <f t="shared" ref="G699:G713" si="69">F699+6</f>
        <v>44430</v>
      </c>
      <c r="H699" s="7">
        <f t="shared" ca="1" si="64"/>
        <v>-673</v>
      </c>
      <c r="I699" s="13">
        <v>44429</v>
      </c>
      <c r="J699" s="9">
        <f t="shared" ca="1" si="65"/>
        <v>0</v>
      </c>
      <c r="K699" s="10"/>
      <c r="L699" s="10" t="str">
        <f t="shared" si="66"/>
        <v>Accepted</v>
      </c>
      <c r="M699" s="11">
        <v>0</v>
      </c>
      <c r="N699" s="10" t="s">
        <v>18</v>
      </c>
      <c r="O699" s="42">
        <f t="shared" si="67"/>
        <v>15000</v>
      </c>
      <c r="P699" s="10" t="s">
        <v>19</v>
      </c>
    </row>
    <row r="700" spans="1:16" s="22" customFormat="1" ht="14.25" customHeight="1" x14ac:dyDescent="0.25">
      <c r="A700" s="5" t="s">
        <v>1607</v>
      </c>
      <c r="B700" s="22" t="s">
        <v>716</v>
      </c>
      <c r="C700" s="22" t="s">
        <v>932</v>
      </c>
      <c r="D700" s="18" t="s">
        <v>1608</v>
      </c>
      <c r="E700" s="24" t="str">
        <f t="shared" si="63"/>
        <v>S0341452E005</v>
      </c>
      <c r="F700" s="13">
        <v>44424</v>
      </c>
      <c r="G700" s="13">
        <f t="shared" si="69"/>
        <v>44430</v>
      </c>
      <c r="H700" s="7">
        <f t="shared" ca="1" si="64"/>
        <v>-673</v>
      </c>
      <c r="I700" s="13">
        <v>44429</v>
      </c>
      <c r="J700" s="9">
        <f t="shared" ca="1" si="65"/>
        <v>0</v>
      </c>
      <c r="K700" s="10"/>
      <c r="L700" s="10" t="str">
        <f t="shared" si="66"/>
        <v>Accepted</v>
      </c>
      <c r="M700" s="11">
        <v>0</v>
      </c>
      <c r="N700" s="10" t="s">
        <v>18</v>
      </c>
      <c r="O700" s="42">
        <f t="shared" si="67"/>
        <v>15000</v>
      </c>
      <c r="P700" s="10" t="s">
        <v>19</v>
      </c>
    </row>
    <row r="701" spans="1:16" s="22" customFormat="1" ht="14.25" customHeight="1" x14ac:dyDescent="0.25">
      <c r="A701" s="5" t="s">
        <v>1611</v>
      </c>
      <c r="B701" s="22" t="s">
        <v>716</v>
      </c>
      <c r="C701" s="22" t="s">
        <v>932</v>
      </c>
      <c r="D701" s="18" t="s">
        <v>1612</v>
      </c>
      <c r="E701" s="24" t="str">
        <f t="shared" si="63"/>
        <v>S0160142b002</v>
      </c>
      <c r="F701" s="13">
        <v>44424</v>
      </c>
      <c r="G701" s="13">
        <f t="shared" si="69"/>
        <v>44430</v>
      </c>
      <c r="H701" s="7">
        <f t="shared" ca="1" si="64"/>
        <v>-673</v>
      </c>
      <c r="I701" s="13">
        <v>44429</v>
      </c>
      <c r="J701" s="9">
        <f t="shared" ca="1" si="65"/>
        <v>0</v>
      </c>
      <c r="K701" s="10"/>
      <c r="L701" s="10" t="str">
        <f t="shared" si="66"/>
        <v>Accepted</v>
      </c>
      <c r="M701" s="11">
        <v>0</v>
      </c>
      <c r="N701" s="10" t="s">
        <v>30</v>
      </c>
      <c r="O701" s="42">
        <f t="shared" si="67"/>
        <v>18000</v>
      </c>
      <c r="P701" s="10" t="s">
        <v>19</v>
      </c>
    </row>
    <row r="702" spans="1:16" s="22" customFormat="1" ht="14.25" customHeight="1" x14ac:dyDescent="0.25">
      <c r="A702" s="5" t="s">
        <v>1613</v>
      </c>
      <c r="B702" s="22" t="s">
        <v>716</v>
      </c>
      <c r="C702" s="22" t="s">
        <v>932</v>
      </c>
      <c r="D702" s="18" t="s">
        <v>1614</v>
      </c>
      <c r="E702" s="24" t="str">
        <f t="shared" si="63"/>
        <v>S0351411E001</v>
      </c>
      <c r="F702" s="13">
        <v>44424</v>
      </c>
      <c r="G702" s="13">
        <f t="shared" si="69"/>
        <v>44430</v>
      </c>
      <c r="H702" s="7">
        <f t="shared" ca="1" si="64"/>
        <v>-673</v>
      </c>
      <c r="I702" s="13">
        <v>44429</v>
      </c>
      <c r="J702" s="9">
        <f t="shared" ca="1" si="65"/>
        <v>0</v>
      </c>
      <c r="K702" s="10"/>
      <c r="L702" s="10" t="str">
        <f t="shared" si="66"/>
        <v>Accepted</v>
      </c>
      <c r="M702" s="11">
        <v>0</v>
      </c>
      <c r="N702" s="10" t="s">
        <v>18</v>
      </c>
      <c r="O702" s="42">
        <f t="shared" si="67"/>
        <v>15000</v>
      </c>
      <c r="P702" s="10" t="s">
        <v>19</v>
      </c>
    </row>
    <row r="703" spans="1:16" s="22" customFormat="1" ht="14.25" customHeight="1" x14ac:dyDescent="0.25">
      <c r="A703" s="5" t="s">
        <v>1615</v>
      </c>
      <c r="B703" s="22" t="s">
        <v>716</v>
      </c>
      <c r="C703" s="22" t="s">
        <v>932</v>
      </c>
      <c r="D703" s="18" t="s">
        <v>1616</v>
      </c>
      <c r="E703" s="24" t="str">
        <f t="shared" si="63"/>
        <v>S0451501E002</v>
      </c>
      <c r="F703" s="13">
        <v>44424</v>
      </c>
      <c r="G703" s="13">
        <f t="shared" si="69"/>
        <v>44430</v>
      </c>
      <c r="H703" s="7">
        <f t="shared" ca="1" si="64"/>
        <v>-673</v>
      </c>
      <c r="I703" s="13">
        <v>44429</v>
      </c>
      <c r="J703" s="9">
        <f t="shared" ca="1" si="65"/>
        <v>0</v>
      </c>
      <c r="K703" s="10"/>
      <c r="L703" s="10" t="str">
        <f t="shared" si="66"/>
        <v>Accepted</v>
      </c>
      <c r="M703" s="11">
        <v>0</v>
      </c>
      <c r="N703" s="10" t="s">
        <v>18</v>
      </c>
      <c r="O703" s="42">
        <f t="shared" si="67"/>
        <v>15000</v>
      </c>
      <c r="P703" s="10" t="s">
        <v>19</v>
      </c>
    </row>
    <row r="704" spans="1:16" s="22" customFormat="1" ht="14.25" customHeight="1" x14ac:dyDescent="0.25">
      <c r="A704" s="5" t="s">
        <v>1617</v>
      </c>
      <c r="B704" s="22" t="s">
        <v>716</v>
      </c>
      <c r="C704" s="22" t="s">
        <v>932</v>
      </c>
      <c r="D704" s="18" t="s">
        <v>1618</v>
      </c>
      <c r="E704" s="24" t="str">
        <f t="shared" si="63"/>
        <v>S0331461E003</v>
      </c>
      <c r="F704" s="13">
        <v>44424</v>
      </c>
      <c r="G704" s="13">
        <f t="shared" si="69"/>
        <v>44430</v>
      </c>
      <c r="H704" s="7">
        <f t="shared" ca="1" si="64"/>
        <v>-673</v>
      </c>
      <c r="I704" s="13">
        <v>44429</v>
      </c>
      <c r="J704" s="9">
        <f t="shared" ca="1" si="65"/>
        <v>0</v>
      </c>
      <c r="K704" s="10"/>
      <c r="L704" s="10" t="str">
        <f t="shared" si="66"/>
        <v>Accepted</v>
      </c>
      <c r="M704" s="11">
        <v>0</v>
      </c>
      <c r="N704" s="10" t="s">
        <v>18</v>
      </c>
      <c r="O704" s="42">
        <f t="shared" si="67"/>
        <v>15000</v>
      </c>
      <c r="P704" s="10" t="s">
        <v>19</v>
      </c>
    </row>
    <row r="705" spans="1:16" s="22" customFormat="1" ht="14.25" customHeight="1" x14ac:dyDescent="0.25">
      <c r="A705" s="5" t="s">
        <v>1619</v>
      </c>
      <c r="B705" s="22" t="s">
        <v>716</v>
      </c>
      <c r="C705" s="22" t="s">
        <v>932</v>
      </c>
      <c r="D705" s="18" t="s">
        <v>1620</v>
      </c>
      <c r="E705" s="24" t="str">
        <f t="shared" si="63"/>
        <v>S0191231E001</v>
      </c>
      <c r="F705" s="13">
        <v>44424</v>
      </c>
      <c r="G705" s="13">
        <f t="shared" si="69"/>
        <v>44430</v>
      </c>
      <c r="H705" s="7">
        <f t="shared" ca="1" si="64"/>
        <v>-673</v>
      </c>
      <c r="I705" s="13">
        <v>44429</v>
      </c>
      <c r="J705" s="9">
        <f t="shared" ca="1" si="65"/>
        <v>0</v>
      </c>
      <c r="K705" s="10"/>
      <c r="L705" s="10" t="str">
        <f t="shared" si="66"/>
        <v>Accepted</v>
      </c>
      <c r="M705" s="11">
        <v>0</v>
      </c>
      <c r="N705" s="10" t="s">
        <v>18</v>
      </c>
      <c r="O705" s="42">
        <f t="shared" si="67"/>
        <v>15000</v>
      </c>
      <c r="P705" s="10" t="s">
        <v>19</v>
      </c>
    </row>
    <row r="706" spans="1:16" s="22" customFormat="1" ht="14.25" customHeight="1" x14ac:dyDescent="0.25">
      <c r="A706" s="5" t="s">
        <v>1625</v>
      </c>
      <c r="B706" s="22" t="s">
        <v>716</v>
      </c>
      <c r="C706" s="22" t="s">
        <v>1585</v>
      </c>
      <c r="D706" s="18" t="s">
        <v>1626</v>
      </c>
      <c r="E706" s="24" t="str">
        <f t="shared" ref="E706:E769" si="70">HYPERLINK(D706,A706)</f>
        <v>S0210082E003</v>
      </c>
      <c r="F706" s="13">
        <v>44424</v>
      </c>
      <c r="G706" s="13">
        <f t="shared" si="69"/>
        <v>44430</v>
      </c>
      <c r="H706" s="7">
        <f t="shared" ref="H706:H769" ca="1" si="71">G706-TODAY()</f>
        <v>-673</v>
      </c>
      <c r="I706" s="13">
        <v>44429</v>
      </c>
      <c r="J706" s="9">
        <f t="shared" ref="J706:J769" ca="1" si="72">IF(L706="Accepted",0,TODAY()-F706)</f>
        <v>0</v>
      </c>
      <c r="K706" s="10"/>
      <c r="L706" s="10" t="str">
        <f t="shared" ref="L706:L769" si="73">IF(AND(NOT(ISBLANK(I706)), ISBLANK(K706)),"Accepted", IF(AND(ISBLANK(I706),ISBLANK(K706)),"Not Submitted", "Rejected"))</f>
        <v>Accepted</v>
      </c>
      <c r="M706" s="11">
        <v>0</v>
      </c>
      <c r="N706" s="10" t="s">
        <v>18</v>
      </c>
      <c r="O706" s="42">
        <f t="shared" ref="O706:O769" si="74">IF(AND(L706="Accepted",B706="SMA",N706="no"),20000,
IF(AND(L706="Accepted",OR(B706="SMP",B706="SD"),N706="no"),15000,
IF(AND(L706="Accepted",B706="SMA",N706="yes"),25000,
IF(AND(L706="Accepted",OR(B706="SMP",B706="SD"),N706="yes"),18000,
0))))</f>
        <v>15000</v>
      </c>
      <c r="P706" s="10" t="s">
        <v>19</v>
      </c>
    </row>
    <row r="707" spans="1:16" s="22" customFormat="1" ht="14.25" customHeight="1" x14ac:dyDescent="0.25">
      <c r="A707" s="5" t="s">
        <v>1635</v>
      </c>
      <c r="B707" s="22" t="s">
        <v>716</v>
      </c>
      <c r="C707" s="22" t="s">
        <v>932</v>
      </c>
      <c r="D707" s="18" t="s">
        <v>1636</v>
      </c>
      <c r="E707" s="24" t="str">
        <f t="shared" si="70"/>
        <v>S0451551E001</v>
      </c>
      <c r="F707" s="13">
        <v>44424</v>
      </c>
      <c r="G707" s="13">
        <f t="shared" si="69"/>
        <v>44430</v>
      </c>
      <c r="H707" s="7">
        <f t="shared" ca="1" si="71"/>
        <v>-673</v>
      </c>
      <c r="I707" s="13">
        <v>44429</v>
      </c>
      <c r="J707" s="9">
        <f t="shared" ca="1" si="72"/>
        <v>0</v>
      </c>
      <c r="K707" s="10"/>
      <c r="L707" s="10" t="str">
        <f t="shared" si="73"/>
        <v>Accepted</v>
      </c>
      <c r="M707" s="11">
        <v>0</v>
      </c>
      <c r="N707" s="10" t="s">
        <v>18</v>
      </c>
      <c r="O707" s="42">
        <f t="shared" si="74"/>
        <v>15000</v>
      </c>
      <c r="P707" s="10" t="s">
        <v>19</v>
      </c>
    </row>
    <row r="708" spans="1:16" s="22" customFormat="1" ht="14.25" customHeight="1" x14ac:dyDescent="0.25">
      <c r="A708" s="5" t="s">
        <v>1637</v>
      </c>
      <c r="B708" s="22" t="s">
        <v>716</v>
      </c>
      <c r="C708" s="22" t="s">
        <v>932</v>
      </c>
      <c r="D708" s="18" t="s">
        <v>1638</v>
      </c>
      <c r="E708" s="24" t="str">
        <f t="shared" si="70"/>
        <v>S0341362E001</v>
      </c>
      <c r="F708" s="13">
        <v>44424</v>
      </c>
      <c r="G708" s="13">
        <f t="shared" si="69"/>
        <v>44430</v>
      </c>
      <c r="H708" s="7">
        <f t="shared" ca="1" si="71"/>
        <v>-673</v>
      </c>
      <c r="I708" s="13">
        <v>44429</v>
      </c>
      <c r="J708" s="9">
        <f t="shared" ca="1" si="72"/>
        <v>0</v>
      </c>
      <c r="K708" s="10"/>
      <c r="L708" s="10" t="str">
        <f t="shared" si="73"/>
        <v>Accepted</v>
      </c>
      <c r="M708" s="11">
        <v>0</v>
      </c>
      <c r="N708" s="10" t="s">
        <v>18</v>
      </c>
      <c r="O708" s="42">
        <f t="shared" si="74"/>
        <v>15000</v>
      </c>
      <c r="P708" s="10" t="s">
        <v>19</v>
      </c>
    </row>
    <row r="709" spans="1:16" s="22" customFormat="1" ht="14.25" customHeight="1" x14ac:dyDescent="0.25">
      <c r="A709" s="5" t="s">
        <v>1639</v>
      </c>
      <c r="B709" s="22" t="s">
        <v>716</v>
      </c>
      <c r="C709" s="22" t="s">
        <v>1585</v>
      </c>
      <c r="D709" s="18" t="s">
        <v>1640</v>
      </c>
      <c r="E709" s="24" t="str">
        <f t="shared" si="70"/>
        <v>S0210081E005</v>
      </c>
      <c r="F709" s="13">
        <v>44424</v>
      </c>
      <c r="G709" s="13">
        <f t="shared" si="69"/>
        <v>44430</v>
      </c>
      <c r="H709" s="7">
        <f t="shared" ca="1" si="71"/>
        <v>-673</v>
      </c>
      <c r="I709" s="13">
        <v>44429</v>
      </c>
      <c r="J709" s="9">
        <f t="shared" ca="1" si="72"/>
        <v>0</v>
      </c>
      <c r="K709" s="10"/>
      <c r="L709" s="10" t="str">
        <f t="shared" si="73"/>
        <v>Accepted</v>
      </c>
      <c r="M709" s="11">
        <v>0</v>
      </c>
      <c r="N709" s="10" t="s">
        <v>18</v>
      </c>
      <c r="O709" s="42">
        <f t="shared" si="74"/>
        <v>15000</v>
      </c>
      <c r="P709" s="10" t="s">
        <v>19</v>
      </c>
    </row>
    <row r="710" spans="1:16" s="22" customFormat="1" ht="14.25" customHeight="1" x14ac:dyDescent="0.25">
      <c r="A710" s="5" t="s">
        <v>1641</v>
      </c>
      <c r="B710" s="22" t="s">
        <v>716</v>
      </c>
      <c r="C710" s="22" t="s">
        <v>932</v>
      </c>
      <c r="D710" s="18" t="s">
        <v>1642</v>
      </c>
      <c r="E710" s="24" t="str">
        <f t="shared" si="70"/>
        <v>S0191222E001</v>
      </c>
      <c r="F710" s="13">
        <v>44424</v>
      </c>
      <c r="G710" s="13">
        <f t="shared" si="69"/>
        <v>44430</v>
      </c>
      <c r="H710" s="7">
        <f t="shared" ca="1" si="71"/>
        <v>-673</v>
      </c>
      <c r="I710" s="13">
        <v>44429</v>
      </c>
      <c r="J710" s="9">
        <f t="shared" ca="1" si="72"/>
        <v>0</v>
      </c>
      <c r="K710" s="10"/>
      <c r="L710" s="10" t="str">
        <f t="shared" si="73"/>
        <v>Accepted</v>
      </c>
      <c r="M710" s="11">
        <v>0</v>
      </c>
      <c r="N710" s="10" t="s">
        <v>18</v>
      </c>
      <c r="O710" s="42">
        <f t="shared" si="74"/>
        <v>15000</v>
      </c>
      <c r="P710" s="10" t="s">
        <v>19</v>
      </c>
    </row>
    <row r="711" spans="1:16" s="22" customFormat="1" ht="14.25" customHeight="1" x14ac:dyDescent="0.25">
      <c r="A711" s="5" t="s">
        <v>1643</v>
      </c>
      <c r="B711" s="22" t="s">
        <v>716</v>
      </c>
      <c r="C711" s="22" t="s">
        <v>932</v>
      </c>
      <c r="D711" s="18" t="s">
        <v>1644</v>
      </c>
      <c r="E711" s="24" t="str">
        <f t="shared" si="70"/>
        <v>S0341313E001</v>
      </c>
      <c r="F711" s="13">
        <v>44424</v>
      </c>
      <c r="G711" s="13">
        <f t="shared" si="69"/>
        <v>44430</v>
      </c>
      <c r="H711" s="7">
        <f t="shared" ca="1" si="71"/>
        <v>-673</v>
      </c>
      <c r="I711" s="13">
        <v>44429</v>
      </c>
      <c r="J711" s="9">
        <f t="shared" ca="1" si="72"/>
        <v>0</v>
      </c>
      <c r="K711" s="10"/>
      <c r="L711" s="10" t="str">
        <f t="shared" si="73"/>
        <v>Accepted</v>
      </c>
      <c r="M711" s="11">
        <v>0</v>
      </c>
      <c r="N711" s="10" t="s">
        <v>18</v>
      </c>
      <c r="O711" s="42">
        <f t="shared" si="74"/>
        <v>15000</v>
      </c>
      <c r="P711" s="10" t="s">
        <v>19</v>
      </c>
    </row>
    <row r="712" spans="1:16" s="22" customFormat="1" ht="14.25" customHeight="1" x14ac:dyDescent="0.25">
      <c r="A712" s="5" t="s">
        <v>1645</v>
      </c>
      <c r="B712" s="22" t="s">
        <v>716</v>
      </c>
      <c r="C712" s="22" t="s">
        <v>932</v>
      </c>
      <c r="D712" s="18" t="s">
        <v>1646</v>
      </c>
      <c r="E712" s="24" t="str">
        <f t="shared" si="70"/>
        <v>S0351342E003</v>
      </c>
      <c r="F712" s="13">
        <v>44424</v>
      </c>
      <c r="G712" s="13">
        <f t="shared" si="69"/>
        <v>44430</v>
      </c>
      <c r="H712" s="7">
        <f t="shared" ca="1" si="71"/>
        <v>-673</v>
      </c>
      <c r="I712" s="13">
        <v>44429</v>
      </c>
      <c r="J712" s="9">
        <f t="shared" ca="1" si="72"/>
        <v>0</v>
      </c>
      <c r="K712" s="10"/>
      <c r="L712" s="10" t="str">
        <f t="shared" si="73"/>
        <v>Accepted</v>
      </c>
      <c r="M712" s="11">
        <v>0</v>
      </c>
      <c r="N712" s="10" t="s">
        <v>18</v>
      </c>
      <c r="O712" s="42">
        <f t="shared" si="74"/>
        <v>15000</v>
      </c>
      <c r="P712" s="10" t="s">
        <v>19</v>
      </c>
    </row>
    <row r="713" spans="1:16" s="22" customFormat="1" ht="14.25" customHeight="1" x14ac:dyDescent="0.25">
      <c r="A713" s="5" t="s">
        <v>1649</v>
      </c>
      <c r="B713" s="22" t="s">
        <v>716</v>
      </c>
      <c r="C713" s="22" t="s">
        <v>932</v>
      </c>
      <c r="D713" s="18" t="s">
        <v>1650</v>
      </c>
      <c r="E713" s="24" t="str">
        <f t="shared" si="70"/>
        <v>S0251361a002</v>
      </c>
      <c r="F713" s="13">
        <v>44424</v>
      </c>
      <c r="G713" s="13">
        <f t="shared" si="69"/>
        <v>44430</v>
      </c>
      <c r="H713" s="7">
        <f t="shared" ca="1" si="71"/>
        <v>-673</v>
      </c>
      <c r="I713" s="13">
        <v>44429</v>
      </c>
      <c r="J713" s="9">
        <f t="shared" ca="1" si="72"/>
        <v>0</v>
      </c>
      <c r="K713" s="10"/>
      <c r="L713" s="10" t="str">
        <f t="shared" si="73"/>
        <v>Accepted</v>
      </c>
      <c r="M713" s="11">
        <v>0</v>
      </c>
      <c r="N713" s="10" t="s">
        <v>18</v>
      </c>
      <c r="O713" s="42">
        <f t="shared" si="74"/>
        <v>15000</v>
      </c>
      <c r="P713" s="10" t="s">
        <v>19</v>
      </c>
    </row>
    <row r="714" spans="1:16" s="22" customFormat="1" ht="14.25" customHeight="1" x14ac:dyDescent="0.25">
      <c r="A714" s="5" t="s">
        <v>1599</v>
      </c>
      <c r="B714" s="22" t="s">
        <v>716</v>
      </c>
      <c r="C714" s="22" t="s">
        <v>932</v>
      </c>
      <c r="D714" s="18" t="s">
        <v>1600</v>
      </c>
      <c r="E714" s="24" t="str">
        <f t="shared" si="70"/>
        <v>S0341281E001</v>
      </c>
      <c r="F714" s="13">
        <v>44424</v>
      </c>
      <c r="G714" s="13">
        <v>44441</v>
      </c>
      <c r="H714" s="7">
        <f t="shared" ca="1" si="71"/>
        <v>-662</v>
      </c>
      <c r="I714" s="13">
        <v>44429</v>
      </c>
      <c r="J714" s="9">
        <f t="shared" ca="1" si="72"/>
        <v>679</v>
      </c>
      <c r="K714" s="10" t="s">
        <v>771</v>
      </c>
      <c r="L714" s="10" t="str">
        <f t="shared" si="73"/>
        <v>Rejected</v>
      </c>
      <c r="M714" s="11">
        <v>1</v>
      </c>
      <c r="N714" s="10" t="s">
        <v>18</v>
      </c>
      <c r="O714" s="42">
        <f t="shared" si="74"/>
        <v>0</v>
      </c>
      <c r="P714" s="10" t="s">
        <v>2485</v>
      </c>
    </row>
    <row r="715" spans="1:16" s="22" customFormat="1" ht="14.25" customHeight="1" x14ac:dyDescent="0.25">
      <c r="A715" s="5" t="s">
        <v>1591</v>
      </c>
      <c r="B715" s="22" t="s">
        <v>716</v>
      </c>
      <c r="C715" s="22" t="s">
        <v>932</v>
      </c>
      <c r="D715" s="18" t="s">
        <v>1592</v>
      </c>
      <c r="E715" s="24" t="str">
        <f t="shared" si="70"/>
        <v>S0351372E001</v>
      </c>
      <c r="F715" s="13">
        <v>44424</v>
      </c>
      <c r="G715" s="13">
        <f t="shared" ref="G715:G721" si="75">F715+6</f>
        <v>44430</v>
      </c>
      <c r="H715" s="7">
        <f t="shared" ca="1" si="71"/>
        <v>-673</v>
      </c>
      <c r="I715" s="13">
        <v>44430</v>
      </c>
      <c r="J715" s="9">
        <f t="shared" ca="1" si="72"/>
        <v>0</v>
      </c>
      <c r="K715" s="10"/>
      <c r="L715" s="10" t="str">
        <f t="shared" si="73"/>
        <v>Accepted</v>
      </c>
      <c r="M715" s="11">
        <v>0</v>
      </c>
      <c r="N715" s="10" t="s">
        <v>18</v>
      </c>
      <c r="O715" s="42">
        <f t="shared" si="74"/>
        <v>15000</v>
      </c>
      <c r="P715" s="10" t="s">
        <v>19</v>
      </c>
    </row>
    <row r="716" spans="1:16" s="22" customFormat="1" ht="14.25" customHeight="1" x14ac:dyDescent="0.25">
      <c r="A716" s="5" t="s">
        <v>1595</v>
      </c>
      <c r="B716" s="22" t="s">
        <v>716</v>
      </c>
      <c r="C716" s="22" t="s">
        <v>932</v>
      </c>
      <c r="D716" s="18" t="s">
        <v>1596</v>
      </c>
      <c r="E716" s="24" t="str">
        <f t="shared" si="70"/>
        <v>S0451561E001</v>
      </c>
      <c r="F716" s="13">
        <v>44424</v>
      </c>
      <c r="G716" s="13">
        <f t="shared" si="75"/>
        <v>44430</v>
      </c>
      <c r="H716" s="7">
        <f t="shared" ca="1" si="71"/>
        <v>-673</v>
      </c>
      <c r="I716" s="13">
        <v>44430</v>
      </c>
      <c r="J716" s="9">
        <f t="shared" ca="1" si="72"/>
        <v>0</v>
      </c>
      <c r="K716" s="10"/>
      <c r="L716" s="10" t="str">
        <f t="shared" si="73"/>
        <v>Accepted</v>
      </c>
      <c r="M716" s="11">
        <v>0</v>
      </c>
      <c r="N716" s="10" t="s">
        <v>30</v>
      </c>
      <c r="O716" s="42">
        <f t="shared" si="74"/>
        <v>18000</v>
      </c>
      <c r="P716" s="10" t="s">
        <v>19</v>
      </c>
    </row>
    <row r="717" spans="1:16" s="22" customFormat="1" ht="14.25" customHeight="1" x14ac:dyDescent="0.25">
      <c r="A717" s="5" t="s">
        <v>1621</v>
      </c>
      <c r="B717" s="22" t="s">
        <v>716</v>
      </c>
      <c r="C717" s="22" t="s">
        <v>932</v>
      </c>
      <c r="D717" s="18" t="s">
        <v>1622</v>
      </c>
      <c r="E717" s="24" t="str">
        <f t="shared" si="70"/>
        <v>S0471871E002</v>
      </c>
      <c r="F717" s="13">
        <v>44424</v>
      </c>
      <c r="G717" s="13">
        <f t="shared" si="75"/>
        <v>44430</v>
      </c>
      <c r="H717" s="7">
        <f t="shared" ca="1" si="71"/>
        <v>-673</v>
      </c>
      <c r="I717" s="13">
        <v>44430</v>
      </c>
      <c r="J717" s="9">
        <f t="shared" ca="1" si="72"/>
        <v>0</v>
      </c>
      <c r="K717" s="10"/>
      <c r="L717" s="10" t="str">
        <f t="shared" si="73"/>
        <v>Accepted</v>
      </c>
      <c r="M717" s="11">
        <v>0</v>
      </c>
      <c r="N717" s="10" t="s">
        <v>18</v>
      </c>
      <c r="O717" s="42">
        <f t="shared" si="74"/>
        <v>15000</v>
      </c>
      <c r="P717" s="10" t="s">
        <v>19</v>
      </c>
    </row>
    <row r="718" spans="1:16" s="22" customFormat="1" ht="14.25" customHeight="1" x14ac:dyDescent="0.25">
      <c r="A718" s="5" t="s">
        <v>1623</v>
      </c>
      <c r="B718" s="22" t="s">
        <v>716</v>
      </c>
      <c r="C718" s="22" t="s">
        <v>932</v>
      </c>
      <c r="D718" s="18" t="s">
        <v>1624</v>
      </c>
      <c r="E718" s="24" t="str">
        <f t="shared" si="70"/>
        <v>S0341301a002</v>
      </c>
      <c r="F718" s="13">
        <v>44424</v>
      </c>
      <c r="G718" s="13">
        <f t="shared" si="75"/>
        <v>44430</v>
      </c>
      <c r="H718" s="7">
        <f t="shared" ca="1" si="71"/>
        <v>-673</v>
      </c>
      <c r="I718" s="13">
        <v>44430</v>
      </c>
      <c r="J718" s="9">
        <f t="shared" ca="1" si="72"/>
        <v>0</v>
      </c>
      <c r="K718" s="10"/>
      <c r="L718" s="10" t="str">
        <f t="shared" si="73"/>
        <v>Accepted</v>
      </c>
      <c r="M718" s="11">
        <v>0</v>
      </c>
      <c r="N718" s="10" t="s">
        <v>30</v>
      </c>
      <c r="O718" s="42">
        <f t="shared" si="74"/>
        <v>18000</v>
      </c>
      <c r="P718" s="10" t="s">
        <v>19</v>
      </c>
    </row>
    <row r="719" spans="1:16" s="22" customFormat="1" ht="14.25" customHeight="1" x14ac:dyDescent="0.25">
      <c r="A719" s="5" t="s">
        <v>1627</v>
      </c>
      <c r="B719" s="22" t="s">
        <v>716</v>
      </c>
      <c r="C719" s="22" t="s">
        <v>932</v>
      </c>
      <c r="D719" s="18" t="s">
        <v>1628</v>
      </c>
      <c r="E719" s="24" t="str">
        <f t="shared" si="70"/>
        <v>S0471811E003</v>
      </c>
      <c r="F719" s="13">
        <v>44424</v>
      </c>
      <c r="G719" s="13">
        <f t="shared" si="75"/>
        <v>44430</v>
      </c>
      <c r="H719" s="7">
        <f t="shared" ca="1" si="71"/>
        <v>-673</v>
      </c>
      <c r="I719" s="13">
        <v>44430</v>
      </c>
      <c r="J719" s="9">
        <f t="shared" ca="1" si="72"/>
        <v>0</v>
      </c>
      <c r="K719" s="10"/>
      <c r="L719" s="10" t="str">
        <f t="shared" si="73"/>
        <v>Accepted</v>
      </c>
      <c r="M719" s="11">
        <v>0</v>
      </c>
      <c r="N719" s="10" t="s">
        <v>18</v>
      </c>
      <c r="O719" s="42">
        <f t="shared" si="74"/>
        <v>15000</v>
      </c>
      <c r="P719" s="10" t="s">
        <v>19</v>
      </c>
    </row>
    <row r="720" spans="1:16" s="22" customFormat="1" ht="14.25" customHeight="1" x14ac:dyDescent="0.25">
      <c r="A720" s="5" t="s">
        <v>1647</v>
      </c>
      <c r="B720" s="22" t="s">
        <v>716</v>
      </c>
      <c r="C720" s="22" t="s">
        <v>932</v>
      </c>
      <c r="D720" s="18" t="s">
        <v>1648</v>
      </c>
      <c r="E720" s="24" t="str">
        <f t="shared" si="70"/>
        <v>S0331411E003</v>
      </c>
      <c r="F720" s="13">
        <v>44424</v>
      </c>
      <c r="G720" s="13">
        <f t="shared" si="75"/>
        <v>44430</v>
      </c>
      <c r="H720" s="7">
        <f t="shared" ca="1" si="71"/>
        <v>-673</v>
      </c>
      <c r="I720" s="13">
        <v>44430</v>
      </c>
      <c r="J720" s="9">
        <f t="shared" ca="1" si="72"/>
        <v>0</v>
      </c>
      <c r="K720" s="10"/>
      <c r="L720" s="10" t="str">
        <f t="shared" si="73"/>
        <v>Accepted</v>
      </c>
      <c r="M720" s="11">
        <v>0</v>
      </c>
      <c r="N720" s="10" t="s">
        <v>18</v>
      </c>
      <c r="O720" s="42">
        <f t="shared" si="74"/>
        <v>15000</v>
      </c>
      <c r="P720" s="10" t="s">
        <v>19</v>
      </c>
    </row>
    <row r="721" spans="1:16" s="22" customFormat="1" ht="14.25" customHeight="1" x14ac:dyDescent="0.25">
      <c r="A721" s="5" t="s">
        <v>1651</v>
      </c>
      <c r="B721" s="22" t="s">
        <v>716</v>
      </c>
      <c r="C721" s="22" t="s">
        <v>932</v>
      </c>
      <c r="D721" s="18" t="s">
        <v>1652</v>
      </c>
      <c r="E721" s="24" t="str">
        <f t="shared" si="70"/>
        <v>S0470661E003</v>
      </c>
      <c r="F721" s="13">
        <v>44424</v>
      </c>
      <c r="G721" s="13">
        <f t="shared" si="75"/>
        <v>44430</v>
      </c>
      <c r="H721" s="7">
        <f t="shared" ca="1" si="71"/>
        <v>-673</v>
      </c>
      <c r="I721" s="13">
        <v>44430</v>
      </c>
      <c r="J721" s="9">
        <f t="shared" ca="1" si="72"/>
        <v>0</v>
      </c>
      <c r="K721" s="10"/>
      <c r="L721" s="10" t="str">
        <f t="shared" si="73"/>
        <v>Accepted</v>
      </c>
      <c r="M721" s="11">
        <v>0</v>
      </c>
      <c r="N721" s="10" t="s">
        <v>30</v>
      </c>
      <c r="O721" s="42">
        <f t="shared" si="74"/>
        <v>18000</v>
      </c>
      <c r="P721" s="10" t="s">
        <v>19</v>
      </c>
    </row>
    <row r="722" spans="1:16" s="22" customFormat="1" ht="14.25" customHeight="1" x14ac:dyDescent="0.25">
      <c r="A722" s="5" t="s">
        <v>1665</v>
      </c>
      <c r="B722" s="22" t="s">
        <v>716</v>
      </c>
      <c r="C722" s="22" t="s">
        <v>1450</v>
      </c>
      <c r="D722" s="18" t="s">
        <v>1666</v>
      </c>
      <c r="E722" s="24" t="str">
        <f t="shared" si="70"/>
        <v>V0010301P014</v>
      </c>
      <c r="F722" s="13">
        <v>44431</v>
      </c>
      <c r="G722" s="13">
        <v>44441</v>
      </c>
      <c r="H722" s="7">
        <f t="shared" ca="1" si="71"/>
        <v>-662</v>
      </c>
      <c r="I722" s="13">
        <v>44432</v>
      </c>
      <c r="J722" s="9">
        <f t="shared" ca="1" si="72"/>
        <v>672</v>
      </c>
      <c r="K722" s="10" t="s">
        <v>771</v>
      </c>
      <c r="L722" s="10" t="str">
        <f t="shared" si="73"/>
        <v>Rejected</v>
      </c>
      <c r="M722" s="11">
        <v>1</v>
      </c>
      <c r="N722" s="10" t="s">
        <v>18</v>
      </c>
      <c r="O722" s="42">
        <f t="shared" si="74"/>
        <v>0</v>
      </c>
      <c r="P722" s="10" t="s">
        <v>2485</v>
      </c>
    </row>
    <row r="723" spans="1:16" s="22" customFormat="1" ht="14.25" customHeight="1" x14ac:dyDescent="0.25">
      <c r="A723" s="5" t="s">
        <v>1685</v>
      </c>
      <c r="B723" s="22" t="s">
        <v>716</v>
      </c>
      <c r="C723" s="22" t="s">
        <v>932</v>
      </c>
      <c r="D723" s="18" t="s">
        <v>1686</v>
      </c>
      <c r="E723" s="24" t="str">
        <f t="shared" si="70"/>
        <v>S0351421E003</v>
      </c>
      <c r="F723" s="13">
        <v>44431</v>
      </c>
      <c r="G723" s="13">
        <v>44434</v>
      </c>
      <c r="H723" s="7">
        <f t="shared" ca="1" si="71"/>
        <v>-669</v>
      </c>
      <c r="I723" s="13">
        <v>44433</v>
      </c>
      <c r="J723" s="9">
        <f t="shared" ca="1" si="72"/>
        <v>672</v>
      </c>
      <c r="K723" s="10" t="s">
        <v>712</v>
      </c>
      <c r="L723" s="10" t="str">
        <f t="shared" si="73"/>
        <v>Rejected</v>
      </c>
      <c r="M723" s="11">
        <v>1</v>
      </c>
      <c r="N723" s="10" t="s">
        <v>18</v>
      </c>
      <c r="O723" s="42">
        <f t="shared" si="74"/>
        <v>0</v>
      </c>
      <c r="P723" s="10" t="s">
        <v>2485</v>
      </c>
    </row>
    <row r="724" spans="1:16" s="22" customFormat="1" ht="14.25" customHeight="1" x14ac:dyDescent="0.25">
      <c r="A724" s="5" t="s">
        <v>1681</v>
      </c>
      <c r="B724" s="22" t="s">
        <v>716</v>
      </c>
      <c r="C724" s="22" t="s">
        <v>2470</v>
      </c>
      <c r="D724" s="18" t="s">
        <v>1682</v>
      </c>
      <c r="E724" s="24" t="str">
        <f t="shared" si="70"/>
        <v>V0110543E011</v>
      </c>
      <c r="F724" s="13">
        <v>44431</v>
      </c>
      <c r="G724" s="13">
        <v>44434</v>
      </c>
      <c r="H724" s="7">
        <f t="shared" ca="1" si="71"/>
        <v>-669</v>
      </c>
      <c r="I724" s="13">
        <v>44434</v>
      </c>
      <c r="J724" s="9">
        <f t="shared" ca="1" si="72"/>
        <v>0</v>
      </c>
      <c r="K724" s="10"/>
      <c r="L724" s="10" t="str">
        <f t="shared" si="73"/>
        <v>Accepted</v>
      </c>
      <c r="M724" s="11">
        <v>0</v>
      </c>
      <c r="N724" s="10" t="s">
        <v>18</v>
      </c>
      <c r="O724" s="42">
        <f t="shared" si="74"/>
        <v>15000</v>
      </c>
      <c r="P724" s="10" t="s">
        <v>19</v>
      </c>
    </row>
    <row r="725" spans="1:16" s="22" customFormat="1" ht="14.25" customHeight="1" x14ac:dyDescent="0.25">
      <c r="A725" s="5" t="s">
        <v>1683</v>
      </c>
      <c r="B725" s="22" t="s">
        <v>716</v>
      </c>
      <c r="C725" s="22" t="s">
        <v>787</v>
      </c>
      <c r="D725" s="18" t="s">
        <v>1684</v>
      </c>
      <c r="E725" s="24" t="str">
        <f t="shared" si="70"/>
        <v>S0472051b002</v>
      </c>
      <c r="F725" s="13">
        <v>44431</v>
      </c>
      <c r="G725" s="13">
        <v>44434</v>
      </c>
      <c r="H725" s="7">
        <f t="shared" ca="1" si="71"/>
        <v>-669</v>
      </c>
      <c r="I725" s="13">
        <v>44434</v>
      </c>
      <c r="J725" s="9">
        <f t="shared" ca="1" si="72"/>
        <v>0</v>
      </c>
      <c r="K725" s="10"/>
      <c r="L725" s="10" t="str">
        <f t="shared" si="73"/>
        <v>Accepted</v>
      </c>
      <c r="M725" s="11">
        <v>0</v>
      </c>
      <c r="N725" s="10" t="s">
        <v>18</v>
      </c>
      <c r="O725" s="42">
        <f t="shared" si="74"/>
        <v>15000</v>
      </c>
      <c r="P725" s="10" t="s">
        <v>19</v>
      </c>
    </row>
    <row r="726" spans="1:16" s="22" customFormat="1" ht="14.25" customHeight="1" x14ac:dyDescent="0.25">
      <c r="A726" s="5" t="s">
        <v>1691</v>
      </c>
      <c r="B726" s="22" t="s">
        <v>716</v>
      </c>
      <c r="C726" s="22" t="s">
        <v>1043</v>
      </c>
      <c r="D726" s="18" t="s">
        <v>1692</v>
      </c>
      <c r="E726" s="24" t="str">
        <f t="shared" si="70"/>
        <v>V0070903E004</v>
      </c>
      <c r="F726" s="13">
        <v>44431</v>
      </c>
      <c r="G726" s="13">
        <v>44434</v>
      </c>
      <c r="H726" s="7">
        <f t="shared" ca="1" si="71"/>
        <v>-669</v>
      </c>
      <c r="I726" s="13">
        <v>44434</v>
      </c>
      <c r="J726" s="9">
        <f t="shared" ca="1" si="72"/>
        <v>0</v>
      </c>
      <c r="K726" s="10"/>
      <c r="L726" s="10" t="str">
        <f t="shared" si="73"/>
        <v>Accepted</v>
      </c>
      <c r="M726" s="11">
        <v>0</v>
      </c>
      <c r="N726" s="10" t="s">
        <v>18</v>
      </c>
      <c r="O726" s="42">
        <f t="shared" si="74"/>
        <v>15000</v>
      </c>
      <c r="P726" s="10" t="s">
        <v>19</v>
      </c>
    </row>
    <row r="727" spans="1:16" s="22" customFormat="1" ht="14.25" customHeight="1" x14ac:dyDescent="0.25">
      <c r="A727" s="5" t="s">
        <v>1693</v>
      </c>
      <c r="B727" s="22" t="s">
        <v>716</v>
      </c>
      <c r="C727" s="22" t="s">
        <v>1694</v>
      </c>
      <c r="D727" s="18" t="s">
        <v>1695</v>
      </c>
      <c r="E727" s="24" t="str">
        <f t="shared" si="70"/>
        <v>S0010311c003</v>
      </c>
      <c r="F727" s="13">
        <v>44431</v>
      </c>
      <c r="G727" s="13">
        <v>44434</v>
      </c>
      <c r="H727" s="7">
        <f t="shared" ca="1" si="71"/>
        <v>-669</v>
      </c>
      <c r="I727" s="13">
        <v>44434</v>
      </c>
      <c r="J727" s="9">
        <f t="shared" ca="1" si="72"/>
        <v>0</v>
      </c>
      <c r="K727" s="10"/>
      <c r="L727" s="10" t="str">
        <f t="shared" si="73"/>
        <v>Accepted</v>
      </c>
      <c r="M727" s="11">
        <v>0</v>
      </c>
      <c r="N727" s="10" t="s">
        <v>18</v>
      </c>
      <c r="O727" s="42">
        <f t="shared" si="74"/>
        <v>15000</v>
      </c>
      <c r="P727" s="10" t="s">
        <v>19</v>
      </c>
    </row>
    <row r="728" spans="1:16" s="22" customFormat="1" ht="14.25" customHeight="1" x14ac:dyDescent="0.25">
      <c r="A728" s="5" t="s">
        <v>1696</v>
      </c>
      <c r="B728" s="22" t="s">
        <v>716</v>
      </c>
      <c r="C728" s="22" t="s">
        <v>1694</v>
      </c>
      <c r="D728" s="18" t="s">
        <v>1697</v>
      </c>
      <c r="E728" s="24" t="str">
        <f t="shared" si="70"/>
        <v>S0100391E001</v>
      </c>
      <c r="F728" s="13">
        <v>44431</v>
      </c>
      <c r="G728" s="13">
        <v>44434</v>
      </c>
      <c r="H728" s="7">
        <f t="shared" ca="1" si="71"/>
        <v>-669</v>
      </c>
      <c r="I728" s="13">
        <v>44434</v>
      </c>
      <c r="J728" s="9">
        <f t="shared" ca="1" si="72"/>
        <v>0</v>
      </c>
      <c r="K728" s="10"/>
      <c r="L728" s="10" t="str">
        <f t="shared" si="73"/>
        <v>Accepted</v>
      </c>
      <c r="M728" s="11">
        <v>0</v>
      </c>
      <c r="N728" s="10" t="s">
        <v>18</v>
      </c>
      <c r="O728" s="42">
        <f t="shared" si="74"/>
        <v>15000</v>
      </c>
      <c r="P728" s="10" t="s">
        <v>19</v>
      </c>
    </row>
    <row r="729" spans="1:16" s="22" customFormat="1" ht="14.25" customHeight="1" x14ac:dyDescent="0.25">
      <c r="A729" s="5" t="s">
        <v>1698</v>
      </c>
      <c r="B729" s="22" t="s">
        <v>716</v>
      </c>
      <c r="C729" s="22" t="s">
        <v>1694</v>
      </c>
      <c r="D729" s="18" t="s">
        <v>1699</v>
      </c>
      <c r="E729" s="24" t="str">
        <f t="shared" si="70"/>
        <v>S0100521E007</v>
      </c>
      <c r="F729" s="13">
        <v>44431</v>
      </c>
      <c r="G729" s="13">
        <v>44434</v>
      </c>
      <c r="H729" s="7">
        <f t="shared" ca="1" si="71"/>
        <v>-669</v>
      </c>
      <c r="I729" s="13">
        <v>44434</v>
      </c>
      <c r="J729" s="9">
        <f t="shared" ca="1" si="72"/>
        <v>0</v>
      </c>
      <c r="K729" s="10"/>
      <c r="L729" s="10" t="str">
        <f t="shared" si="73"/>
        <v>Accepted</v>
      </c>
      <c r="M729" s="11">
        <v>0</v>
      </c>
      <c r="N729" s="10" t="s">
        <v>18</v>
      </c>
      <c r="O729" s="42">
        <f t="shared" si="74"/>
        <v>15000</v>
      </c>
      <c r="P729" s="10" t="s">
        <v>19</v>
      </c>
    </row>
    <row r="730" spans="1:16" s="22" customFormat="1" ht="14.25" customHeight="1" x14ac:dyDescent="0.25">
      <c r="A730" s="5" t="s">
        <v>1702</v>
      </c>
      <c r="B730" s="22" t="s">
        <v>716</v>
      </c>
      <c r="C730" s="22" t="s">
        <v>1694</v>
      </c>
      <c r="D730" s="18" t="s">
        <v>1703</v>
      </c>
      <c r="E730" s="24" t="str">
        <f t="shared" si="70"/>
        <v>S0130492E003</v>
      </c>
      <c r="F730" s="13">
        <v>44431</v>
      </c>
      <c r="G730" s="13">
        <v>44434</v>
      </c>
      <c r="H730" s="7">
        <f t="shared" ca="1" si="71"/>
        <v>-669</v>
      </c>
      <c r="I730" s="13">
        <v>44434</v>
      </c>
      <c r="J730" s="9">
        <f t="shared" ca="1" si="72"/>
        <v>0</v>
      </c>
      <c r="K730" s="10"/>
      <c r="L730" s="10" t="str">
        <f t="shared" si="73"/>
        <v>Accepted</v>
      </c>
      <c r="M730" s="11">
        <v>0</v>
      </c>
      <c r="N730" s="10" t="s">
        <v>18</v>
      </c>
      <c r="O730" s="42">
        <f t="shared" si="74"/>
        <v>15000</v>
      </c>
      <c r="P730" s="10" t="s">
        <v>19</v>
      </c>
    </row>
    <row r="731" spans="1:16" s="22" customFormat="1" ht="14.25" customHeight="1" x14ac:dyDescent="0.25">
      <c r="A731" s="5" t="s">
        <v>1704</v>
      </c>
      <c r="B731" s="22" t="s">
        <v>716</v>
      </c>
      <c r="C731" s="22" t="s">
        <v>1694</v>
      </c>
      <c r="D731" s="18" t="s">
        <v>1705</v>
      </c>
      <c r="E731" s="24" t="str">
        <f t="shared" si="70"/>
        <v>S0340261E006</v>
      </c>
      <c r="F731" s="13">
        <v>44431</v>
      </c>
      <c r="G731" s="13">
        <v>44434</v>
      </c>
      <c r="H731" s="7">
        <f t="shared" ca="1" si="71"/>
        <v>-669</v>
      </c>
      <c r="I731" s="13">
        <v>44434</v>
      </c>
      <c r="J731" s="9">
        <f t="shared" ca="1" si="72"/>
        <v>0</v>
      </c>
      <c r="K731" s="10"/>
      <c r="L731" s="10" t="str">
        <f t="shared" si="73"/>
        <v>Accepted</v>
      </c>
      <c r="M731" s="11">
        <v>0</v>
      </c>
      <c r="N731" s="10" t="s">
        <v>18</v>
      </c>
      <c r="O731" s="42">
        <f t="shared" si="74"/>
        <v>15000</v>
      </c>
      <c r="P731" s="10" t="s">
        <v>19</v>
      </c>
    </row>
    <row r="732" spans="1:16" s="22" customFormat="1" ht="14.25" customHeight="1" x14ac:dyDescent="0.25">
      <c r="A732" s="5" t="s">
        <v>1706</v>
      </c>
      <c r="B732" s="22" t="s">
        <v>716</v>
      </c>
      <c r="C732" s="22" t="s">
        <v>1694</v>
      </c>
      <c r="D732" s="18" t="s">
        <v>1707</v>
      </c>
      <c r="E732" s="24" t="str">
        <f t="shared" si="70"/>
        <v>S0340262E002</v>
      </c>
      <c r="F732" s="13">
        <v>44431</v>
      </c>
      <c r="G732" s="13">
        <v>44434</v>
      </c>
      <c r="H732" s="7">
        <f t="shared" ca="1" si="71"/>
        <v>-669</v>
      </c>
      <c r="I732" s="13">
        <v>44434</v>
      </c>
      <c r="J732" s="9">
        <f t="shared" ca="1" si="72"/>
        <v>0</v>
      </c>
      <c r="K732" s="10"/>
      <c r="L732" s="10" t="str">
        <f t="shared" si="73"/>
        <v>Accepted</v>
      </c>
      <c r="M732" s="11">
        <v>0</v>
      </c>
      <c r="N732" s="10" t="s">
        <v>18</v>
      </c>
      <c r="O732" s="42">
        <f t="shared" si="74"/>
        <v>15000</v>
      </c>
      <c r="P732" s="10" t="s">
        <v>19</v>
      </c>
    </row>
    <row r="733" spans="1:16" s="22" customFormat="1" ht="14.25" customHeight="1" x14ac:dyDescent="0.25">
      <c r="A733" s="5" t="s">
        <v>1708</v>
      </c>
      <c r="B733" s="22" t="s">
        <v>716</v>
      </c>
      <c r="C733" s="22" t="s">
        <v>1694</v>
      </c>
      <c r="D733" s="18" t="s">
        <v>1709</v>
      </c>
      <c r="E733" s="24" t="str">
        <f t="shared" si="70"/>
        <v>S0350221E001</v>
      </c>
      <c r="F733" s="13">
        <v>44431</v>
      </c>
      <c r="G733" s="13">
        <v>44434</v>
      </c>
      <c r="H733" s="7">
        <f t="shared" ca="1" si="71"/>
        <v>-669</v>
      </c>
      <c r="I733" s="13">
        <v>44434</v>
      </c>
      <c r="J733" s="9">
        <f t="shared" ca="1" si="72"/>
        <v>0</v>
      </c>
      <c r="K733" s="10"/>
      <c r="L733" s="10" t="str">
        <f t="shared" si="73"/>
        <v>Accepted</v>
      </c>
      <c r="M733" s="11">
        <v>0</v>
      </c>
      <c r="N733" s="10" t="s">
        <v>18</v>
      </c>
      <c r="O733" s="42">
        <f t="shared" si="74"/>
        <v>15000</v>
      </c>
      <c r="P733" s="10" t="s">
        <v>19</v>
      </c>
    </row>
    <row r="734" spans="1:16" s="22" customFormat="1" ht="14.25" customHeight="1" x14ac:dyDescent="0.25">
      <c r="A734" s="5" t="s">
        <v>1710</v>
      </c>
      <c r="B734" s="22" t="s">
        <v>716</v>
      </c>
      <c r="C734" s="22" t="s">
        <v>1694</v>
      </c>
      <c r="D734" s="18" t="s">
        <v>1711</v>
      </c>
      <c r="E734" s="24" t="str">
        <f t="shared" si="70"/>
        <v>S0350242E001</v>
      </c>
      <c r="F734" s="13">
        <v>44431</v>
      </c>
      <c r="G734" s="13">
        <v>44434</v>
      </c>
      <c r="H734" s="7">
        <f t="shared" ca="1" si="71"/>
        <v>-669</v>
      </c>
      <c r="I734" s="13">
        <v>44434</v>
      </c>
      <c r="J734" s="9">
        <f t="shared" ca="1" si="72"/>
        <v>0</v>
      </c>
      <c r="K734" s="10"/>
      <c r="L734" s="10" t="str">
        <f t="shared" si="73"/>
        <v>Accepted</v>
      </c>
      <c r="M734" s="11">
        <v>0</v>
      </c>
      <c r="N734" s="10" t="s">
        <v>18</v>
      </c>
      <c r="O734" s="42">
        <f t="shared" si="74"/>
        <v>15000</v>
      </c>
      <c r="P734" s="10" t="s">
        <v>19</v>
      </c>
    </row>
    <row r="735" spans="1:16" s="22" customFormat="1" ht="14.25" customHeight="1" x14ac:dyDescent="0.25">
      <c r="A735" s="5" t="s">
        <v>1714</v>
      </c>
      <c r="B735" s="22" t="s">
        <v>716</v>
      </c>
      <c r="C735" s="22" t="s">
        <v>1694</v>
      </c>
      <c r="D735" s="18" t="s">
        <v>1715</v>
      </c>
      <c r="E735" s="24" t="str">
        <f t="shared" si="70"/>
        <v>S0470451E019</v>
      </c>
      <c r="F735" s="13">
        <v>44431</v>
      </c>
      <c r="G735" s="13">
        <v>44434</v>
      </c>
      <c r="H735" s="7">
        <f t="shared" ca="1" si="71"/>
        <v>-669</v>
      </c>
      <c r="I735" s="13">
        <v>44434</v>
      </c>
      <c r="J735" s="9">
        <f t="shared" ca="1" si="72"/>
        <v>0</v>
      </c>
      <c r="K735" s="10"/>
      <c r="L735" s="10" t="str">
        <f t="shared" si="73"/>
        <v>Accepted</v>
      </c>
      <c r="M735" s="11">
        <v>0</v>
      </c>
      <c r="N735" s="10" t="s">
        <v>18</v>
      </c>
      <c r="O735" s="42">
        <f t="shared" si="74"/>
        <v>15000</v>
      </c>
      <c r="P735" s="10" t="s">
        <v>19</v>
      </c>
    </row>
    <row r="736" spans="1:16" s="22" customFormat="1" ht="14.25" customHeight="1" x14ac:dyDescent="0.25">
      <c r="A736" s="5" t="s">
        <v>1716</v>
      </c>
      <c r="B736" s="22" t="s">
        <v>716</v>
      </c>
      <c r="C736" s="22" t="s">
        <v>1694</v>
      </c>
      <c r="D736" s="18" t="s">
        <v>1717</v>
      </c>
      <c r="E736" s="24" t="str">
        <f t="shared" si="70"/>
        <v>S0160742E005</v>
      </c>
      <c r="F736" s="13">
        <v>44431</v>
      </c>
      <c r="G736" s="13">
        <v>44434</v>
      </c>
      <c r="H736" s="7">
        <f t="shared" ca="1" si="71"/>
        <v>-669</v>
      </c>
      <c r="I736" s="13">
        <v>44434</v>
      </c>
      <c r="J736" s="9">
        <f t="shared" ca="1" si="72"/>
        <v>0</v>
      </c>
      <c r="K736" s="10"/>
      <c r="L736" s="10" t="str">
        <f t="shared" si="73"/>
        <v>Accepted</v>
      </c>
      <c r="M736" s="11">
        <v>0</v>
      </c>
      <c r="N736" s="10" t="s">
        <v>18</v>
      </c>
      <c r="O736" s="42">
        <f t="shared" si="74"/>
        <v>15000</v>
      </c>
      <c r="P736" s="10" t="s">
        <v>19</v>
      </c>
    </row>
    <row r="737" spans="1:16" s="22" customFormat="1" ht="14.25" customHeight="1" x14ac:dyDescent="0.25">
      <c r="A737" s="5" t="s">
        <v>1718</v>
      </c>
      <c r="B737" s="22" t="s">
        <v>716</v>
      </c>
      <c r="C737" s="22" t="s">
        <v>1694</v>
      </c>
      <c r="D737" s="18" t="s">
        <v>1719</v>
      </c>
      <c r="E737" s="24" t="str">
        <f t="shared" si="70"/>
        <v>S0160262e001</v>
      </c>
      <c r="F737" s="13">
        <v>44431</v>
      </c>
      <c r="G737" s="13">
        <v>44434</v>
      </c>
      <c r="H737" s="7">
        <f t="shared" ca="1" si="71"/>
        <v>-669</v>
      </c>
      <c r="I737" s="13">
        <v>44434</v>
      </c>
      <c r="J737" s="9">
        <f t="shared" ca="1" si="72"/>
        <v>0</v>
      </c>
      <c r="K737" s="10"/>
      <c r="L737" s="10" t="str">
        <f t="shared" si="73"/>
        <v>Accepted</v>
      </c>
      <c r="M737" s="11">
        <v>0</v>
      </c>
      <c r="N737" s="10" t="s">
        <v>18</v>
      </c>
      <c r="O737" s="42">
        <f t="shared" si="74"/>
        <v>15000</v>
      </c>
      <c r="P737" s="10" t="s">
        <v>19</v>
      </c>
    </row>
    <row r="738" spans="1:16" s="22" customFormat="1" ht="14.25" customHeight="1" x14ac:dyDescent="0.25">
      <c r="A738" s="5" t="s">
        <v>1720</v>
      </c>
      <c r="B738" s="22" t="s">
        <v>716</v>
      </c>
      <c r="C738" s="22" t="s">
        <v>1694</v>
      </c>
      <c r="D738" s="18" t="s">
        <v>1721</v>
      </c>
      <c r="E738" s="24" t="str">
        <f t="shared" si="70"/>
        <v>S0450451E005</v>
      </c>
      <c r="F738" s="13">
        <v>44431</v>
      </c>
      <c r="G738" s="13">
        <v>44434</v>
      </c>
      <c r="H738" s="7">
        <f t="shared" ca="1" si="71"/>
        <v>-669</v>
      </c>
      <c r="I738" s="13">
        <v>44434</v>
      </c>
      <c r="J738" s="9">
        <f t="shared" ca="1" si="72"/>
        <v>0</v>
      </c>
      <c r="K738" s="10"/>
      <c r="L738" s="10" t="str">
        <f t="shared" si="73"/>
        <v>Accepted</v>
      </c>
      <c r="M738" s="11">
        <v>0</v>
      </c>
      <c r="N738" s="10" t="s">
        <v>18</v>
      </c>
      <c r="O738" s="42">
        <f t="shared" si="74"/>
        <v>15000</v>
      </c>
      <c r="P738" s="10" t="s">
        <v>19</v>
      </c>
    </row>
    <row r="739" spans="1:16" s="22" customFormat="1" ht="14.25" customHeight="1" x14ac:dyDescent="0.25">
      <c r="A739" s="5" t="s">
        <v>1661</v>
      </c>
      <c r="B739" s="22" t="s">
        <v>716</v>
      </c>
      <c r="C739" s="22" t="s">
        <v>932</v>
      </c>
      <c r="D739" s="18" t="s">
        <v>1662</v>
      </c>
      <c r="E739" s="24" t="str">
        <f t="shared" si="70"/>
        <v>S0351371E004</v>
      </c>
      <c r="F739" s="13">
        <v>44431</v>
      </c>
      <c r="G739" s="13">
        <v>44441</v>
      </c>
      <c r="H739" s="7">
        <f t="shared" ca="1" si="71"/>
        <v>-662</v>
      </c>
      <c r="I739" s="13">
        <v>44434</v>
      </c>
      <c r="J739" s="9">
        <f t="shared" ca="1" si="72"/>
        <v>672</v>
      </c>
      <c r="K739" s="10" t="s">
        <v>771</v>
      </c>
      <c r="L739" s="10" t="str">
        <f t="shared" si="73"/>
        <v>Rejected</v>
      </c>
      <c r="M739" s="11">
        <v>1</v>
      </c>
      <c r="N739" s="10" t="s">
        <v>18</v>
      </c>
      <c r="O739" s="42">
        <f t="shared" si="74"/>
        <v>0</v>
      </c>
      <c r="P739" s="10" t="s">
        <v>2485</v>
      </c>
    </row>
    <row r="740" spans="1:16" s="22" customFormat="1" ht="14.25" customHeight="1" x14ac:dyDescent="0.25">
      <c r="A740" s="5" t="s">
        <v>1671</v>
      </c>
      <c r="B740" s="22" t="s">
        <v>716</v>
      </c>
      <c r="C740" s="22" t="s">
        <v>787</v>
      </c>
      <c r="D740" s="18" t="s">
        <v>1672</v>
      </c>
      <c r="E740" s="24" t="str">
        <f t="shared" si="70"/>
        <v>S0510453E004</v>
      </c>
      <c r="F740" s="13">
        <v>44431</v>
      </c>
      <c r="G740" s="13">
        <v>44434</v>
      </c>
      <c r="H740" s="7">
        <f t="shared" ca="1" si="71"/>
        <v>-669</v>
      </c>
      <c r="I740" s="13">
        <v>44435</v>
      </c>
      <c r="J740" s="9">
        <f t="shared" ca="1" si="72"/>
        <v>672</v>
      </c>
      <c r="K740" s="10" t="s">
        <v>1412</v>
      </c>
      <c r="L740" s="10" t="str">
        <f t="shared" si="73"/>
        <v>Rejected</v>
      </c>
      <c r="M740" s="11">
        <v>1</v>
      </c>
      <c r="N740" s="10" t="s">
        <v>18</v>
      </c>
      <c r="O740" s="42">
        <f t="shared" si="74"/>
        <v>0</v>
      </c>
      <c r="P740" s="10" t="s">
        <v>2485</v>
      </c>
    </row>
    <row r="741" spans="1:16" s="22" customFormat="1" ht="14.25" customHeight="1" x14ac:dyDescent="0.25">
      <c r="A741" s="5" t="s">
        <v>1673</v>
      </c>
      <c r="B741" s="22" t="s">
        <v>716</v>
      </c>
      <c r="C741" s="22" t="s">
        <v>787</v>
      </c>
      <c r="D741" s="18" t="s">
        <v>1674</v>
      </c>
      <c r="E741" s="24" t="str">
        <f t="shared" si="70"/>
        <v>V0140371P006</v>
      </c>
      <c r="F741" s="13">
        <v>44431</v>
      </c>
      <c r="G741" s="13">
        <v>44437</v>
      </c>
      <c r="H741" s="7">
        <f t="shared" ca="1" si="71"/>
        <v>-666</v>
      </c>
      <c r="I741" s="13">
        <v>44436</v>
      </c>
      <c r="J741" s="9">
        <f t="shared" ca="1" si="72"/>
        <v>0</v>
      </c>
      <c r="K741" s="10"/>
      <c r="L741" s="10" t="str">
        <f t="shared" si="73"/>
        <v>Accepted</v>
      </c>
      <c r="M741" s="11">
        <v>1</v>
      </c>
      <c r="N741" s="10" t="s">
        <v>18</v>
      </c>
      <c r="O741" s="42">
        <f t="shared" si="74"/>
        <v>15000</v>
      </c>
      <c r="P741" s="10" t="s">
        <v>19</v>
      </c>
    </row>
    <row r="742" spans="1:16" s="22" customFormat="1" ht="14.25" customHeight="1" x14ac:dyDescent="0.25">
      <c r="A742" s="5" t="s">
        <v>1675</v>
      </c>
      <c r="B742" s="22" t="s">
        <v>716</v>
      </c>
      <c r="C742" s="22" t="s">
        <v>932</v>
      </c>
      <c r="D742" s="18" t="s">
        <v>1676</v>
      </c>
      <c r="E742" s="24" t="str">
        <f t="shared" si="70"/>
        <v>S0341361d001</v>
      </c>
      <c r="F742" s="13">
        <v>44431</v>
      </c>
      <c r="G742" s="13">
        <v>44437</v>
      </c>
      <c r="H742" s="7">
        <f t="shared" ca="1" si="71"/>
        <v>-666</v>
      </c>
      <c r="I742" s="13">
        <v>44436</v>
      </c>
      <c r="J742" s="9">
        <f t="shared" ca="1" si="72"/>
        <v>0</v>
      </c>
      <c r="K742" s="10"/>
      <c r="L742" s="10" t="str">
        <f t="shared" si="73"/>
        <v>Accepted</v>
      </c>
      <c r="M742" s="11">
        <v>1</v>
      </c>
      <c r="N742" s="10" t="s">
        <v>18</v>
      </c>
      <c r="O742" s="42">
        <f t="shared" si="74"/>
        <v>15000</v>
      </c>
      <c r="P742" s="10" t="s">
        <v>19</v>
      </c>
    </row>
    <row r="743" spans="1:16" s="22" customFormat="1" ht="14.25" customHeight="1" x14ac:dyDescent="0.25">
      <c r="A743" s="5" t="s">
        <v>1677</v>
      </c>
      <c r="B743" s="22" t="s">
        <v>716</v>
      </c>
      <c r="C743" s="22" t="s">
        <v>932</v>
      </c>
      <c r="D743" s="18" t="s">
        <v>1678</v>
      </c>
      <c r="E743" s="24" t="str">
        <f t="shared" si="70"/>
        <v>S0191672E006</v>
      </c>
      <c r="F743" s="13">
        <v>44431</v>
      </c>
      <c r="G743" s="13">
        <v>44437</v>
      </c>
      <c r="H743" s="7">
        <f t="shared" ca="1" si="71"/>
        <v>-666</v>
      </c>
      <c r="I743" s="13">
        <v>44436</v>
      </c>
      <c r="J743" s="9">
        <f t="shared" ca="1" si="72"/>
        <v>0</v>
      </c>
      <c r="K743" s="10"/>
      <c r="L743" s="10" t="str">
        <f t="shared" si="73"/>
        <v>Accepted</v>
      </c>
      <c r="M743" s="11">
        <v>1</v>
      </c>
      <c r="N743" s="10" t="s">
        <v>18</v>
      </c>
      <c r="O743" s="42">
        <f t="shared" si="74"/>
        <v>15000</v>
      </c>
      <c r="P743" s="10" t="s">
        <v>19</v>
      </c>
    </row>
    <row r="744" spans="1:16" s="22" customFormat="1" ht="14.25" customHeight="1" x14ac:dyDescent="0.25">
      <c r="A744" s="5" t="s">
        <v>1669</v>
      </c>
      <c r="B744" s="22" t="s">
        <v>716</v>
      </c>
      <c r="C744" s="22" t="s">
        <v>985</v>
      </c>
      <c r="D744" s="18" t="s">
        <v>1670</v>
      </c>
      <c r="E744" s="24" t="str">
        <f t="shared" si="70"/>
        <v>S0571611E002</v>
      </c>
      <c r="F744" s="13">
        <v>44431</v>
      </c>
      <c r="G744" s="13">
        <v>44434</v>
      </c>
      <c r="H744" s="7">
        <f t="shared" ca="1" si="71"/>
        <v>-669</v>
      </c>
      <c r="I744" s="13">
        <v>44437</v>
      </c>
      <c r="J744" s="9">
        <f t="shared" ca="1" si="72"/>
        <v>672</v>
      </c>
      <c r="K744" s="10" t="s">
        <v>771</v>
      </c>
      <c r="L744" s="10" t="str">
        <f t="shared" si="73"/>
        <v>Rejected</v>
      </c>
      <c r="M744" s="11">
        <v>1</v>
      </c>
      <c r="N744" s="10" t="s">
        <v>18</v>
      </c>
      <c r="O744" s="42">
        <f t="shared" si="74"/>
        <v>0</v>
      </c>
      <c r="P744" s="10" t="s">
        <v>2485</v>
      </c>
    </row>
    <row r="745" spans="1:16" s="22" customFormat="1" ht="14.25" customHeight="1" x14ac:dyDescent="0.25">
      <c r="A745" s="5" t="s">
        <v>1734</v>
      </c>
      <c r="B745" s="22" t="s">
        <v>716</v>
      </c>
      <c r="C745" s="22" t="s">
        <v>787</v>
      </c>
      <c r="D745" s="18" t="s">
        <v>1735</v>
      </c>
      <c r="E745" s="24" t="str">
        <f t="shared" si="70"/>
        <v>V0110313E001</v>
      </c>
      <c r="F745" s="13">
        <v>44435</v>
      </c>
      <c r="G745" s="13">
        <v>44437</v>
      </c>
      <c r="H745" s="7">
        <f t="shared" ca="1" si="71"/>
        <v>-666</v>
      </c>
      <c r="I745" s="13">
        <v>44437</v>
      </c>
      <c r="J745" s="9">
        <f t="shared" ca="1" si="72"/>
        <v>0</v>
      </c>
      <c r="K745" s="10"/>
      <c r="L745" s="10" t="str">
        <f t="shared" si="73"/>
        <v>Accepted</v>
      </c>
      <c r="M745" s="11">
        <v>0</v>
      </c>
      <c r="N745" s="10" t="s">
        <v>18</v>
      </c>
      <c r="O745" s="42">
        <f t="shared" si="74"/>
        <v>15000</v>
      </c>
      <c r="P745" s="10" t="s">
        <v>19</v>
      </c>
    </row>
    <row r="746" spans="1:16" s="22" customFormat="1" ht="14.25" customHeight="1" x14ac:dyDescent="0.25">
      <c r="A746" s="5" t="s">
        <v>1736</v>
      </c>
      <c r="B746" s="22" t="s">
        <v>716</v>
      </c>
      <c r="C746" s="22" t="s">
        <v>787</v>
      </c>
      <c r="D746" s="18" t="s">
        <v>1737</v>
      </c>
      <c r="E746" s="24" t="str">
        <f t="shared" si="70"/>
        <v>V0181482E005</v>
      </c>
      <c r="F746" s="13">
        <v>44435</v>
      </c>
      <c r="G746" s="13">
        <v>44437</v>
      </c>
      <c r="H746" s="7">
        <f t="shared" ca="1" si="71"/>
        <v>-666</v>
      </c>
      <c r="I746" s="13">
        <v>44437</v>
      </c>
      <c r="J746" s="9">
        <f t="shared" ca="1" si="72"/>
        <v>0</v>
      </c>
      <c r="K746" s="10"/>
      <c r="L746" s="10" t="str">
        <f t="shared" si="73"/>
        <v>Accepted</v>
      </c>
      <c r="M746" s="11">
        <v>0</v>
      </c>
      <c r="N746" s="10" t="s">
        <v>18</v>
      </c>
      <c r="O746" s="42">
        <f t="shared" si="74"/>
        <v>15000</v>
      </c>
      <c r="P746" s="10" t="s">
        <v>19</v>
      </c>
    </row>
    <row r="747" spans="1:16" s="22" customFormat="1" ht="14.25" customHeight="1" x14ac:dyDescent="0.25">
      <c r="A747" s="5" t="s">
        <v>1742</v>
      </c>
      <c r="B747" s="22" t="s">
        <v>716</v>
      </c>
      <c r="C747" s="22" t="s">
        <v>787</v>
      </c>
      <c r="D747" s="18" t="s">
        <v>1743</v>
      </c>
      <c r="E747" s="24" t="str">
        <f t="shared" si="70"/>
        <v>S0472172E005</v>
      </c>
      <c r="F747" s="13">
        <v>44435</v>
      </c>
      <c r="G747" s="13">
        <v>44437</v>
      </c>
      <c r="H747" s="7">
        <f t="shared" ca="1" si="71"/>
        <v>-666</v>
      </c>
      <c r="I747" s="13">
        <v>44437</v>
      </c>
      <c r="J747" s="9">
        <f t="shared" ca="1" si="72"/>
        <v>0</v>
      </c>
      <c r="K747" s="10"/>
      <c r="L747" s="10" t="str">
        <f t="shared" si="73"/>
        <v>Accepted</v>
      </c>
      <c r="M747" s="11">
        <v>0</v>
      </c>
      <c r="N747" s="10" t="s">
        <v>18</v>
      </c>
      <c r="O747" s="42">
        <f t="shared" si="74"/>
        <v>15000</v>
      </c>
      <c r="P747" s="10" t="s">
        <v>19</v>
      </c>
    </row>
    <row r="748" spans="1:16" s="22" customFormat="1" ht="14.25" customHeight="1" x14ac:dyDescent="0.25">
      <c r="A748" s="5" t="s">
        <v>1746</v>
      </c>
      <c r="B748" s="22" t="s">
        <v>716</v>
      </c>
      <c r="C748" s="22" t="s">
        <v>1585</v>
      </c>
      <c r="D748" s="18" t="s">
        <v>1747</v>
      </c>
      <c r="E748" s="24" t="str">
        <f t="shared" si="70"/>
        <v>S0210171E001</v>
      </c>
      <c r="F748" s="13">
        <v>44435</v>
      </c>
      <c r="G748" s="13">
        <v>44437</v>
      </c>
      <c r="H748" s="7">
        <f t="shared" ca="1" si="71"/>
        <v>-666</v>
      </c>
      <c r="I748" s="13">
        <v>44437</v>
      </c>
      <c r="J748" s="9">
        <f t="shared" ca="1" si="72"/>
        <v>0</v>
      </c>
      <c r="K748" s="10"/>
      <c r="L748" s="10" t="str">
        <f t="shared" si="73"/>
        <v>Accepted</v>
      </c>
      <c r="M748" s="11">
        <v>0</v>
      </c>
      <c r="N748" s="10" t="s">
        <v>18</v>
      </c>
      <c r="O748" s="42">
        <f t="shared" si="74"/>
        <v>15000</v>
      </c>
      <c r="P748" s="10" t="s">
        <v>19</v>
      </c>
    </row>
    <row r="749" spans="1:16" s="22" customFormat="1" ht="14.25" customHeight="1" x14ac:dyDescent="0.25">
      <c r="A749" s="5" t="s">
        <v>1663</v>
      </c>
      <c r="B749" s="22" t="s">
        <v>716</v>
      </c>
      <c r="C749" s="22" t="s">
        <v>787</v>
      </c>
      <c r="D749" s="18" t="s">
        <v>1664</v>
      </c>
      <c r="E749" s="24" t="str">
        <f t="shared" si="70"/>
        <v>S0290253E004</v>
      </c>
      <c r="F749" s="13">
        <v>44431</v>
      </c>
      <c r="G749" s="13">
        <v>44441</v>
      </c>
      <c r="H749" s="7">
        <f t="shared" ca="1" si="71"/>
        <v>-662</v>
      </c>
      <c r="I749" s="13">
        <v>44437</v>
      </c>
      <c r="J749" s="9">
        <f t="shared" ca="1" si="72"/>
        <v>672</v>
      </c>
      <c r="K749" s="10" t="s">
        <v>771</v>
      </c>
      <c r="L749" s="10" t="str">
        <f t="shared" si="73"/>
        <v>Rejected</v>
      </c>
      <c r="M749" s="11">
        <v>1</v>
      </c>
      <c r="N749" s="10" t="s">
        <v>18</v>
      </c>
      <c r="O749" s="42">
        <f t="shared" si="74"/>
        <v>0</v>
      </c>
      <c r="P749" s="10" t="s">
        <v>2485</v>
      </c>
    </row>
    <row r="750" spans="1:16" s="22" customFormat="1" ht="14.25" customHeight="1" x14ac:dyDescent="0.25">
      <c r="A750" s="5" t="s">
        <v>1667</v>
      </c>
      <c r="B750" s="22" t="s">
        <v>716</v>
      </c>
      <c r="C750" s="22" t="s">
        <v>2473</v>
      </c>
      <c r="D750" s="18" t="s">
        <v>1668</v>
      </c>
      <c r="E750" s="24" t="str">
        <f t="shared" si="70"/>
        <v>V0172181P013</v>
      </c>
      <c r="F750" s="13">
        <v>44431</v>
      </c>
      <c r="G750" s="13">
        <v>44441</v>
      </c>
      <c r="H750" s="7">
        <f t="shared" ca="1" si="71"/>
        <v>-662</v>
      </c>
      <c r="I750" s="13">
        <v>44437</v>
      </c>
      <c r="J750" s="9">
        <f t="shared" ca="1" si="72"/>
        <v>672</v>
      </c>
      <c r="K750" s="10" t="s">
        <v>771</v>
      </c>
      <c r="L750" s="10" t="str">
        <f t="shared" si="73"/>
        <v>Rejected</v>
      </c>
      <c r="M750" s="11">
        <v>1</v>
      </c>
      <c r="N750" s="10" t="s">
        <v>18</v>
      </c>
      <c r="O750" s="42">
        <f t="shared" si="74"/>
        <v>0</v>
      </c>
      <c r="P750" s="10" t="s">
        <v>2485</v>
      </c>
    </row>
    <row r="751" spans="1:16" s="22" customFormat="1" ht="14.25" customHeight="1" x14ac:dyDescent="0.25">
      <c r="A751" s="5" t="s">
        <v>1764</v>
      </c>
      <c r="B751" s="22" t="s">
        <v>716</v>
      </c>
      <c r="C751" s="22" t="s">
        <v>1694</v>
      </c>
      <c r="D751" s="18" t="s">
        <v>1765</v>
      </c>
      <c r="E751" s="24" t="str">
        <f t="shared" si="70"/>
        <v>S0100552E005</v>
      </c>
      <c r="F751" s="13">
        <v>44438</v>
      </c>
      <c r="G751" s="13">
        <v>44441</v>
      </c>
      <c r="H751" s="7">
        <f t="shared" ca="1" si="71"/>
        <v>-662</v>
      </c>
      <c r="I751" s="13">
        <v>44440</v>
      </c>
      <c r="J751" s="9">
        <f t="shared" ca="1" si="72"/>
        <v>0</v>
      </c>
      <c r="K751" s="10"/>
      <c r="L751" s="10" t="str">
        <f t="shared" si="73"/>
        <v>Accepted</v>
      </c>
      <c r="M751" s="11">
        <v>0</v>
      </c>
      <c r="N751" s="10" t="s">
        <v>18</v>
      </c>
      <c r="O751" s="42">
        <f t="shared" si="74"/>
        <v>15000</v>
      </c>
      <c r="P751" s="10" t="s">
        <v>19</v>
      </c>
    </row>
    <row r="752" spans="1:16" s="22" customFormat="1" ht="14.25" customHeight="1" x14ac:dyDescent="0.25">
      <c r="A752" s="5" t="s">
        <v>1768</v>
      </c>
      <c r="B752" s="22" t="s">
        <v>716</v>
      </c>
      <c r="C752" s="22" t="s">
        <v>2473</v>
      </c>
      <c r="D752" s="18" t="s">
        <v>1769</v>
      </c>
      <c r="E752" s="24" t="str">
        <f t="shared" si="70"/>
        <v>T005G202P001</v>
      </c>
      <c r="F752" s="13">
        <v>44438</v>
      </c>
      <c r="G752" s="13">
        <v>44441</v>
      </c>
      <c r="H752" s="7">
        <f t="shared" ca="1" si="71"/>
        <v>-662</v>
      </c>
      <c r="I752" s="13">
        <v>44440</v>
      </c>
      <c r="J752" s="9">
        <f t="shared" ca="1" si="72"/>
        <v>0</v>
      </c>
      <c r="K752" s="10"/>
      <c r="L752" s="10" t="str">
        <f t="shared" si="73"/>
        <v>Accepted</v>
      </c>
      <c r="M752" s="11">
        <v>0</v>
      </c>
      <c r="N752" s="10" t="s">
        <v>18</v>
      </c>
      <c r="O752" s="42">
        <f t="shared" si="74"/>
        <v>15000</v>
      </c>
      <c r="P752" s="10" t="s">
        <v>19</v>
      </c>
    </row>
    <row r="753" spans="1:16" s="22" customFormat="1" ht="14.25" customHeight="1" x14ac:dyDescent="0.25">
      <c r="A753" s="5" t="s">
        <v>1776</v>
      </c>
      <c r="B753" s="22" t="s">
        <v>716</v>
      </c>
      <c r="C753" s="22" t="s">
        <v>1043</v>
      </c>
      <c r="D753" s="18" t="s">
        <v>1777</v>
      </c>
      <c r="E753" s="24" t="str">
        <f t="shared" si="70"/>
        <v>T005X601P001</v>
      </c>
      <c r="F753" s="13">
        <v>44438</v>
      </c>
      <c r="G753" s="13">
        <v>44441</v>
      </c>
      <c r="H753" s="7">
        <f t="shared" ca="1" si="71"/>
        <v>-662</v>
      </c>
      <c r="I753" s="13">
        <v>44440</v>
      </c>
      <c r="J753" s="9">
        <f t="shared" ca="1" si="72"/>
        <v>0</v>
      </c>
      <c r="K753" s="10"/>
      <c r="L753" s="10" t="str">
        <f t="shared" si="73"/>
        <v>Accepted</v>
      </c>
      <c r="M753" s="11">
        <v>0</v>
      </c>
      <c r="N753" s="10" t="s">
        <v>18</v>
      </c>
      <c r="O753" s="42">
        <f t="shared" si="74"/>
        <v>15000</v>
      </c>
      <c r="P753" s="10" t="s">
        <v>19</v>
      </c>
    </row>
    <row r="754" spans="1:16" s="22" customFormat="1" ht="14.25" customHeight="1" x14ac:dyDescent="0.25">
      <c r="A754" s="5" t="s">
        <v>1778</v>
      </c>
      <c r="B754" s="22" t="s">
        <v>716</v>
      </c>
      <c r="C754" s="22" t="s">
        <v>1043</v>
      </c>
      <c r="D754" s="18" t="s">
        <v>1779</v>
      </c>
      <c r="E754" s="24" t="str">
        <f t="shared" si="70"/>
        <v>T005Z901P001</v>
      </c>
      <c r="F754" s="13">
        <v>44438</v>
      </c>
      <c r="G754" s="13">
        <v>44441</v>
      </c>
      <c r="H754" s="7">
        <f t="shared" ca="1" si="71"/>
        <v>-662</v>
      </c>
      <c r="I754" s="13">
        <v>44440</v>
      </c>
      <c r="J754" s="9">
        <f t="shared" ca="1" si="72"/>
        <v>0</v>
      </c>
      <c r="K754" s="10"/>
      <c r="L754" s="10" t="str">
        <f t="shared" si="73"/>
        <v>Accepted</v>
      </c>
      <c r="M754" s="11">
        <v>0</v>
      </c>
      <c r="N754" s="10" t="s">
        <v>18</v>
      </c>
      <c r="O754" s="42">
        <f t="shared" si="74"/>
        <v>15000</v>
      </c>
      <c r="P754" s="10" t="s">
        <v>19</v>
      </c>
    </row>
    <row r="755" spans="1:16" s="22" customFormat="1" ht="14.25" customHeight="1" x14ac:dyDescent="0.25">
      <c r="A755" s="5" t="s">
        <v>1784</v>
      </c>
      <c r="B755" s="22" t="s">
        <v>716</v>
      </c>
      <c r="C755" s="22" t="s">
        <v>1043</v>
      </c>
      <c r="D755" s="18" t="s">
        <v>1785</v>
      </c>
      <c r="E755" s="24" t="str">
        <f t="shared" si="70"/>
        <v>T005O103P001</v>
      </c>
      <c r="F755" s="13">
        <v>44438</v>
      </c>
      <c r="G755" s="13">
        <v>44441</v>
      </c>
      <c r="H755" s="7">
        <f t="shared" ca="1" si="71"/>
        <v>-662</v>
      </c>
      <c r="I755" s="13">
        <v>44440</v>
      </c>
      <c r="J755" s="9">
        <f t="shared" ca="1" si="72"/>
        <v>0</v>
      </c>
      <c r="K755" s="10"/>
      <c r="L755" s="10" t="str">
        <f t="shared" si="73"/>
        <v>Accepted</v>
      </c>
      <c r="M755" s="11">
        <v>0</v>
      </c>
      <c r="N755" s="10" t="s">
        <v>18</v>
      </c>
      <c r="O755" s="42">
        <f t="shared" si="74"/>
        <v>15000</v>
      </c>
      <c r="P755" s="10" t="s">
        <v>19</v>
      </c>
    </row>
    <row r="756" spans="1:16" s="22" customFormat="1" ht="14.25" customHeight="1" x14ac:dyDescent="0.25">
      <c r="A756" s="5" t="s">
        <v>1754</v>
      </c>
      <c r="B756" s="22" t="s">
        <v>716</v>
      </c>
      <c r="C756" s="22" t="s">
        <v>2472</v>
      </c>
      <c r="D756" s="19" t="s">
        <v>1755</v>
      </c>
      <c r="E756" s="24" t="str">
        <f t="shared" si="70"/>
        <v>T0054402P001</v>
      </c>
      <c r="F756" s="13">
        <v>44438</v>
      </c>
      <c r="G756" s="13">
        <v>44451</v>
      </c>
      <c r="H756" s="7">
        <f t="shared" ca="1" si="71"/>
        <v>-652</v>
      </c>
      <c r="I756" s="13">
        <v>44440</v>
      </c>
      <c r="J756" s="9">
        <f t="shared" ca="1" si="72"/>
        <v>665</v>
      </c>
      <c r="K756" s="10" t="s">
        <v>712</v>
      </c>
      <c r="L756" s="10" t="str">
        <f t="shared" si="73"/>
        <v>Rejected</v>
      </c>
      <c r="M756" s="11">
        <v>1</v>
      </c>
      <c r="N756" s="10" t="s">
        <v>18</v>
      </c>
      <c r="O756" s="42">
        <f t="shared" si="74"/>
        <v>0</v>
      </c>
      <c r="P756" s="10" t="s">
        <v>2485</v>
      </c>
    </row>
    <row r="757" spans="1:16" s="22" customFormat="1" ht="14.25" customHeight="1" x14ac:dyDescent="0.25">
      <c r="A757" s="5" t="s">
        <v>1772</v>
      </c>
      <c r="B757" s="22" t="s">
        <v>716</v>
      </c>
      <c r="C757" s="22" t="s">
        <v>2473</v>
      </c>
      <c r="D757" s="18" t="s">
        <v>1773</v>
      </c>
      <c r="E757" s="24" t="str">
        <f t="shared" si="70"/>
        <v>T0091216E001</v>
      </c>
      <c r="F757" s="13">
        <v>44438</v>
      </c>
      <c r="G757" s="13">
        <v>44441</v>
      </c>
      <c r="H757" s="7">
        <f t="shared" ca="1" si="71"/>
        <v>-662</v>
      </c>
      <c r="I757" s="13">
        <v>44441</v>
      </c>
      <c r="J757" s="9">
        <f t="shared" ca="1" si="72"/>
        <v>0</v>
      </c>
      <c r="K757" s="10"/>
      <c r="L757" s="10" t="str">
        <f t="shared" si="73"/>
        <v>Accepted</v>
      </c>
      <c r="M757" s="11">
        <v>0</v>
      </c>
      <c r="N757" s="10" t="s">
        <v>18</v>
      </c>
      <c r="O757" s="42">
        <f t="shared" si="74"/>
        <v>15000</v>
      </c>
      <c r="P757" s="10" t="s">
        <v>19</v>
      </c>
    </row>
    <row r="758" spans="1:16" s="22" customFormat="1" ht="14.25" customHeight="1" x14ac:dyDescent="0.25">
      <c r="A758" s="5" t="s">
        <v>1774</v>
      </c>
      <c r="B758" s="22" t="s">
        <v>716</v>
      </c>
      <c r="C758" s="22" t="s">
        <v>1043</v>
      </c>
      <c r="D758" s="18" t="s">
        <v>1775</v>
      </c>
      <c r="E758" s="24" t="str">
        <f t="shared" si="70"/>
        <v>T0070603P001</v>
      </c>
      <c r="F758" s="13">
        <v>44438</v>
      </c>
      <c r="G758" s="13">
        <v>44441</v>
      </c>
      <c r="H758" s="7">
        <f t="shared" ca="1" si="71"/>
        <v>-662</v>
      </c>
      <c r="I758" s="13">
        <v>44441</v>
      </c>
      <c r="J758" s="9">
        <f t="shared" ca="1" si="72"/>
        <v>0</v>
      </c>
      <c r="K758" s="10"/>
      <c r="L758" s="10" t="str">
        <f t="shared" si="73"/>
        <v>Accepted</v>
      </c>
      <c r="M758" s="11">
        <v>0</v>
      </c>
      <c r="N758" s="10" t="s">
        <v>18</v>
      </c>
      <c r="O758" s="42">
        <f t="shared" si="74"/>
        <v>15000</v>
      </c>
      <c r="P758" s="10" t="s">
        <v>19</v>
      </c>
    </row>
    <row r="759" spans="1:16" s="22" customFormat="1" ht="14.25" customHeight="1" x14ac:dyDescent="0.25">
      <c r="A759" s="5" t="s">
        <v>1780</v>
      </c>
      <c r="B759" s="22" t="s">
        <v>716</v>
      </c>
      <c r="C759" s="22" t="s">
        <v>2472</v>
      </c>
      <c r="D759" s="18" t="s">
        <v>1781</v>
      </c>
      <c r="E759" s="24" t="str">
        <f t="shared" si="70"/>
        <v>T0052202P001</v>
      </c>
      <c r="F759" s="13">
        <v>44438</v>
      </c>
      <c r="G759" s="13">
        <v>44441</v>
      </c>
      <c r="H759" s="7">
        <f t="shared" ca="1" si="71"/>
        <v>-662</v>
      </c>
      <c r="I759" s="13">
        <v>44441</v>
      </c>
      <c r="J759" s="9">
        <f t="shared" ca="1" si="72"/>
        <v>0</v>
      </c>
      <c r="K759" s="10"/>
      <c r="L759" s="10" t="str">
        <f t="shared" si="73"/>
        <v>Accepted</v>
      </c>
      <c r="M759" s="11">
        <v>0</v>
      </c>
      <c r="N759" s="10" t="s">
        <v>18</v>
      </c>
      <c r="O759" s="42">
        <f t="shared" si="74"/>
        <v>15000</v>
      </c>
      <c r="P759" s="10" t="s">
        <v>19</v>
      </c>
    </row>
    <row r="760" spans="1:16" s="22" customFormat="1" ht="14.25" customHeight="1" x14ac:dyDescent="0.25">
      <c r="A760" s="5" t="s">
        <v>1788</v>
      </c>
      <c r="B760" s="22" t="s">
        <v>716</v>
      </c>
      <c r="C760" s="22" t="s">
        <v>2472</v>
      </c>
      <c r="D760" s="18" t="s">
        <v>1789</v>
      </c>
      <c r="E760" s="24" t="str">
        <f t="shared" si="70"/>
        <v>T0055302P001</v>
      </c>
      <c r="F760" s="13">
        <v>44438</v>
      </c>
      <c r="G760" s="13">
        <v>44441</v>
      </c>
      <c r="H760" s="7">
        <f t="shared" ca="1" si="71"/>
        <v>-662</v>
      </c>
      <c r="I760" s="13">
        <v>44441</v>
      </c>
      <c r="J760" s="9">
        <f t="shared" ca="1" si="72"/>
        <v>0</v>
      </c>
      <c r="K760" s="10"/>
      <c r="L760" s="10" t="str">
        <f t="shared" si="73"/>
        <v>Accepted</v>
      </c>
      <c r="M760" s="11">
        <v>0</v>
      </c>
      <c r="N760" s="10" t="s">
        <v>18</v>
      </c>
      <c r="O760" s="42">
        <f t="shared" si="74"/>
        <v>15000</v>
      </c>
      <c r="P760" s="10" t="s">
        <v>19</v>
      </c>
    </row>
    <row r="761" spans="1:16" s="22" customFormat="1" ht="14.25" customHeight="1" x14ac:dyDescent="0.25">
      <c r="A761" s="5" t="s">
        <v>1790</v>
      </c>
      <c r="B761" s="22" t="s">
        <v>716</v>
      </c>
      <c r="C761" s="22" t="s">
        <v>2472</v>
      </c>
      <c r="D761" s="18" t="s">
        <v>1791</v>
      </c>
      <c r="E761" s="24" t="str">
        <f t="shared" si="70"/>
        <v>T0056402P001</v>
      </c>
      <c r="F761" s="13">
        <v>44438</v>
      </c>
      <c r="G761" s="13">
        <v>44441</v>
      </c>
      <c r="H761" s="7">
        <f t="shared" ca="1" si="71"/>
        <v>-662</v>
      </c>
      <c r="I761" s="13">
        <v>44441</v>
      </c>
      <c r="J761" s="9">
        <f t="shared" ca="1" si="72"/>
        <v>0</v>
      </c>
      <c r="K761" s="10"/>
      <c r="L761" s="10" t="str">
        <f t="shared" si="73"/>
        <v>Accepted</v>
      </c>
      <c r="M761" s="11">
        <v>0</v>
      </c>
      <c r="N761" s="10" t="s">
        <v>18</v>
      </c>
      <c r="O761" s="42">
        <f t="shared" si="74"/>
        <v>15000</v>
      </c>
      <c r="P761" s="10" t="s">
        <v>19</v>
      </c>
    </row>
    <row r="762" spans="1:16" s="22" customFormat="1" ht="14.25" customHeight="1" x14ac:dyDescent="0.25">
      <c r="A762" s="5" t="s">
        <v>1728</v>
      </c>
      <c r="B762" s="22" t="s">
        <v>716</v>
      </c>
      <c r="C762" s="22" t="s">
        <v>985</v>
      </c>
      <c r="D762" s="18" t="s">
        <v>1729</v>
      </c>
      <c r="E762" s="24" t="str">
        <f t="shared" si="70"/>
        <v>S0591091E002</v>
      </c>
      <c r="F762" s="13">
        <v>44435</v>
      </c>
      <c r="G762" s="13">
        <v>44444</v>
      </c>
      <c r="H762" s="7">
        <f t="shared" ca="1" si="71"/>
        <v>-659</v>
      </c>
      <c r="I762" s="13">
        <v>44443</v>
      </c>
      <c r="J762" s="9">
        <f t="shared" ca="1" si="72"/>
        <v>0</v>
      </c>
      <c r="K762" s="10"/>
      <c r="L762" s="10" t="str">
        <f t="shared" si="73"/>
        <v>Accepted</v>
      </c>
      <c r="M762" s="11">
        <v>0</v>
      </c>
      <c r="N762" s="10" t="s">
        <v>30</v>
      </c>
      <c r="O762" s="42">
        <f t="shared" si="74"/>
        <v>18000</v>
      </c>
      <c r="P762" s="10" t="s">
        <v>19</v>
      </c>
    </row>
    <row r="763" spans="1:16" s="22" customFormat="1" ht="14.25" customHeight="1" x14ac:dyDescent="0.25">
      <c r="A763" s="5" t="s">
        <v>1740</v>
      </c>
      <c r="B763" s="22" t="s">
        <v>716</v>
      </c>
      <c r="C763" s="22" t="s">
        <v>787</v>
      </c>
      <c r="D763" s="18" t="s">
        <v>1741</v>
      </c>
      <c r="E763" s="24" t="str">
        <f t="shared" si="70"/>
        <v>V0140371P013</v>
      </c>
      <c r="F763" s="13">
        <v>44435</v>
      </c>
      <c r="G763" s="13">
        <v>44444</v>
      </c>
      <c r="H763" s="7">
        <f t="shared" ca="1" si="71"/>
        <v>-659</v>
      </c>
      <c r="I763" s="13">
        <v>44443</v>
      </c>
      <c r="J763" s="9">
        <f t="shared" ca="1" si="72"/>
        <v>0</v>
      </c>
      <c r="K763" s="10"/>
      <c r="L763" s="10" t="str">
        <f t="shared" si="73"/>
        <v>Accepted</v>
      </c>
      <c r="M763" s="11">
        <v>0</v>
      </c>
      <c r="N763" s="10" t="s">
        <v>30</v>
      </c>
      <c r="O763" s="42">
        <f t="shared" si="74"/>
        <v>18000</v>
      </c>
      <c r="P763" s="10" t="s">
        <v>19</v>
      </c>
    </row>
    <row r="764" spans="1:16" s="22" customFormat="1" ht="14.25" customHeight="1" x14ac:dyDescent="0.25">
      <c r="A764" s="5" t="s">
        <v>1744</v>
      </c>
      <c r="B764" s="22" t="s">
        <v>716</v>
      </c>
      <c r="C764" s="22" t="s">
        <v>787</v>
      </c>
      <c r="D764" s="18" t="s">
        <v>1745</v>
      </c>
      <c r="E764" s="24" t="str">
        <f t="shared" si="70"/>
        <v>S0211812E005</v>
      </c>
      <c r="F764" s="13">
        <v>44435</v>
      </c>
      <c r="G764" s="13">
        <v>44444</v>
      </c>
      <c r="H764" s="7">
        <f t="shared" ca="1" si="71"/>
        <v>-659</v>
      </c>
      <c r="I764" s="13">
        <v>44443</v>
      </c>
      <c r="J764" s="9">
        <f t="shared" ca="1" si="72"/>
        <v>0</v>
      </c>
      <c r="K764" s="10"/>
      <c r="L764" s="10" t="str">
        <f t="shared" si="73"/>
        <v>Accepted</v>
      </c>
      <c r="M764" s="11">
        <v>0</v>
      </c>
      <c r="N764" s="10" t="s">
        <v>30</v>
      </c>
      <c r="O764" s="42">
        <f t="shared" si="74"/>
        <v>18000</v>
      </c>
      <c r="P764" s="10" t="s">
        <v>19</v>
      </c>
    </row>
    <row r="765" spans="1:16" s="22" customFormat="1" ht="14.25" customHeight="1" x14ac:dyDescent="0.25">
      <c r="A765" s="5" t="s">
        <v>1770</v>
      </c>
      <c r="B765" s="22" t="s">
        <v>716</v>
      </c>
      <c r="C765" s="22" t="s">
        <v>2473</v>
      </c>
      <c r="D765" s="18" t="s">
        <v>1771</v>
      </c>
      <c r="E765" s="24" t="str">
        <f t="shared" si="70"/>
        <v>T0100297P011</v>
      </c>
      <c r="F765" s="13">
        <v>44438</v>
      </c>
      <c r="G765" s="13">
        <v>44444</v>
      </c>
      <c r="H765" s="7">
        <f t="shared" ca="1" si="71"/>
        <v>-659</v>
      </c>
      <c r="I765" s="13">
        <v>44443</v>
      </c>
      <c r="J765" s="9">
        <f t="shared" ca="1" si="72"/>
        <v>0</v>
      </c>
      <c r="K765" s="10"/>
      <c r="L765" s="10" t="str">
        <f t="shared" si="73"/>
        <v>Accepted</v>
      </c>
      <c r="M765" s="11">
        <v>0</v>
      </c>
      <c r="N765" s="10" t="s">
        <v>30</v>
      </c>
      <c r="O765" s="42">
        <f t="shared" si="74"/>
        <v>18000</v>
      </c>
      <c r="P765" s="10" t="s">
        <v>19</v>
      </c>
    </row>
    <row r="766" spans="1:16" s="22" customFormat="1" ht="14.25" customHeight="1" x14ac:dyDescent="0.25">
      <c r="A766" s="5" t="s">
        <v>1792</v>
      </c>
      <c r="B766" s="22" t="s">
        <v>716</v>
      </c>
      <c r="C766" s="22" t="s">
        <v>787</v>
      </c>
      <c r="D766" s="18" t="s">
        <v>1793</v>
      </c>
      <c r="E766" s="24" t="str">
        <f t="shared" si="70"/>
        <v>S0292073E004</v>
      </c>
      <c r="F766" s="13">
        <v>44438</v>
      </c>
      <c r="G766" s="13">
        <v>44444</v>
      </c>
      <c r="H766" s="7">
        <f t="shared" ca="1" si="71"/>
        <v>-659</v>
      </c>
      <c r="I766" s="13">
        <v>44443</v>
      </c>
      <c r="J766" s="9">
        <f t="shared" ca="1" si="72"/>
        <v>0</v>
      </c>
      <c r="K766" s="10"/>
      <c r="L766" s="10" t="str">
        <f t="shared" si="73"/>
        <v>Accepted</v>
      </c>
      <c r="M766" s="11">
        <v>0</v>
      </c>
      <c r="N766" s="10" t="s">
        <v>30</v>
      </c>
      <c r="O766" s="42">
        <f t="shared" si="74"/>
        <v>18000</v>
      </c>
      <c r="P766" s="10" t="s">
        <v>19</v>
      </c>
    </row>
    <row r="767" spans="1:16" s="22" customFormat="1" ht="14.25" customHeight="1" x14ac:dyDescent="0.25">
      <c r="A767" s="5" t="s">
        <v>1794</v>
      </c>
      <c r="B767" s="22" t="s">
        <v>716</v>
      </c>
      <c r="C767" s="22" t="s">
        <v>2473</v>
      </c>
      <c r="D767" s="18" t="s">
        <v>1795</v>
      </c>
      <c r="E767" s="24" t="str">
        <f t="shared" si="70"/>
        <v>T0100287P013</v>
      </c>
      <c r="F767" s="13">
        <v>44442</v>
      </c>
      <c r="G767" s="13">
        <v>44444</v>
      </c>
      <c r="H767" s="7">
        <f t="shared" ca="1" si="71"/>
        <v>-659</v>
      </c>
      <c r="I767" s="13">
        <v>44443</v>
      </c>
      <c r="J767" s="9">
        <f t="shared" ca="1" si="72"/>
        <v>0</v>
      </c>
      <c r="K767" s="10"/>
      <c r="L767" s="10" t="str">
        <f t="shared" si="73"/>
        <v>Accepted</v>
      </c>
      <c r="M767" s="11">
        <v>0</v>
      </c>
      <c r="N767" s="10" t="s">
        <v>18</v>
      </c>
      <c r="O767" s="42">
        <f t="shared" si="74"/>
        <v>15000</v>
      </c>
      <c r="P767" s="10" t="s">
        <v>19</v>
      </c>
    </row>
    <row r="768" spans="1:16" s="22" customFormat="1" ht="14.25" customHeight="1" x14ac:dyDescent="0.25">
      <c r="A768" s="5" t="s">
        <v>1796</v>
      </c>
      <c r="B768" s="22" t="s">
        <v>716</v>
      </c>
      <c r="C768" s="22" t="s">
        <v>2473</v>
      </c>
      <c r="D768" s="18" t="s">
        <v>1797</v>
      </c>
      <c r="E768" s="24" t="str">
        <f t="shared" si="70"/>
        <v>T0100488E004</v>
      </c>
      <c r="F768" s="13">
        <v>44442</v>
      </c>
      <c r="G768" s="13">
        <v>44444</v>
      </c>
      <c r="H768" s="7">
        <f t="shared" ca="1" si="71"/>
        <v>-659</v>
      </c>
      <c r="I768" s="13">
        <v>44443</v>
      </c>
      <c r="J768" s="9">
        <f t="shared" ca="1" si="72"/>
        <v>0</v>
      </c>
      <c r="K768" s="10"/>
      <c r="L768" s="10" t="str">
        <f t="shared" si="73"/>
        <v>Accepted</v>
      </c>
      <c r="M768" s="11">
        <v>0</v>
      </c>
      <c r="N768" s="10" t="s">
        <v>18</v>
      </c>
      <c r="O768" s="42">
        <f t="shared" si="74"/>
        <v>15000</v>
      </c>
      <c r="P768" s="10" t="s">
        <v>19</v>
      </c>
    </row>
    <row r="769" spans="1:16" s="22" customFormat="1" ht="14.25" customHeight="1" x14ac:dyDescent="0.25">
      <c r="A769" s="5" t="s">
        <v>1798</v>
      </c>
      <c r="B769" s="22" t="s">
        <v>716</v>
      </c>
      <c r="C769" s="22" t="s">
        <v>2473</v>
      </c>
      <c r="D769" s="18" t="s">
        <v>1799</v>
      </c>
      <c r="E769" s="24" t="str">
        <f t="shared" si="70"/>
        <v>T0100138P009</v>
      </c>
      <c r="F769" s="13">
        <v>44442</v>
      </c>
      <c r="G769" s="13">
        <v>44444</v>
      </c>
      <c r="H769" s="7">
        <f t="shared" ca="1" si="71"/>
        <v>-659</v>
      </c>
      <c r="I769" s="13">
        <v>44443</v>
      </c>
      <c r="J769" s="9">
        <f t="shared" ca="1" si="72"/>
        <v>0</v>
      </c>
      <c r="K769" s="10"/>
      <c r="L769" s="10" t="str">
        <f t="shared" si="73"/>
        <v>Accepted</v>
      </c>
      <c r="M769" s="11">
        <v>0</v>
      </c>
      <c r="N769" s="10" t="s">
        <v>18</v>
      </c>
      <c r="O769" s="42">
        <f t="shared" si="74"/>
        <v>15000</v>
      </c>
      <c r="P769" s="10" t="s">
        <v>19</v>
      </c>
    </row>
    <row r="770" spans="1:16" s="22" customFormat="1" ht="14.25" customHeight="1" x14ac:dyDescent="0.25">
      <c r="A770" s="5" t="s">
        <v>1800</v>
      </c>
      <c r="B770" s="22" t="s">
        <v>716</v>
      </c>
      <c r="C770" s="22" t="s">
        <v>2473</v>
      </c>
      <c r="D770" s="18" t="s">
        <v>1801</v>
      </c>
      <c r="E770" s="24" t="str">
        <f t="shared" ref="E770:E833" si="76">HYPERLINK(D770,A770)</f>
        <v>T0100238P010</v>
      </c>
      <c r="F770" s="13">
        <v>44442</v>
      </c>
      <c r="G770" s="13">
        <v>44444</v>
      </c>
      <c r="H770" s="7">
        <f t="shared" ref="H770:H833" ca="1" si="77">G770-TODAY()</f>
        <v>-659</v>
      </c>
      <c r="I770" s="13">
        <v>44443</v>
      </c>
      <c r="J770" s="9">
        <f t="shared" ref="J770:J833" ca="1" si="78">IF(L770="Accepted",0,TODAY()-F770)</f>
        <v>0</v>
      </c>
      <c r="K770" s="10"/>
      <c r="L770" s="10" t="str">
        <f t="shared" ref="L770:L833" si="79">IF(AND(NOT(ISBLANK(I770)), ISBLANK(K770)),"Accepted", IF(AND(ISBLANK(I770),ISBLANK(K770)),"Not Submitted", "Rejected"))</f>
        <v>Accepted</v>
      </c>
      <c r="M770" s="11">
        <v>0</v>
      </c>
      <c r="N770" s="10" t="s">
        <v>18</v>
      </c>
      <c r="O770" s="42">
        <f t="shared" ref="O770:O833" si="80">IF(AND(L770="Accepted",B770="SMA",N770="no"),20000,
IF(AND(L770="Accepted",OR(B770="SMP",B770="SD"),N770="no"),15000,
IF(AND(L770="Accepted",B770="SMA",N770="yes"),25000,
IF(AND(L770="Accepted",OR(B770="SMP",B770="SD"),N770="yes"),18000,
0))))</f>
        <v>15000</v>
      </c>
      <c r="P770" s="10" t="s">
        <v>19</v>
      </c>
    </row>
    <row r="771" spans="1:16" s="22" customFormat="1" ht="14.25" customHeight="1" x14ac:dyDescent="0.25">
      <c r="A771" s="5" t="s">
        <v>1802</v>
      </c>
      <c r="B771" s="22" t="s">
        <v>716</v>
      </c>
      <c r="C771" s="22" t="s">
        <v>2473</v>
      </c>
      <c r="D771" s="18" t="s">
        <v>1803</v>
      </c>
      <c r="E771" s="24" t="str">
        <f t="shared" si="76"/>
        <v>T0100342E006</v>
      </c>
      <c r="F771" s="13">
        <v>44442</v>
      </c>
      <c r="G771" s="13">
        <v>44444</v>
      </c>
      <c r="H771" s="7">
        <f t="shared" ca="1" si="77"/>
        <v>-659</v>
      </c>
      <c r="I771" s="13">
        <v>44443</v>
      </c>
      <c r="J771" s="9">
        <f t="shared" ca="1" si="78"/>
        <v>0</v>
      </c>
      <c r="K771" s="10"/>
      <c r="L771" s="10" t="str">
        <f t="shared" si="79"/>
        <v>Accepted</v>
      </c>
      <c r="M771" s="11">
        <v>0</v>
      </c>
      <c r="N771" s="10" t="s">
        <v>18</v>
      </c>
      <c r="O771" s="42">
        <f t="shared" si="80"/>
        <v>15000</v>
      </c>
      <c r="P771" s="10" t="s">
        <v>19</v>
      </c>
    </row>
    <row r="772" spans="1:16" s="22" customFormat="1" ht="14.25" customHeight="1" x14ac:dyDescent="0.25">
      <c r="A772" s="5" t="s">
        <v>1804</v>
      </c>
      <c r="B772" s="22" t="s">
        <v>716</v>
      </c>
      <c r="C772" s="22" t="s">
        <v>2473</v>
      </c>
      <c r="D772" s="18" t="s">
        <v>1805</v>
      </c>
      <c r="E772" s="24" t="str">
        <f t="shared" si="76"/>
        <v>T0090116E001</v>
      </c>
      <c r="F772" s="13">
        <v>44442</v>
      </c>
      <c r="G772" s="13">
        <v>44444</v>
      </c>
      <c r="H772" s="7">
        <f t="shared" ca="1" si="77"/>
        <v>-659</v>
      </c>
      <c r="I772" s="13">
        <v>44443</v>
      </c>
      <c r="J772" s="9">
        <f t="shared" ca="1" si="78"/>
        <v>0</v>
      </c>
      <c r="K772" s="10"/>
      <c r="L772" s="10" t="str">
        <f t="shared" si="79"/>
        <v>Accepted</v>
      </c>
      <c r="M772" s="11">
        <v>0</v>
      </c>
      <c r="N772" s="10" t="s">
        <v>18</v>
      </c>
      <c r="O772" s="42">
        <f t="shared" si="80"/>
        <v>15000</v>
      </c>
      <c r="P772" s="10" t="s">
        <v>19</v>
      </c>
    </row>
    <row r="773" spans="1:16" s="22" customFormat="1" ht="14.25" customHeight="1" x14ac:dyDescent="0.25">
      <c r="A773" s="5" t="s">
        <v>1808</v>
      </c>
      <c r="B773" s="22" t="s">
        <v>716</v>
      </c>
      <c r="C773" s="22" t="s">
        <v>2473</v>
      </c>
      <c r="D773" s="18" t="s">
        <v>1809</v>
      </c>
      <c r="E773" s="24" t="str">
        <f t="shared" si="76"/>
        <v>T0090816E001</v>
      </c>
      <c r="F773" s="13">
        <v>44442</v>
      </c>
      <c r="G773" s="13">
        <v>44444</v>
      </c>
      <c r="H773" s="7">
        <f t="shared" ca="1" si="77"/>
        <v>-659</v>
      </c>
      <c r="I773" s="13">
        <v>44443</v>
      </c>
      <c r="J773" s="9">
        <f t="shared" ca="1" si="78"/>
        <v>0</v>
      </c>
      <c r="K773" s="10"/>
      <c r="L773" s="10" t="str">
        <f t="shared" si="79"/>
        <v>Accepted</v>
      </c>
      <c r="M773" s="11">
        <v>0</v>
      </c>
      <c r="N773" s="10" t="s">
        <v>18</v>
      </c>
      <c r="O773" s="42">
        <f t="shared" si="80"/>
        <v>15000</v>
      </c>
      <c r="P773" s="10" t="s">
        <v>19</v>
      </c>
    </row>
    <row r="774" spans="1:16" s="22" customFormat="1" ht="14.25" customHeight="1" x14ac:dyDescent="0.25">
      <c r="A774" s="5" t="s">
        <v>1810</v>
      </c>
      <c r="B774" s="22" t="s">
        <v>716</v>
      </c>
      <c r="C774" s="22" t="s">
        <v>2473</v>
      </c>
      <c r="D774" s="18" t="s">
        <v>1811</v>
      </c>
      <c r="E774" s="24" t="str">
        <f t="shared" si="76"/>
        <v>T0092316E001</v>
      </c>
      <c r="F774" s="13">
        <v>44442</v>
      </c>
      <c r="G774" s="13">
        <v>44444</v>
      </c>
      <c r="H774" s="7">
        <f t="shared" ca="1" si="77"/>
        <v>-659</v>
      </c>
      <c r="I774" s="13">
        <v>44443</v>
      </c>
      <c r="J774" s="9">
        <f t="shared" ca="1" si="78"/>
        <v>0</v>
      </c>
      <c r="K774" s="10"/>
      <c r="L774" s="10" t="str">
        <f t="shared" si="79"/>
        <v>Accepted</v>
      </c>
      <c r="M774" s="11">
        <v>0</v>
      </c>
      <c r="N774" s="10" t="s">
        <v>18</v>
      </c>
      <c r="O774" s="42">
        <f t="shared" si="80"/>
        <v>15000</v>
      </c>
      <c r="P774" s="10" t="s">
        <v>19</v>
      </c>
    </row>
    <row r="775" spans="1:16" s="22" customFormat="1" ht="14.25" customHeight="1" x14ac:dyDescent="0.25">
      <c r="A775" s="5" t="s">
        <v>1812</v>
      </c>
      <c r="B775" s="22" t="s">
        <v>716</v>
      </c>
      <c r="C775" s="22" t="s">
        <v>2473</v>
      </c>
      <c r="D775" s="18" t="s">
        <v>1813</v>
      </c>
      <c r="E775" s="24" t="str">
        <f t="shared" si="76"/>
        <v>T0092616E001</v>
      </c>
      <c r="F775" s="13">
        <v>44442</v>
      </c>
      <c r="G775" s="13">
        <v>44444</v>
      </c>
      <c r="H775" s="7">
        <f t="shared" ca="1" si="77"/>
        <v>-659</v>
      </c>
      <c r="I775" s="13">
        <v>44443</v>
      </c>
      <c r="J775" s="9">
        <f t="shared" ca="1" si="78"/>
        <v>0</v>
      </c>
      <c r="K775" s="10"/>
      <c r="L775" s="10" t="str">
        <f t="shared" si="79"/>
        <v>Accepted</v>
      </c>
      <c r="M775" s="11">
        <v>0</v>
      </c>
      <c r="N775" s="10" t="s">
        <v>18</v>
      </c>
      <c r="O775" s="42">
        <f t="shared" si="80"/>
        <v>15000</v>
      </c>
      <c r="P775" s="10" t="s">
        <v>19</v>
      </c>
    </row>
    <row r="776" spans="1:16" s="22" customFormat="1" ht="14.25" customHeight="1" x14ac:dyDescent="0.25">
      <c r="A776" s="5" t="s">
        <v>1816</v>
      </c>
      <c r="B776" s="22" t="s">
        <v>716</v>
      </c>
      <c r="C776" s="22" t="s">
        <v>1043</v>
      </c>
      <c r="D776" s="18" t="s">
        <v>1817</v>
      </c>
      <c r="E776" s="24" t="str">
        <f t="shared" si="76"/>
        <v>T0070403P001</v>
      </c>
      <c r="F776" s="13">
        <v>44442</v>
      </c>
      <c r="G776" s="13">
        <v>44444</v>
      </c>
      <c r="H776" s="7">
        <f t="shared" ca="1" si="77"/>
        <v>-659</v>
      </c>
      <c r="I776" s="13">
        <v>44443</v>
      </c>
      <c r="J776" s="9">
        <f t="shared" ca="1" si="78"/>
        <v>0</v>
      </c>
      <c r="K776" s="10"/>
      <c r="L776" s="10" t="str">
        <f t="shared" si="79"/>
        <v>Accepted</v>
      </c>
      <c r="M776" s="11">
        <v>0</v>
      </c>
      <c r="N776" s="10" t="s">
        <v>18</v>
      </c>
      <c r="O776" s="42">
        <f t="shared" si="80"/>
        <v>15000</v>
      </c>
      <c r="P776" s="10" t="s">
        <v>19</v>
      </c>
    </row>
    <row r="777" spans="1:16" s="22" customFormat="1" ht="14.25" customHeight="1" x14ac:dyDescent="0.25">
      <c r="A777" s="5" t="s">
        <v>1818</v>
      </c>
      <c r="B777" s="22" t="s">
        <v>716</v>
      </c>
      <c r="C777" s="22" t="s">
        <v>2472</v>
      </c>
      <c r="D777" s="18" t="s">
        <v>1819</v>
      </c>
      <c r="E777" s="24" t="str">
        <f t="shared" si="76"/>
        <v>T0077303P001</v>
      </c>
      <c r="F777" s="13">
        <v>44442</v>
      </c>
      <c r="G777" s="13">
        <v>44444</v>
      </c>
      <c r="H777" s="7">
        <f t="shared" ca="1" si="77"/>
        <v>-659</v>
      </c>
      <c r="I777" s="13">
        <v>44443</v>
      </c>
      <c r="J777" s="9">
        <f t="shared" ca="1" si="78"/>
        <v>661</v>
      </c>
      <c r="K777" s="10" t="s">
        <v>771</v>
      </c>
      <c r="L777" s="10" t="str">
        <f t="shared" si="79"/>
        <v>Rejected</v>
      </c>
      <c r="M777" s="11">
        <v>1</v>
      </c>
      <c r="N777" s="10" t="s">
        <v>18</v>
      </c>
      <c r="O777" s="42">
        <f t="shared" si="80"/>
        <v>0</v>
      </c>
      <c r="P777" s="10" t="s">
        <v>2485</v>
      </c>
    </row>
    <row r="778" spans="1:16" s="22" customFormat="1" ht="14.25" customHeight="1" x14ac:dyDescent="0.25">
      <c r="A778" s="5" t="s">
        <v>1820</v>
      </c>
      <c r="B778" s="22" t="s">
        <v>716</v>
      </c>
      <c r="C778" s="22" t="s">
        <v>1043</v>
      </c>
      <c r="D778" s="18" t="s">
        <v>1821</v>
      </c>
      <c r="E778" s="24" t="str">
        <f t="shared" si="76"/>
        <v>T005X701P001</v>
      </c>
      <c r="F778" s="13">
        <v>44442</v>
      </c>
      <c r="G778" s="13">
        <v>44444</v>
      </c>
      <c r="H778" s="7">
        <f t="shared" ca="1" si="77"/>
        <v>-659</v>
      </c>
      <c r="I778" s="13">
        <v>44443</v>
      </c>
      <c r="J778" s="9">
        <f t="shared" ca="1" si="78"/>
        <v>0</v>
      </c>
      <c r="K778" s="10"/>
      <c r="L778" s="10" t="str">
        <f t="shared" si="79"/>
        <v>Accepted</v>
      </c>
      <c r="M778" s="11">
        <v>0</v>
      </c>
      <c r="N778" s="10" t="s">
        <v>18</v>
      </c>
      <c r="O778" s="42">
        <f t="shared" si="80"/>
        <v>15000</v>
      </c>
      <c r="P778" s="10" t="s">
        <v>19</v>
      </c>
    </row>
    <row r="779" spans="1:16" s="22" customFormat="1" ht="14.25" customHeight="1" x14ac:dyDescent="0.25">
      <c r="A779" s="5" t="s">
        <v>1679</v>
      </c>
      <c r="B779" s="22" t="s">
        <v>716</v>
      </c>
      <c r="C779" s="22" t="s">
        <v>787</v>
      </c>
      <c r="D779" s="18" t="s">
        <v>1680</v>
      </c>
      <c r="E779" s="24" t="str">
        <f t="shared" si="76"/>
        <v>S0291652a001</v>
      </c>
      <c r="F779" s="13">
        <v>44431</v>
      </c>
      <c r="G779" s="13">
        <v>44472</v>
      </c>
      <c r="H779" s="7">
        <f t="shared" ca="1" si="77"/>
        <v>-631</v>
      </c>
      <c r="I779" s="13">
        <v>44443</v>
      </c>
      <c r="J779" s="9">
        <f t="shared" ca="1" si="78"/>
        <v>672</v>
      </c>
      <c r="K779" s="10" t="s">
        <v>771</v>
      </c>
      <c r="L779" s="10" t="str">
        <f t="shared" si="79"/>
        <v>Rejected</v>
      </c>
      <c r="M779" s="11">
        <v>1</v>
      </c>
      <c r="N779" s="10" t="s">
        <v>30</v>
      </c>
      <c r="O779" s="42">
        <f t="shared" si="80"/>
        <v>0</v>
      </c>
      <c r="P779" s="10" t="s">
        <v>2485</v>
      </c>
    </row>
    <row r="780" spans="1:16" s="22" customFormat="1" ht="14.25" customHeight="1" x14ac:dyDescent="0.25">
      <c r="A780" s="5" t="s">
        <v>1836</v>
      </c>
      <c r="B780" s="22" t="s">
        <v>716</v>
      </c>
      <c r="C780" s="22" t="s">
        <v>787</v>
      </c>
      <c r="D780" s="18" t="s">
        <v>1837</v>
      </c>
      <c r="E780" s="24" t="str">
        <f t="shared" si="76"/>
        <v>U0030601E006</v>
      </c>
      <c r="F780" s="13">
        <v>44443</v>
      </c>
      <c r="G780" s="13">
        <v>44444</v>
      </c>
      <c r="H780" s="7">
        <f t="shared" ca="1" si="77"/>
        <v>-659</v>
      </c>
      <c r="I780" s="13">
        <v>44444</v>
      </c>
      <c r="J780" s="9">
        <f t="shared" ca="1" si="78"/>
        <v>0</v>
      </c>
      <c r="K780" s="10"/>
      <c r="L780" s="10" t="str">
        <f t="shared" si="79"/>
        <v>Accepted</v>
      </c>
      <c r="M780" s="11">
        <v>0</v>
      </c>
      <c r="N780" s="10" t="s">
        <v>18</v>
      </c>
      <c r="O780" s="42">
        <f t="shared" si="80"/>
        <v>15000</v>
      </c>
      <c r="P780" s="10" t="s">
        <v>19</v>
      </c>
    </row>
    <row r="781" spans="1:16" s="22" customFormat="1" ht="14.25" customHeight="1" x14ac:dyDescent="0.25">
      <c r="A781" s="5" t="s">
        <v>1838</v>
      </c>
      <c r="B781" s="22" t="s">
        <v>716</v>
      </c>
      <c r="C781" s="22" t="s">
        <v>752</v>
      </c>
      <c r="D781" s="18" t="s">
        <v>1839</v>
      </c>
      <c r="E781" s="24" t="str">
        <f t="shared" si="76"/>
        <v>S0301611E003</v>
      </c>
      <c r="F781" s="13">
        <v>44443</v>
      </c>
      <c r="G781" s="13">
        <v>44444</v>
      </c>
      <c r="H781" s="7">
        <f t="shared" ca="1" si="77"/>
        <v>-659</v>
      </c>
      <c r="I781" s="13">
        <v>44444</v>
      </c>
      <c r="J781" s="9">
        <f t="shared" ca="1" si="78"/>
        <v>0</v>
      </c>
      <c r="K781" s="10"/>
      <c r="L781" s="10" t="str">
        <f t="shared" si="79"/>
        <v>Accepted</v>
      </c>
      <c r="M781" s="11">
        <v>0</v>
      </c>
      <c r="N781" s="10" t="s">
        <v>18</v>
      </c>
      <c r="O781" s="42">
        <f t="shared" si="80"/>
        <v>15000</v>
      </c>
      <c r="P781" s="10" t="s">
        <v>19</v>
      </c>
    </row>
    <row r="782" spans="1:16" s="22" customFormat="1" ht="14.25" customHeight="1" x14ac:dyDescent="0.25">
      <c r="A782" s="5" t="s">
        <v>1840</v>
      </c>
      <c r="B782" s="22" t="s">
        <v>716</v>
      </c>
      <c r="C782" s="22" t="s">
        <v>752</v>
      </c>
      <c r="D782" s="18" t="s">
        <v>1841</v>
      </c>
      <c r="E782" s="24" t="str">
        <f t="shared" si="76"/>
        <v>S0301661E003</v>
      </c>
      <c r="F782" s="13">
        <v>44443</v>
      </c>
      <c r="G782" s="13">
        <v>44444</v>
      </c>
      <c r="H782" s="7">
        <f t="shared" ca="1" si="77"/>
        <v>-659</v>
      </c>
      <c r="I782" s="13">
        <v>44444</v>
      </c>
      <c r="J782" s="9">
        <f t="shared" ca="1" si="78"/>
        <v>0</v>
      </c>
      <c r="K782" s="10"/>
      <c r="L782" s="10" t="str">
        <f t="shared" si="79"/>
        <v>Accepted</v>
      </c>
      <c r="M782" s="11">
        <v>0</v>
      </c>
      <c r="N782" s="10" t="s">
        <v>18</v>
      </c>
      <c r="O782" s="42">
        <f t="shared" si="80"/>
        <v>15000</v>
      </c>
      <c r="P782" s="10" t="s">
        <v>19</v>
      </c>
    </row>
    <row r="783" spans="1:16" s="22" customFormat="1" ht="14.25" customHeight="1" x14ac:dyDescent="0.25">
      <c r="A783" s="5" t="s">
        <v>1842</v>
      </c>
      <c r="B783" s="22" t="s">
        <v>716</v>
      </c>
      <c r="C783" s="22" t="s">
        <v>752</v>
      </c>
      <c r="D783" s="18" t="s">
        <v>1843</v>
      </c>
      <c r="E783" s="24" t="str">
        <f t="shared" si="76"/>
        <v>S0301662E001</v>
      </c>
      <c r="F783" s="13">
        <v>44443</v>
      </c>
      <c r="G783" s="13">
        <v>44444</v>
      </c>
      <c r="H783" s="7">
        <f t="shared" ca="1" si="77"/>
        <v>-659</v>
      </c>
      <c r="I783" s="13">
        <v>44444</v>
      </c>
      <c r="J783" s="9">
        <f t="shared" ca="1" si="78"/>
        <v>0</v>
      </c>
      <c r="K783" s="10"/>
      <c r="L783" s="10" t="str">
        <f t="shared" si="79"/>
        <v>Accepted</v>
      </c>
      <c r="M783" s="11">
        <v>0</v>
      </c>
      <c r="N783" s="10" t="s">
        <v>18</v>
      </c>
      <c r="O783" s="42">
        <f t="shared" si="80"/>
        <v>15000</v>
      </c>
      <c r="P783" s="10" t="s">
        <v>19</v>
      </c>
    </row>
    <row r="784" spans="1:16" s="22" customFormat="1" ht="14.25" customHeight="1" x14ac:dyDescent="0.25">
      <c r="A784" s="5" t="s">
        <v>1844</v>
      </c>
      <c r="B784" s="22" t="s">
        <v>716</v>
      </c>
      <c r="C784" s="22" t="s">
        <v>752</v>
      </c>
      <c r="D784" s="18" t="s">
        <v>1845</v>
      </c>
      <c r="E784" s="24" t="str">
        <f t="shared" si="76"/>
        <v>S0301671E001</v>
      </c>
      <c r="F784" s="13">
        <v>44443</v>
      </c>
      <c r="G784" s="13">
        <v>44444</v>
      </c>
      <c r="H784" s="7">
        <f t="shared" ca="1" si="77"/>
        <v>-659</v>
      </c>
      <c r="I784" s="13">
        <v>44444</v>
      </c>
      <c r="J784" s="9">
        <f t="shared" ca="1" si="78"/>
        <v>0</v>
      </c>
      <c r="K784" s="10"/>
      <c r="L784" s="10" t="str">
        <f t="shared" si="79"/>
        <v>Accepted</v>
      </c>
      <c r="M784" s="11">
        <v>0</v>
      </c>
      <c r="N784" s="10" t="s">
        <v>18</v>
      </c>
      <c r="O784" s="42">
        <f t="shared" si="80"/>
        <v>15000</v>
      </c>
      <c r="P784" s="10" t="s">
        <v>19</v>
      </c>
    </row>
    <row r="785" spans="1:16" s="22" customFormat="1" ht="14.25" customHeight="1" x14ac:dyDescent="0.25">
      <c r="A785" s="5" t="s">
        <v>1848</v>
      </c>
      <c r="B785" s="22" t="s">
        <v>716</v>
      </c>
      <c r="C785" s="22" t="s">
        <v>752</v>
      </c>
      <c r="D785" s="18" t="s">
        <v>1849</v>
      </c>
      <c r="E785" s="24" t="str">
        <f t="shared" si="76"/>
        <v>S0301701a001</v>
      </c>
      <c r="F785" s="13">
        <v>44443</v>
      </c>
      <c r="G785" s="13">
        <v>44444</v>
      </c>
      <c r="H785" s="7">
        <f t="shared" ca="1" si="77"/>
        <v>-659</v>
      </c>
      <c r="I785" s="13">
        <v>44444</v>
      </c>
      <c r="J785" s="9">
        <f t="shared" ca="1" si="78"/>
        <v>0</v>
      </c>
      <c r="K785" s="10"/>
      <c r="L785" s="10" t="str">
        <f t="shared" si="79"/>
        <v>Accepted</v>
      </c>
      <c r="M785" s="11">
        <v>0</v>
      </c>
      <c r="N785" s="10" t="s">
        <v>18</v>
      </c>
      <c r="O785" s="42">
        <f t="shared" si="80"/>
        <v>15000</v>
      </c>
      <c r="P785" s="10" t="s">
        <v>19</v>
      </c>
    </row>
    <row r="786" spans="1:16" s="22" customFormat="1" ht="14.25" customHeight="1" x14ac:dyDescent="0.25">
      <c r="A786" s="5" t="s">
        <v>1850</v>
      </c>
      <c r="B786" s="22" t="s">
        <v>716</v>
      </c>
      <c r="C786" s="22" t="s">
        <v>752</v>
      </c>
      <c r="D786" s="18" t="s">
        <v>1851</v>
      </c>
      <c r="E786" s="24" t="str">
        <f t="shared" si="76"/>
        <v>S0301701b001</v>
      </c>
      <c r="F786" s="13">
        <v>44443</v>
      </c>
      <c r="G786" s="13">
        <v>44444</v>
      </c>
      <c r="H786" s="7">
        <f t="shared" ca="1" si="77"/>
        <v>-659</v>
      </c>
      <c r="I786" s="13">
        <v>44444</v>
      </c>
      <c r="J786" s="9">
        <f t="shared" ca="1" si="78"/>
        <v>0</v>
      </c>
      <c r="K786" s="10"/>
      <c r="L786" s="10" t="str">
        <f t="shared" si="79"/>
        <v>Accepted</v>
      </c>
      <c r="M786" s="11">
        <v>0</v>
      </c>
      <c r="N786" s="10" t="s">
        <v>18</v>
      </c>
      <c r="O786" s="42">
        <f t="shared" si="80"/>
        <v>15000</v>
      </c>
      <c r="P786" s="10" t="s">
        <v>19</v>
      </c>
    </row>
    <row r="787" spans="1:16" s="22" customFormat="1" ht="14.25" customHeight="1" x14ac:dyDescent="0.25">
      <c r="A787" s="5" t="s">
        <v>1852</v>
      </c>
      <c r="B787" s="22" t="s">
        <v>716</v>
      </c>
      <c r="C787" s="22" t="s">
        <v>752</v>
      </c>
      <c r="D787" s="18" t="s">
        <v>1853</v>
      </c>
      <c r="E787" s="24" t="str">
        <f t="shared" si="76"/>
        <v>S0301711a002</v>
      </c>
      <c r="F787" s="13">
        <v>44443</v>
      </c>
      <c r="G787" s="13">
        <v>44444</v>
      </c>
      <c r="H787" s="7">
        <f t="shared" ca="1" si="77"/>
        <v>-659</v>
      </c>
      <c r="I787" s="13">
        <v>44444</v>
      </c>
      <c r="J787" s="9">
        <f t="shared" ca="1" si="78"/>
        <v>0</v>
      </c>
      <c r="K787" s="10"/>
      <c r="L787" s="10" t="str">
        <f t="shared" si="79"/>
        <v>Accepted</v>
      </c>
      <c r="M787" s="11">
        <v>0</v>
      </c>
      <c r="N787" s="10" t="s">
        <v>18</v>
      </c>
      <c r="O787" s="42">
        <f t="shared" si="80"/>
        <v>15000</v>
      </c>
      <c r="P787" s="10" t="s">
        <v>19</v>
      </c>
    </row>
    <row r="788" spans="1:16" s="22" customFormat="1" ht="14.25" customHeight="1" x14ac:dyDescent="0.25">
      <c r="A788" s="5" t="s">
        <v>1834</v>
      </c>
      <c r="B788" s="22" t="s">
        <v>716</v>
      </c>
      <c r="C788" s="22" t="s">
        <v>787</v>
      </c>
      <c r="D788" s="18" t="s">
        <v>1835</v>
      </c>
      <c r="E788" s="24" t="str">
        <f t="shared" si="76"/>
        <v>U0030601E005</v>
      </c>
      <c r="F788" s="13">
        <v>44443</v>
      </c>
      <c r="G788" s="13">
        <f>F788+7</f>
        <v>44450</v>
      </c>
      <c r="H788" s="7">
        <f t="shared" ca="1" si="77"/>
        <v>-653</v>
      </c>
      <c r="I788" s="13">
        <v>44444</v>
      </c>
      <c r="J788" s="9">
        <f t="shared" ca="1" si="78"/>
        <v>660</v>
      </c>
      <c r="K788" s="10" t="s">
        <v>663</v>
      </c>
      <c r="L788" s="10" t="str">
        <f t="shared" si="79"/>
        <v>Rejected</v>
      </c>
      <c r="M788" s="11">
        <v>2</v>
      </c>
      <c r="N788" s="10" t="s">
        <v>18</v>
      </c>
      <c r="O788" s="42">
        <f t="shared" si="80"/>
        <v>0</v>
      </c>
      <c r="P788" s="10" t="s">
        <v>2485</v>
      </c>
    </row>
    <row r="789" spans="1:16" s="22" customFormat="1" ht="14.25" customHeight="1" x14ac:dyDescent="0.25">
      <c r="A789" s="5" t="s">
        <v>1886</v>
      </c>
      <c r="B789" s="22" t="s">
        <v>716</v>
      </c>
      <c r="C789" s="22" t="s">
        <v>787</v>
      </c>
      <c r="D789" s="18" t="s">
        <v>1887</v>
      </c>
      <c r="E789" s="24" t="str">
        <f t="shared" si="76"/>
        <v>S0810122E005</v>
      </c>
      <c r="F789" s="13">
        <v>44445</v>
      </c>
      <c r="G789" s="13">
        <v>44448</v>
      </c>
      <c r="H789" s="7">
        <f t="shared" ca="1" si="77"/>
        <v>-655</v>
      </c>
      <c r="I789" s="13">
        <v>44446</v>
      </c>
      <c r="J789" s="9">
        <f t="shared" ca="1" si="78"/>
        <v>0</v>
      </c>
      <c r="K789" s="10"/>
      <c r="L789" s="10" t="str">
        <f t="shared" si="79"/>
        <v>Accepted</v>
      </c>
      <c r="M789" s="11">
        <v>0</v>
      </c>
      <c r="N789" s="10" t="s">
        <v>18</v>
      </c>
      <c r="O789" s="42">
        <f t="shared" si="80"/>
        <v>15000</v>
      </c>
      <c r="P789" s="10" t="s">
        <v>19</v>
      </c>
    </row>
    <row r="790" spans="1:16" s="22" customFormat="1" ht="14.25" customHeight="1" x14ac:dyDescent="0.25">
      <c r="A790" s="5" t="s">
        <v>1888</v>
      </c>
      <c r="B790" s="22" t="s">
        <v>716</v>
      </c>
      <c r="C790" s="22" t="s">
        <v>787</v>
      </c>
      <c r="D790" s="18" t="s">
        <v>1889</v>
      </c>
      <c r="E790" s="24" t="str">
        <f t="shared" si="76"/>
        <v>S0810151P006</v>
      </c>
      <c r="F790" s="13">
        <v>44445</v>
      </c>
      <c r="G790" s="13">
        <v>44448</v>
      </c>
      <c r="H790" s="7">
        <f t="shared" ca="1" si="77"/>
        <v>-655</v>
      </c>
      <c r="I790" s="13">
        <v>44446</v>
      </c>
      <c r="J790" s="9">
        <f t="shared" ca="1" si="78"/>
        <v>0</v>
      </c>
      <c r="K790" s="10"/>
      <c r="L790" s="10" t="str">
        <f t="shared" si="79"/>
        <v>Accepted</v>
      </c>
      <c r="M790" s="11">
        <v>0</v>
      </c>
      <c r="N790" s="10" t="s">
        <v>18</v>
      </c>
      <c r="O790" s="42">
        <f t="shared" si="80"/>
        <v>15000</v>
      </c>
      <c r="P790" s="10" t="s">
        <v>19</v>
      </c>
    </row>
    <row r="791" spans="1:16" s="22" customFormat="1" ht="14.25" customHeight="1" x14ac:dyDescent="0.25">
      <c r="A791" s="5" t="s">
        <v>1890</v>
      </c>
      <c r="B791" s="22" t="s">
        <v>716</v>
      </c>
      <c r="C791" s="22" t="s">
        <v>787</v>
      </c>
      <c r="D791" s="18" t="s">
        <v>1891</v>
      </c>
      <c r="E791" s="24" t="str">
        <f t="shared" si="76"/>
        <v>S0810194E001</v>
      </c>
      <c r="F791" s="13">
        <v>44445</v>
      </c>
      <c r="G791" s="13">
        <v>44448</v>
      </c>
      <c r="H791" s="7">
        <f t="shared" ca="1" si="77"/>
        <v>-655</v>
      </c>
      <c r="I791" s="13">
        <v>44446</v>
      </c>
      <c r="J791" s="9">
        <f t="shared" ca="1" si="78"/>
        <v>0</v>
      </c>
      <c r="K791" s="10"/>
      <c r="L791" s="10" t="str">
        <f t="shared" si="79"/>
        <v>Accepted</v>
      </c>
      <c r="M791" s="11">
        <v>0</v>
      </c>
      <c r="N791" s="10" t="s">
        <v>18</v>
      </c>
      <c r="O791" s="42">
        <f t="shared" si="80"/>
        <v>15000</v>
      </c>
      <c r="P791" s="10" t="s">
        <v>19</v>
      </c>
    </row>
    <row r="792" spans="1:16" s="22" customFormat="1" ht="14.25" customHeight="1" x14ac:dyDescent="0.25">
      <c r="A792" s="5" t="s">
        <v>1892</v>
      </c>
      <c r="B792" s="22" t="s">
        <v>716</v>
      </c>
      <c r="C792" s="22" t="s">
        <v>787</v>
      </c>
      <c r="D792" s="18" t="s">
        <v>1893</v>
      </c>
      <c r="E792" s="24" t="str">
        <f t="shared" si="76"/>
        <v>S0810202E004</v>
      </c>
      <c r="F792" s="13">
        <v>44445</v>
      </c>
      <c r="G792" s="13">
        <v>44448</v>
      </c>
      <c r="H792" s="7">
        <f t="shared" ca="1" si="77"/>
        <v>-655</v>
      </c>
      <c r="I792" s="13">
        <v>44446</v>
      </c>
      <c r="J792" s="9">
        <f t="shared" ca="1" si="78"/>
        <v>0</v>
      </c>
      <c r="K792" s="10"/>
      <c r="L792" s="10" t="str">
        <f t="shared" si="79"/>
        <v>Accepted</v>
      </c>
      <c r="M792" s="11">
        <v>0</v>
      </c>
      <c r="N792" s="10" t="s">
        <v>18</v>
      </c>
      <c r="O792" s="42">
        <f t="shared" si="80"/>
        <v>15000</v>
      </c>
      <c r="P792" s="10" t="s">
        <v>19</v>
      </c>
    </row>
    <row r="793" spans="1:16" s="22" customFormat="1" ht="14.25" customHeight="1" x14ac:dyDescent="0.25">
      <c r="A793" s="5" t="s">
        <v>1872</v>
      </c>
      <c r="B793" s="22" t="s">
        <v>716</v>
      </c>
      <c r="C793" s="22" t="s">
        <v>1043</v>
      </c>
      <c r="D793" s="18" t="s">
        <v>1873</v>
      </c>
      <c r="E793" s="24" t="str">
        <f t="shared" si="76"/>
        <v>S0811441E003</v>
      </c>
      <c r="F793" s="13">
        <v>44445</v>
      </c>
      <c r="G793" s="13">
        <v>44448</v>
      </c>
      <c r="H793" s="7">
        <f t="shared" ca="1" si="77"/>
        <v>-655</v>
      </c>
      <c r="I793" s="13">
        <v>44447</v>
      </c>
      <c r="J793" s="9">
        <f t="shared" ca="1" si="78"/>
        <v>0</v>
      </c>
      <c r="K793" s="10"/>
      <c r="L793" s="10" t="str">
        <f t="shared" si="79"/>
        <v>Accepted</v>
      </c>
      <c r="M793" s="11">
        <v>0</v>
      </c>
      <c r="N793" s="10" t="s">
        <v>18</v>
      </c>
      <c r="O793" s="42">
        <f t="shared" si="80"/>
        <v>15000</v>
      </c>
      <c r="P793" s="10" t="s">
        <v>19</v>
      </c>
    </row>
    <row r="794" spans="1:16" s="22" customFormat="1" ht="14.25" customHeight="1" x14ac:dyDescent="0.25">
      <c r="A794" s="5" t="s">
        <v>1874</v>
      </c>
      <c r="B794" s="22" t="s">
        <v>716</v>
      </c>
      <c r="C794" s="22" t="s">
        <v>1043</v>
      </c>
      <c r="D794" s="18" t="s">
        <v>1875</v>
      </c>
      <c r="E794" s="24" t="str">
        <f t="shared" si="76"/>
        <v>S0811601E007</v>
      </c>
      <c r="F794" s="13">
        <v>44445</v>
      </c>
      <c r="G794" s="13">
        <v>44448</v>
      </c>
      <c r="H794" s="7">
        <f t="shared" ca="1" si="77"/>
        <v>-655</v>
      </c>
      <c r="I794" s="13">
        <v>44447</v>
      </c>
      <c r="J794" s="9">
        <f t="shared" ca="1" si="78"/>
        <v>0</v>
      </c>
      <c r="K794" s="10"/>
      <c r="L794" s="10" t="str">
        <f t="shared" si="79"/>
        <v>Accepted</v>
      </c>
      <c r="M794" s="11">
        <v>0</v>
      </c>
      <c r="N794" s="10" t="s">
        <v>18</v>
      </c>
      <c r="O794" s="42">
        <f t="shared" si="80"/>
        <v>15000</v>
      </c>
      <c r="P794" s="10" t="s">
        <v>19</v>
      </c>
    </row>
    <row r="795" spans="1:16" s="22" customFormat="1" ht="14.25" customHeight="1" x14ac:dyDescent="0.25">
      <c r="A795" s="5" t="s">
        <v>1876</v>
      </c>
      <c r="B795" s="22" t="s">
        <v>716</v>
      </c>
      <c r="C795" s="22" t="s">
        <v>1043</v>
      </c>
      <c r="D795" s="18" t="s">
        <v>1877</v>
      </c>
      <c r="E795" s="24" t="str">
        <f t="shared" si="76"/>
        <v>T0093812E001</v>
      </c>
      <c r="F795" s="13">
        <v>44445</v>
      </c>
      <c r="G795" s="13">
        <v>44448</v>
      </c>
      <c r="H795" s="7">
        <f t="shared" ca="1" si="77"/>
        <v>-655</v>
      </c>
      <c r="I795" s="13">
        <v>44447</v>
      </c>
      <c r="J795" s="9">
        <f t="shared" ca="1" si="78"/>
        <v>0</v>
      </c>
      <c r="K795" s="10"/>
      <c r="L795" s="10" t="str">
        <f t="shared" si="79"/>
        <v>Accepted</v>
      </c>
      <c r="M795" s="11">
        <v>0</v>
      </c>
      <c r="N795" s="10" t="s">
        <v>18</v>
      </c>
      <c r="O795" s="42">
        <f t="shared" si="80"/>
        <v>15000</v>
      </c>
      <c r="P795" s="10" t="s">
        <v>19</v>
      </c>
    </row>
    <row r="796" spans="1:16" s="22" customFormat="1" ht="14.25" customHeight="1" x14ac:dyDescent="0.25">
      <c r="A796" s="5" t="s">
        <v>1878</v>
      </c>
      <c r="B796" s="22" t="s">
        <v>716</v>
      </c>
      <c r="C796" s="22" t="s">
        <v>1043</v>
      </c>
      <c r="D796" s="18" t="s">
        <v>1879</v>
      </c>
      <c r="E796" s="24" t="str">
        <f t="shared" si="76"/>
        <v>S0911531E002</v>
      </c>
      <c r="F796" s="13">
        <v>44445</v>
      </c>
      <c r="G796" s="13">
        <v>44448</v>
      </c>
      <c r="H796" s="7">
        <f t="shared" ca="1" si="77"/>
        <v>-655</v>
      </c>
      <c r="I796" s="13">
        <v>44447</v>
      </c>
      <c r="J796" s="9">
        <f t="shared" ca="1" si="78"/>
        <v>0</v>
      </c>
      <c r="K796" s="10"/>
      <c r="L796" s="10" t="str">
        <f t="shared" si="79"/>
        <v>Accepted</v>
      </c>
      <c r="M796" s="11">
        <v>0</v>
      </c>
      <c r="N796" s="10" t="s">
        <v>18</v>
      </c>
      <c r="O796" s="42">
        <f t="shared" si="80"/>
        <v>15000</v>
      </c>
      <c r="P796" s="10" t="s">
        <v>19</v>
      </c>
    </row>
    <row r="797" spans="1:16" s="22" customFormat="1" ht="14.25" customHeight="1" x14ac:dyDescent="0.25">
      <c r="A797" s="5" t="s">
        <v>1880</v>
      </c>
      <c r="B797" s="22" t="s">
        <v>716</v>
      </c>
      <c r="C797" s="22" t="s">
        <v>787</v>
      </c>
      <c r="D797" s="18" t="s">
        <v>1881</v>
      </c>
      <c r="E797" s="24" t="str">
        <f t="shared" si="76"/>
        <v>T007J802P001</v>
      </c>
      <c r="F797" s="13">
        <v>44445</v>
      </c>
      <c r="G797" s="13">
        <v>44448</v>
      </c>
      <c r="H797" s="7">
        <f t="shared" ca="1" si="77"/>
        <v>-655</v>
      </c>
      <c r="I797" s="13">
        <v>44447</v>
      </c>
      <c r="J797" s="9">
        <f t="shared" ca="1" si="78"/>
        <v>0</v>
      </c>
      <c r="K797" s="10"/>
      <c r="L797" s="10" t="str">
        <f t="shared" si="79"/>
        <v>Accepted</v>
      </c>
      <c r="M797" s="11">
        <v>0</v>
      </c>
      <c r="N797" s="10" t="s">
        <v>18</v>
      </c>
      <c r="O797" s="42">
        <f t="shared" si="80"/>
        <v>15000</v>
      </c>
      <c r="P797" s="10" t="s">
        <v>19</v>
      </c>
    </row>
    <row r="798" spans="1:16" s="22" customFormat="1" ht="14.25" customHeight="1" x14ac:dyDescent="0.25">
      <c r="A798" s="5" t="s">
        <v>1882</v>
      </c>
      <c r="B798" s="22" t="s">
        <v>716</v>
      </c>
      <c r="C798" s="22" t="s">
        <v>787</v>
      </c>
      <c r="D798" s="18" t="s">
        <v>1883</v>
      </c>
      <c r="E798" s="24" t="str">
        <f t="shared" si="76"/>
        <v>S0810431P007</v>
      </c>
      <c r="F798" s="13">
        <v>44445</v>
      </c>
      <c r="G798" s="13">
        <v>44448</v>
      </c>
      <c r="H798" s="7">
        <f t="shared" ca="1" si="77"/>
        <v>-655</v>
      </c>
      <c r="I798" s="13">
        <v>44447</v>
      </c>
      <c r="J798" s="9">
        <f t="shared" ca="1" si="78"/>
        <v>0</v>
      </c>
      <c r="K798" s="10"/>
      <c r="L798" s="10" t="str">
        <f t="shared" si="79"/>
        <v>Accepted</v>
      </c>
      <c r="M798" s="11">
        <v>0</v>
      </c>
      <c r="N798" s="10" t="s">
        <v>18</v>
      </c>
      <c r="O798" s="42">
        <f t="shared" si="80"/>
        <v>15000</v>
      </c>
      <c r="P798" s="10" t="s">
        <v>19</v>
      </c>
    </row>
    <row r="799" spans="1:16" s="22" customFormat="1" ht="14.25" customHeight="1" x14ac:dyDescent="0.25">
      <c r="A799" s="5" t="s">
        <v>1884</v>
      </c>
      <c r="B799" s="22" t="s">
        <v>716</v>
      </c>
      <c r="C799" s="22" t="s">
        <v>787</v>
      </c>
      <c r="D799" s="18" t="s">
        <v>1885</v>
      </c>
      <c r="E799" s="24" t="str">
        <f t="shared" si="76"/>
        <v>S0810262E004</v>
      </c>
      <c r="F799" s="13">
        <v>44445</v>
      </c>
      <c r="G799" s="13">
        <v>44448</v>
      </c>
      <c r="H799" s="7">
        <f t="shared" ca="1" si="77"/>
        <v>-655</v>
      </c>
      <c r="I799" s="13">
        <v>44447</v>
      </c>
      <c r="J799" s="9">
        <f t="shared" ca="1" si="78"/>
        <v>0</v>
      </c>
      <c r="K799" s="10"/>
      <c r="L799" s="10" t="str">
        <f t="shared" si="79"/>
        <v>Accepted</v>
      </c>
      <c r="M799" s="11">
        <v>0</v>
      </c>
      <c r="N799" s="10" t="s">
        <v>18</v>
      </c>
      <c r="O799" s="42">
        <f t="shared" si="80"/>
        <v>15000</v>
      </c>
      <c r="P799" s="10" t="s">
        <v>19</v>
      </c>
    </row>
    <row r="800" spans="1:16" s="22" customFormat="1" ht="14.25" customHeight="1" x14ac:dyDescent="0.25">
      <c r="A800" s="5" t="s">
        <v>1894</v>
      </c>
      <c r="B800" s="22" t="s">
        <v>716</v>
      </c>
      <c r="C800" s="22" t="s">
        <v>787</v>
      </c>
      <c r="D800" s="18" t="s">
        <v>1895</v>
      </c>
      <c r="E800" s="24" t="str">
        <f t="shared" si="76"/>
        <v>S0810211E001</v>
      </c>
      <c r="F800" s="13">
        <v>44445</v>
      </c>
      <c r="G800" s="13">
        <v>44448</v>
      </c>
      <c r="H800" s="7">
        <f t="shared" ca="1" si="77"/>
        <v>-655</v>
      </c>
      <c r="I800" s="13">
        <v>44447</v>
      </c>
      <c r="J800" s="9">
        <f t="shared" ca="1" si="78"/>
        <v>0</v>
      </c>
      <c r="K800" s="10"/>
      <c r="L800" s="10" t="str">
        <f t="shared" si="79"/>
        <v>Accepted</v>
      </c>
      <c r="M800" s="11">
        <v>0</v>
      </c>
      <c r="N800" s="10" t="s">
        <v>18</v>
      </c>
      <c r="O800" s="42">
        <f t="shared" si="80"/>
        <v>15000</v>
      </c>
      <c r="P800" s="10" t="s">
        <v>19</v>
      </c>
    </row>
    <row r="801" spans="1:16" s="22" customFormat="1" ht="14.25" customHeight="1" x14ac:dyDescent="0.25">
      <c r="A801" s="5" t="s">
        <v>1898</v>
      </c>
      <c r="B801" s="22" t="s">
        <v>716</v>
      </c>
      <c r="C801" s="22" t="s">
        <v>787</v>
      </c>
      <c r="D801" s="18" t="s">
        <v>1899</v>
      </c>
      <c r="E801" s="24" t="str">
        <f t="shared" si="76"/>
        <v>S0810231E007</v>
      </c>
      <c r="F801" s="13">
        <v>44445</v>
      </c>
      <c r="G801" s="13">
        <v>44448</v>
      </c>
      <c r="H801" s="7">
        <f t="shared" ca="1" si="77"/>
        <v>-655</v>
      </c>
      <c r="I801" s="13">
        <v>44447</v>
      </c>
      <c r="J801" s="9">
        <f t="shared" ca="1" si="78"/>
        <v>0</v>
      </c>
      <c r="K801" s="10"/>
      <c r="L801" s="10" t="str">
        <f t="shared" si="79"/>
        <v>Accepted</v>
      </c>
      <c r="M801" s="11">
        <v>0</v>
      </c>
      <c r="N801" s="10" t="s">
        <v>18</v>
      </c>
      <c r="O801" s="42">
        <f t="shared" si="80"/>
        <v>15000</v>
      </c>
      <c r="P801" s="10" t="s">
        <v>19</v>
      </c>
    </row>
    <row r="802" spans="1:16" s="22" customFormat="1" ht="14.25" customHeight="1" x14ac:dyDescent="0.25">
      <c r="A802" s="5" t="s">
        <v>1900</v>
      </c>
      <c r="B802" s="22" t="s">
        <v>716</v>
      </c>
      <c r="C802" s="22" t="s">
        <v>787</v>
      </c>
      <c r="D802" s="18" t="s">
        <v>1901</v>
      </c>
      <c r="E802" s="24" t="str">
        <f t="shared" si="76"/>
        <v>S0810272E001</v>
      </c>
      <c r="F802" s="13">
        <v>44445</v>
      </c>
      <c r="G802" s="13">
        <v>44448</v>
      </c>
      <c r="H802" s="7">
        <f t="shared" ca="1" si="77"/>
        <v>-655</v>
      </c>
      <c r="I802" s="13">
        <v>44447</v>
      </c>
      <c r="J802" s="9">
        <f t="shared" ca="1" si="78"/>
        <v>0</v>
      </c>
      <c r="K802" s="10"/>
      <c r="L802" s="10" t="str">
        <f t="shared" si="79"/>
        <v>Accepted</v>
      </c>
      <c r="M802" s="11">
        <v>0</v>
      </c>
      <c r="N802" s="10" t="s">
        <v>18</v>
      </c>
      <c r="O802" s="42">
        <f t="shared" si="80"/>
        <v>15000</v>
      </c>
      <c r="P802" s="10" t="s">
        <v>19</v>
      </c>
    </row>
    <row r="803" spans="1:16" s="22" customFormat="1" ht="14.25" customHeight="1" x14ac:dyDescent="0.25">
      <c r="A803" s="5" t="s">
        <v>1902</v>
      </c>
      <c r="B803" s="22" t="s">
        <v>716</v>
      </c>
      <c r="C803" s="22" t="s">
        <v>787</v>
      </c>
      <c r="D803" s="18" t="s">
        <v>1903</v>
      </c>
      <c r="E803" s="24" t="str">
        <f t="shared" si="76"/>
        <v>S0810282E002</v>
      </c>
      <c r="F803" s="13">
        <v>44445</v>
      </c>
      <c r="G803" s="13">
        <v>44448</v>
      </c>
      <c r="H803" s="7">
        <f t="shared" ca="1" si="77"/>
        <v>-655</v>
      </c>
      <c r="I803" s="13">
        <v>44447</v>
      </c>
      <c r="J803" s="9">
        <f t="shared" ca="1" si="78"/>
        <v>0</v>
      </c>
      <c r="K803" s="10"/>
      <c r="L803" s="10" t="str">
        <f t="shared" si="79"/>
        <v>Accepted</v>
      </c>
      <c r="M803" s="11">
        <v>0</v>
      </c>
      <c r="N803" s="10" t="s">
        <v>18</v>
      </c>
      <c r="O803" s="42">
        <f t="shared" si="80"/>
        <v>15000</v>
      </c>
      <c r="P803" s="10" t="s">
        <v>19</v>
      </c>
    </row>
    <row r="804" spans="1:16" s="22" customFormat="1" ht="14.25" customHeight="1" x14ac:dyDescent="0.25">
      <c r="A804" s="5" t="s">
        <v>1904</v>
      </c>
      <c r="B804" s="22" t="s">
        <v>716</v>
      </c>
      <c r="C804" s="22" t="s">
        <v>787</v>
      </c>
      <c r="D804" s="18" t="s">
        <v>1905</v>
      </c>
      <c r="E804" s="24" t="str">
        <f t="shared" si="76"/>
        <v>S0810284E002</v>
      </c>
      <c r="F804" s="13">
        <v>44445</v>
      </c>
      <c r="G804" s="13">
        <v>44448</v>
      </c>
      <c r="H804" s="7">
        <f t="shared" ca="1" si="77"/>
        <v>-655</v>
      </c>
      <c r="I804" s="13">
        <v>44447</v>
      </c>
      <c r="J804" s="9">
        <f t="shared" ca="1" si="78"/>
        <v>0</v>
      </c>
      <c r="K804" s="10"/>
      <c r="L804" s="10" t="str">
        <f t="shared" si="79"/>
        <v>Accepted</v>
      </c>
      <c r="M804" s="11">
        <v>0</v>
      </c>
      <c r="N804" s="10" t="s">
        <v>18</v>
      </c>
      <c r="O804" s="42">
        <f t="shared" si="80"/>
        <v>15000</v>
      </c>
      <c r="P804" s="10" t="s">
        <v>19</v>
      </c>
    </row>
    <row r="805" spans="1:16" s="22" customFormat="1" ht="14.25" customHeight="1" x14ac:dyDescent="0.25">
      <c r="A805" s="5" t="s">
        <v>1906</v>
      </c>
      <c r="B805" s="22" t="s">
        <v>716</v>
      </c>
      <c r="C805" s="22" t="s">
        <v>787</v>
      </c>
      <c r="D805" s="18" t="s">
        <v>1907</v>
      </c>
      <c r="E805" s="24" t="str">
        <f t="shared" si="76"/>
        <v>S0810291E001</v>
      </c>
      <c r="F805" s="13">
        <v>44445</v>
      </c>
      <c r="G805" s="13">
        <v>44448</v>
      </c>
      <c r="H805" s="7">
        <f t="shared" ca="1" si="77"/>
        <v>-655</v>
      </c>
      <c r="I805" s="13">
        <v>44447</v>
      </c>
      <c r="J805" s="9">
        <f t="shared" ca="1" si="78"/>
        <v>0</v>
      </c>
      <c r="K805" s="10"/>
      <c r="L805" s="10" t="str">
        <f t="shared" si="79"/>
        <v>Accepted</v>
      </c>
      <c r="M805" s="11">
        <v>0</v>
      </c>
      <c r="N805" s="10" t="s">
        <v>18</v>
      </c>
      <c r="O805" s="42">
        <f t="shared" si="80"/>
        <v>15000</v>
      </c>
      <c r="P805" s="10" t="s">
        <v>19</v>
      </c>
    </row>
    <row r="806" spans="1:16" s="22" customFormat="1" ht="14.25" customHeight="1" x14ac:dyDescent="0.25">
      <c r="A806" s="5" t="s">
        <v>1908</v>
      </c>
      <c r="B806" s="22" t="s">
        <v>716</v>
      </c>
      <c r="C806" s="22" t="s">
        <v>787</v>
      </c>
      <c r="D806" s="18" t="s">
        <v>1909</v>
      </c>
      <c r="E806" s="24" t="str">
        <f t="shared" si="76"/>
        <v>S0810292E004</v>
      </c>
      <c r="F806" s="13">
        <v>44445</v>
      </c>
      <c r="G806" s="13">
        <v>44448</v>
      </c>
      <c r="H806" s="7">
        <f t="shared" ca="1" si="77"/>
        <v>-655</v>
      </c>
      <c r="I806" s="13">
        <v>44447</v>
      </c>
      <c r="J806" s="9">
        <f t="shared" ca="1" si="78"/>
        <v>0</v>
      </c>
      <c r="K806" s="10"/>
      <c r="L806" s="10" t="str">
        <f t="shared" si="79"/>
        <v>Accepted</v>
      </c>
      <c r="M806" s="11">
        <v>0</v>
      </c>
      <c r="N806" s="10" t="s">
        <v>18</v>
      </c>
      <c r="O806" s="42">
        <f t="shared" si="80"/>
        <v>15000</v>
      </c>
      <c r="P806" s="10" t="s">
        <v>19</v>
      </c>
    </row>
    <row r="807" spans="1:16" s="22" customFormat="1" ht="14.25" customHeight="1" x14ac:dyDescent="0.25">
      <c r="A807" s="5" t="s">
        <v>1910</v>
      </c>
      <c r="B807" s="22" t="s">
        <v>716</v>
      </c>
      <c r="C807" s="22" t="s">
        <v>787</v>
      </c>
      <c r="D807" s="18" t="s">
        <v>1911</v>
      </c>
      <c r="E807" s="24" t="str">
        <f t="shared" si="76"/>
        <v>S0810294E002</v>
      </c>
      <c r="F807" s="13">
        <v>44445</v>
      </c>
      <c r="G807" s="13">
        <v>44448</v>
      </c>
      <c r="H807" s="7">
        <f t="shared" ca="1" si="77"/>
        <v>-655</v>
      </c>
      <c r="I807" s="13">
        <v>44447</v>
      </c>
      <c r="J807" s="9">
        <f t="shared" ca="1" si="78"/>
        <v>0</v>
      </c>
      <c r="K807" s="10"/>
      <c r="L807" s="10" t="str">
        <f t="shared" si="79"/>
        <v>Accepted</v>
      </c>
      <c r="M807" s="11">
        <v>0</v>
      </c>
      <c r="N807" s="10" t="s">
        <v>18</v>
      </c>
      <c r="O807" s="42">
        <f t="shared" si="80"/>
        <v>15000</v>
      </c>
      <c r="P807" s="10" t="s">
        <v>19</v>
      </c>
    </row>
    <row r="808" spans="1:16" s="22" customFormat="1" ht="14.25" customHeight="1" x14ac:dyDescent="0.25">
      <c r="A808" s="5" t="s">
        <v>1912</v>
      </c>
      <c r="B808" s="22" t="s">
        <v>716</v>
      </c>
      <c r="C808" s="22" t="s">
        <v>787</v>
      </c>
      <c r="D808" s="18" t="s">
        <v>1913</v>
      </c>
      <c r="E808" s="24" t="str">
        <f t="shared" si="76"/>
        <v>S0810301E001</v>
      </c>
      <c r="F808" s="13">
        <v>44445</v>
      </c>
      <c r="G808" s="13">
        <v>44448</v>
      </c>
      <c r="H808" s="7">
        <f t="shared" ca="1" si="77"/>
        <v>-655</v>
      </c>
      <c r="I808" s="13">
        <v>44447</v>
      </c>
      <c r="J808" s="9">
        <f t="shared" ca="1" si="78"/>
        <v>0</v>
      </c>
      <c r="K808" s="10"/>
      <c r="L808" s="10" t="str">
        <f t="shared" si="79"/>
        <v>Accepted</v>
      </c>
      <c r="M808" s="11">
        <v>0</v>
      </c>
      <c r="N808" s="10" t="s">
        <v>18</v>
      </c>
      <c r="O808" s="42">
        <f t="shared" si="80"/>
        <v>15000</v>
      </c>
      <c r="P808" s="10" t="s">
        <v>19</v>
      </c>
    </row>
    <row r="809" spans="1:16" s="22" customFormat="1" ht="14.25" customHeight="1" x14ac:dyDescent="0.25">
      <c r="A809" s="5" t="s">
        <v>1914</v>
      </c>
      <c r="B809" s="22" t="s">
        <v>716</v>
      </c>
      <c r="C809" s="22" t="s">
        <v>787</v>
      </c>
      <c r="D809" s="18" t="s">
        <v>1915</v>
      </c>
      <c r="E809" s="24" t="str">
        <f t="shared" si="76"/>
        <v>S0810302E004</v>
      </c>
      <c r="F809" s="13">
        <v>44445</v>
      </c>
      <c r="G809" s="13">
        <v>44448</v>
      </c>
      <c r="H809" s="7">
        <f t="shared" ca="1" si="77"/>
        <v>-655</v>
      </c>
      <c r="I809" s="13">
        <v>44447</v>
      </c>
      <c r="J809" s="9">
        <f t="shared" ca="1" si="78"/>
        <v>0</v>
      </c>
      <c r="K809" s="10"/>
      <c r="L809" s="10" t="str">
        <f t="shared" si="79"/>
        <v>Accepted</v>
      </c>
      <c r="M809" s="11">
        <v>0</v>
      </c>
      <c r="N809" s="10" t="s">
        <v>18</v>
      </c>
      <c r="O809" s="42">
        <f t="shared" si="80"/>
        <v>15000</v>
      </c>
      <c r="P809" s="10" t="s">
        <v>19</v>
      </c>
    </row>
    <row r="810" spans="1:16" s="22" customFormat="1" ht="14.25" customHeight="1" x14ac:dyDescent="0.25">
      <c r="A810" s="5" t="s">
        <v>1629</v>
      </c>
      <c r="B810" s="22" t="s">
        <v>716</v>
      </c>
      <c r="C810" s="22" t="s">
        <v>932</v>
      </c>
      <c r="D810" s="18" t="s">
        <v>1630</v>
      </c>
      <c r="E810" s="24" t="str">
        <f t="shared" si="76"/>
        <v>S0191672E003</v>
      </c>
      <c r="F810" s="13">
        <v>44424</v>
      </c>
      <c r="G810" s="13">
        <v>44448</v>
      </c>
      <c r="H810" s="7">
        <f t="shared" ca="1" si="77"/>
        <v>-655</v>
      </c>
      <c r="I810" s="13">
        <v>44448</v>
      </c>
      <c r="J810" s="9">
        <f t="shared" ca="1" si="78"/>
        <v>0</v>
      </c>
      <c r="K810" s="10"/>
      <c r="L810" s="10" t="str">
        <f t="shared" si="79"/>
        <v>Accepted</v>
      </c>
      <c r="M810" s="11">
        <v>1</v>
      </c>
      <c r="N810" s="10" t="s">
        <v>18</v>
      </c>
      <c r="O810" s="42">
        <f t="shared" si="80"/>
        <v>15000</v>
      </c>
      <c r="P810" s="10" t="s">
        <v>19</v>
      </c>
    </row>
    <row r="811" spans="1:16" s="22" customFormat="1" ht="14.25" customHeight="1" x14ac:dyDescent="0.25">
      <c r="A811" s="5" t="s">
        <v>1896</v>
      </c>
      <c r="B811" s="22" t="s">
        <v>716</v>
      </c>
      <c r="C811" s="22" t="s">
        <v>787</v>
      </c>
      <c r="D811" s="18" t="s">
        <v>1897</v>
      </c>
      <c r="E811" s="24" t="str">
        <f t="shared" si="76"/>
        <v>S0810231E001</v>
      </c>
      <c r="F811" s="13">
        <v>44445</v>
      </c>
      <c r="G811" s="13">
        <v>44448</v>
      </c>
      <c r="H811" s="7">
        <f t="shared" ca="1" si="77"/>
        <v>-655</v>
      </c>
      <c r="I811" s="13">
        <v>44448</v>
      </c>
      <c r="J811" s="9">
        <f t="shared" ca="1" si="78"/>
        <v>0</v>
      </c>
      <c r="K811" s="10"/>
      <c r="L811" s="10" t="str">
        <f t="shared" si="79"/>
        <v>Accepted</v>
      </c>
      <c r="M811" s="11">
        <v>0</v>
      </c>
      <c r="N811" s="10" t="s">
        <v>18</v>
      </c>
      <c r="O811" s="42">
        <f t="shared" si="80"/>
        <v>15000</v>
      </c>
      <c r="P811" s="10" t="s">
        <v>19</v>
      </c>
    </row>
    <row r="812" spans="1:16" s="22" customFormat="1" ht="14.25" customHeight="1" x14ac:dyDescent="0.25">
      <c r="A812" s="5" t="s">
        <v>1762</v>
      </c>
      <c r="B812" s="22" t="s">
        <v>716</v>
      </c>
      <c r="C812" s="22" t="s">
        <v>1043</v>
      </c>
      <c r="D812" s="18" t="s">
        <v>1763</v>
      </c>
      <c r="E812" s="24" t="str">
        <f t="shared" si="76"/>
        <v>V0070501P020</v>
      </c>
      <c r="F812" s="13">
        <v>44438</v>
      </c>
      <c r="G812" s="13">
        <v>44451</v>
      </c>
      <c r="H812" s="7">
        <f t="shared" ca="1" si="77"/>
        <v>-652</v>
      </c>
      <c r="I812" s="13">
        <v>44450</v>
      </c>
      <c r="J812" s="9">
        <f t="shared" ca="1" si="78"/>
        <v>0</v>
      </c>
      <c r="K812" s="10"/>
      <c r="L812" s="10" t="str">
        <f t="shared" si="79"/>
        <v>Accepted</v>
      </c>
      <c r="M812" s="11">
        <v>0</v>
      </c>
      <c r="N812" s="10" t="s">
        <v>18</v>
      </c>
      <c r="O812" s="42">
        <f t="shared" si="80"/>
        <v>15000</v>
      </c>
      <c r="P812" s="10" t="s">
        <v>19</v>
      </c>
    </row>
    <row r="813" spans="1:16" s="22" customFormat="1" ht="14.25" customHeight="1" x14ac:dyDescent="0.25">
      <c r="A813" s="5" t="s">
        <v>1832</v>
      </c>
      <c r="B813" s="22" t="s">
        <v>716</v>
      </c>
      <c r="C813" s="22" t="s">
        <v>752</v>
      </c>
      <c r="D813" s="18" t="s">
        <v>1833</v>
      </c>
      <c r="E813" s="24" t="str">
        <f t="shared" si="76"/>
        <v>S0301701c001</v>
      </c>
      <c r="F813" s="13">
        <v>44443</v>
      </c>
      <c r="G813" s="13">
        <v>44451</v>
      </c>
      <c r="H813" s="7">
        <f t="shared" ca="1" si="77"/>
        <v>-652</v>
      </c>
      <c r="I813" s="13">
        <v>44450</v>
      </c>
      <c r="J813" s="9">
        <f t="shared" ca="1" si="78"/>
        <v>0</v>
      </c>
      <c r="K813" s="10"/>
      <c r="L813" s="10" t="str">
        <f t="shared" si="79"/>
        <v>Accepted</v>
      </c>
      <c r="M813" s="11">
        <v>0</v>
      </c>
      <c r="N813" s="10" t="s">
        <v>30</v>
      </c>
      <c r="O813" s="42">
        <f t="shared" si="80"/>
        <v>18000</v>
      </c>
      <c r="P813" s="10" t="s">
        <v>19</v>
      </c>
    </row>
    <row r="814" spans="1:16" s="22" customFormat="1" ht="14.25" customHeight="1" x14ac:dyDescent="0.25">
      <c r="A814" s="5" t="s">
        <v>1856</v>
      </c>
      <c r="B814" s="22" t="s">
        <v>716</v>
      </c>
      <c r="C814" s="22" t="s">
        <v>787</v>
      </c>
      <c r="D814" s="18" t="s">
        <v>1857</v>
      </c>
      <c r="E814" s="24" t="str">
        <f t="shared" si="76"/>
        <v>T007V702P001</v>
      </c>
      <c r="F814" s="13">
        <v>44445</v>
      </c>
      <c r="G814" s="13">
        <v>44451</v>
      </c>
      <c r="H814" s="7">
        <f t="shared" ca="1" si="77"/>
        <v>-652</v>
      </c>
      <c r="I814" s="13">
        <v>44450</v>
      </c>
      <c r="J814" s="9">
        <f t="shared" ca="1" si="78"/>
        <v>0</v>
      </c>
      <c r="K814" s="10"/>
      <c r="L814" s="10" t="str">
        <f t="shared" si="79"/>
        <v>Accepted</v>
      </c>
      <c r="M814" s="11">
        <v>0</v>
      </c>
      <c r="N814" s="10" t="s">
        <v>30</v>
      </c>
      <c r="O814" s="42">
        <f t="shared" si="80"/>
        <v>18000</v>
      </c>
      <c r="P814" s="10" t="s">
        <v>19</v>
      </c>
    </row>
    <row r="815" spans="1:16" s="22" customFormat="1" ht="14.25" customHeight="1" x14ac:dyDescent="0.25">
      <c r="A815" s="5" t="s">
        <v>1858</v>
      </c>
      <c r="B815" s="22" t="s">
        <v>716</v>
      </c>
      <c r="C815" s="22" t="s">
        <v>787</v>
      </c>
      <c r="D815" s="18" t="s">
        <v>1859</v>
      </c>
      <c r="E815" s="24" t="str">
        <f t="shared" si="76"/>
        <v>S0810072E002</v>
      </c>
      <c r="F815" s="13">
        <v>44445</v>
      </c>
      <c r="G815" s="13">
        <v>44451</v>
      </c>
      <c r="H815" s="7">
        <f t="shared" ca="1" si="77"/>
        <v>-652</v>
      </c>
      <c r="I815" s="13">
        <v>44450</v>
      </c>
      <c r="J815" s="9">
        <f t="shared" ca="1" si="78"/>
        <v>0</v>
      </c>
      <c r="K815" s="10"/>
      <c r="L815" s="10" t="str">
        <f t="shared" si="79"/>
        <v>Accepted</v>
      </c>
      <c r="M815" s="11">
        <v>0</v>
      </c>
      <c r="N815" s="10" t="s">
        <v>30</v>
      </c>
      <c r="O815" s="42">
        <f t="shared" si="80"/>
        <v>18000</v>
      </c>
      <c r="P815" s="10" t="s">
        <v>19</v>
      </c>
    </row>
    <row r="816" spans="1:16" s="22" customFormat="1" ht="14.25" customHeight="1" x14ac:dyDescent="0.25">
      <c r="A816" s="5" t="s">
        <v>1860</v>
      </c>
      <c r="B816" s="22" t="s">
        <v>716</v>
      </c>
      <c r="C816" s="22" t="s">
        <v>787</v>
      </c>
      <c r="D816" s="18" t="s">
        <v>1861</v>
      </c>
      <c r="E816" s="24" t="str">
        <f t="shared" si="76"/>
        <v>S0810141E003</v>
      </c>
      <c r="F816" s="13">
        <v>44445</v>
      </c>
      <c r="G816" s="13">
        <v>44451</v>
      </c>
      <c r="H816" s="7">
        <f t="shared" ca="1" si="77"/>
        <v>-652</v>
      </c>
      <c r="I816" s="13">
        <v>44450</v>
      </c>
      <c r="J816" s="9">
        <f t="shared" ca="1" si="78"/>
        <v>0</v>
      </c>
      <c r="K816" s="10"/>
      <c r="L816" s="10" t="str">
        <f t="shared" si="79"/>
        <v>Accepted</v>
      </c>
      <c r="M816" s="11">
        <v>0</v>
      </c>
      <c r="N816" s="10" t="s">
        <v>30</v>
      </c>
      <c r="O816" s="42">
        <f t="shared" si="80"/>
        <v>18000</v>
      </c>
      <c r="P816" s="10" t="s">
        <v>19</v>
      </c>
    </row>
    <row r="817" spans="1:16" s="22" customFormat="1" ht="14.25" customHeight="1" x14ac:dyDescent="0.25">
      <c r="A817" s="5" t="s">
        <v>1862</v>
      </c>
      <c r="B817" s="22" t="s">
        <v>716</v>
      </c>
      <c r="C817" s="22" t="s">
        <v>787</v>
      </c>
      <c r="D817" s="18" t="s">
        <v>1863</v>
      </c>
      <c r="E817" s="24" t="str">
        <f t="shared" si="76"/>
        <v>S0810162E005</v>
      </c>
      <c r="F817" s="13">
        <v>44445</v>
      </c>
      <c r="G817" s="13">
        <v>44451</v>
      </c>
      <c r="H817" s="7">
        <f t="shared" ca="1" si="77"/>
        <v>-652</v>
      </c>
      <c r="I817" s="13">
        <v>44450</v>
      </c>
      <c r="J817" s="9">
        <f t="shared" ca="1" si="78"/>
        <v>0</v>
      </c>
      <c r="K817" s="10"/>
      <c r="L817" s="10" t="str">
        <f t="shared" si="79"/>
        <v>Accepted</v>
      </c>
      <c r="M817" s="11">
        <v>0</v>
      </c>
      <c r="N817" s="10" t="s">
        <v>30</v>
      </c>
      <c r="O817" s="42">
        <f t="shared" si="80"/>
        <v>18000</v>
      </c>
      <c r="P817" s="10" t="s">
        <v>19</v>
      </c>
    </row>
    <row r="818" spans="1:16" s="22" customFormat="1" ht="14.25" customHeight="1" x14ac:dyDescent="0.25">
      <c r="A818" s="5" t="s">
        <v>1932</v>
      </c>
      <c r="B818" s="22" t="s">
        <v>716</v>
      </c>
      <c r="C818" s="22" t="s">
        <v>787</v>
      </c>
      <c r="D818" s="18" t="s">
        <v>1933</v>
      </c>
      <c r="E818" s="24" t="str">
        <f t="shared" si="76"/>
        <v>S0211801E002</v>
      </c>
      <c r="F818" s="13">
        <v>44449</v>
      </c>
      <c r="G818" s="13">
        <v>44451</v>
      </c>
      <c r="H818" s="7">
        <f t="shared" ca="1" si="77"/>
        <v>-652</v>
      </c>
      <c r="I818" s="13">
        <v>44450</v>
      </c>
      <c r="J818" s="9">
        <f t="shared" ca="1" si="78"/>
        <v>0</v>
      </c>
      <c r="K818" s="10"/>
      <c r="L818" s="10" t="str">
        <f t="shared" si="79"/>
        <v>Accepted</v>
      </c>
      <c r="M818" s="11">
        <v>0</v>
      </c>
      <c r="N818" s="10" t="s">
        <v>18</v>
      </c>
      <c r="O818" s="42">
        <f t="shared" si="80"/>
        <v>15000</v>
      </c>
      <c r="P818" s="10" t="s">
        <v>19</v>
      </c>
    </row>
    <row r="819" spans="1:16" s="22" customFormat="1" ht="14.25" customHeight="1" x14ac:dyDescent="0.25">
      <c r="A819" s="5" t="s">
        <v>1936</v>
      </c>
      <c r="B819" s="22" t="s">
        <v>716</v>
      </c>
      <c r="C819" s="22" t="s">
        <v>787</v>
      </c>
      <c r="D819" s="18" t="s">
        <v>1937</v>
      </c>
      <c r="E819" s="24" t="str">
        <f t="shared" si="76"/>
        <v>S0211802E002</v>
      </c>
      <c r="F819" s="13">
        <v>44449</v>
      </c>
      <c r="G819" s="13">
        <v>44451</v>
      </c>
      <c r="H819" s="7">
        <f t="shared" ca="1" si="77"/>
        <v>-652</v>
      </c>
      <c r="I819" s="13">
        <v>44450</v>
      </c>
      <c r="J819" s="9">
        <f t="shared" ca="1" si="78"/>
        <v>0</v>
      </c>
      <c r="K819" s="10"/>
      <c r="L819" s="10" t="str">
        <f t="shared" si="79"/>
        <v>Accepted</v>
      </c>
      <c r="M819" s="11">
        <v>0</v>
      </c>
      <c r="N819" s="10" t="s">
        <v>18</v>
      </c>
      <c r="O819" s="42">
        <f t="shared" si="80"/>
        <v>15000</v>
      </c>
      <c r="P819" s="10" t="s">
        <v>19</v>
      </c>
    </row>
    <row r="820" spans="1:16" s="22" customFormat="1" ht="14.25" customHeight="1" x14ac:dyDescent="0.25">
      <c r="A820" s="5" t="s">
        <v>1944</v>
      </c>
      <c r="B820" s="22" t="s">
        <v>716</v>
      </c>
      <c r="C820" s="22" t="s">
        <v>787</v>
      </c>
      <c r="D820" s="18" t="s">
        <v>1945</v>
      </c>
      <c r="E820" s="24" t="str">
        <f t="shared" si="76"/>
        <v>S0472071E005</v>
      </c>
      <c r="F820" s="13">
        <v>44449</v>
      </c>
      <c r="G820" s="13">
        <v>44451</v>
      </c>
      <c r="H820" s="7">
        <f t="shared" ca="1" si="77"/>
        <v>-652</v>
      </c>
      <c r="I820" s="13">
        <v>44450</v>
      </c>
      <c r="J820" s="9">
        <f t="shared" ca="1" si="78"/>
        <v>0</v>
      </c>
      <c r="K820" s="10"/>
      <c r="L820" s="10" t="str">
        <f t="shared" si="79"/>
        <v>Accepted</v>
      </c>
      <c r="M820" s="11">
        <v>0</v>
      </c>
      <c r="N820" s="10" t="s">
        <v>18</v>
      </c>
      <c r="O820" s="42">
        <f t="shared" si="80"/>
        <v>15000</v>
      </c>
      <c r="P820" s="10" t="s">
        <v>19</v>
      </c>
    </row>
    <row r="821" spans="1:16" s="22" customFormat="1" ht="14.25" customHeight="1" x14ac:dyDescent="0.25">
      <c r="A821" s="5" t="s">
        <v>1940</v>
      </c>
      <c r="B821" s="22" t="s">
        <v>716</v>
      </c>
      <c r="C821" s="22" t="s">
        <v>787</v>
      </c>
      <c r="D821" s="18" t="s">
        <v>1941</v>
      </c>
      <c r="E821" s="24" t="str">
        <f t="shared" si="76"/>
        <v>S0211882E010</v>
      </c>
      <c r="F821" s="13">
        <v>44449</v>
      </c>
      <c r="G821" s="13">
        <v>44455</v>
      </c>
      <c r="H821" s="7">
        <f t="shared" ca="1" si="77"/>
        <v>-648</v>
      </c>
      <c r="I821" s="13">
        <v>44450</v>
      </c>
      <c r="J821" s="9">
        <f t="shared" ca="1" si="78"/>
        <v>654</v>
      </c>
      <c r="K821" s="10" t="s">
        <v>1412</v>
      </c>
      <c r="L821" s="10" t="str">
        <f t="shared" si="79"/>
        <v>Rejected</v>
      </c>
      <c r="M821" s="11">
        <v>1</v>
      </c>
      <c r="N821" s="10" t="s">
        <v>30</v>
      </c>
      <c r="O821" s="42">
        <f t="shared" si="80"/>
        <v>0</v>
      </c>
      <c r="P821" s="10" t="s">
        <v>2485</v>
      </c>
    </row>
    <row r="822" spans="1:16" s="22" customFormat="1" ht="14.25" customHeight="1" x14ac:dyDescent="0.25">
      <c r="A822" s="5" t="s">
        <v>1934</v>
      </c>
      <c r="B822" s="22" t="s">
        <v>716</v>
      </c>
      <c r="C822" s="22" t="s">
        <v>787</v>
      </c>
      <c r="D822" s="18" t="s">
        <v>1935</v>
      </c>
      <c r="E822" s="24" t="str">
        <f t="shared" si="76"/>
        <v>S0211802E001</v>
      </c>
      <c r="F822" s="13">
        <v>44449</v>
      </c>
      <c r="G822" s="13">
        <f>F822+7</f>
        <v>44456</v>
      </c>
      <c r="H822" s="7">
        <f t="shared" ca="1" si="77"/>
        <v>-647</v>
      </c>
      <c r="I822" s="13">
        <v>44450</v>
      </c>
      <c r="J822" s="9">
        <f t="shared" ca="1" si="78"/>
        <v>654</v>
      </c>
      <c r="K822" s="10" t="s">
        <v>663</v>
      </c>
      <c r="L822" s="10" t="str">
        <f t="shared" si="79"/>
        <v>Rejected</v>
      </c>
      <c r="M822" s="11">
        <v>2</v>
      </c>
      <c r="N822" s="10" t="s">
        <v>18</v>
      </c>
      <c r="O822" s="42">
        <f t="shared" si="80"/>
        <v>0</v>
      </c>
      <c r="P822" s="10" t="s">
        <v>2485</v>
      </c>
    </row>
    <row r="823" spans="1:16" s="22" customFormat="1" ht="14.25" customHeight="1" x14ac:dyDescent="0.25">
      <c r="A823" s="5" t="s">
        <v>1822</v>
      </c>
      <c r="B823" s="22" t="s">
        <v>716</v>
      </c>
      <c r="C823" s="22" t="s">
        <v>752</v>
      </c>
      <c r="D823" s="18" t="s">
        <v>1823</v>
      </c>
      <c r="E823" s="24" t="str">
        <f t="shared" si="76"/>
        <v>S0301631E001</v>
      </c>
      <c r="F823" s="13">
        <v>44443</v>
      </c>
      <c r="G823" s="13">
        <v>44451</v>
      </c>
      <c r="H823" s="7">
        <f t="shared" ca="1" si="77"/>
        <v>-652</v>
      </c>
      <c r="I823" s="13">
        <v>44451</v>
      </c>
      <c r="J823" s="9">
        <f t="shared" ca="1" si="78"/>
        <v>0</v>
      </c>
      <c r="K823" s="10"/>
      <c r="L823" s="10" t="str">
        <f t="shared" si="79"/>
        <v>Accepted</v>
      </c>
      <c r="M823" s="11">
        <v>0</v>
      </c>
      <c r="N823" s="10" t="s">
        <v>18</v>
      </c>
      <c r="O823" s="42">
        <f t="shared" si="80"/>
        <v>15000</v>
      </c>
      <c r="P823" s="10" t="s">
        <v>19</v>
      </c>
    </row>
    <row r="824" spans="1:16" s="22" customFormat="1" ht="14.25" customHeight="1" x14ac:dyDescent="0.25">
      <c r="A824" s="5" t="s">
        <v>1824</v>
      </c>
      <c r="B824" s="22" t="s">
        <v>716</v>
      </c>
      <c r="C824" s="22" t="s">
        <v>752</v>
      </c>
      <c r="D824" s="18" t="s">
        <v>1825</v>
      </c>
      <c r="E824" s="24" t="str">
        <f t="shared" si="76"/>
        <v>S0301631E002</v>
      </c>
      <c r="F824" s="13">
        <v>44443</v>
      </c>
      <c r="G824" s="13">
        <v>44451</v>
      </c>
      <c r="H824" s="7">
        <f t="shared" ca="1" si="77"/>
        <v>-652</v>
      </c>
      <c r="I824" s="13">
        <v>44451</v>
      </c>
      <c r="J824" s="9">
        <f t="shared" ca="1" si="78"/>
        <v>0</v>
      </c>
      <c r="K824" s="10"/>
      <c r="L824" s="10" t="str">
        <f t="shared" si="79"/>
        <v>Accepted</v>
      </c>
      <c r="M824" s="11">
        <v>0</v>
      </c>
      <c r="N824" s="10" t="s">
        <v>18</v>
      </c>
      <c r="O824" s="42">
        <f t="shared" si="80"/>
        <v>15000</v>
      </c>
      <c r="P824" s="10" t="s">
        <v>19</v>
      </c>
    </row>
    <row r="825" spans="1:16" s="22" customFormat="1" ht="14.25" customHeight="1" x14ac:dyDescent="0.25">
      <c r="A825" s="5" t="s">
        <v>1922</v>
      </c>
      <c r="B825" s="22" t="s">
        <v>716</v>
      </c>
      <c r="C825" s="22" t="s">
        <v>787</v>
      </c>
      <c r="D825" s="18" t="s">
        <v>1923</v>
      </c>
      <c r="E825" s="24" t="str">
        <f t="shared" si="76"/>
        <v>S0472011b003</v>
      </c>
      <c r="F825" s="13">
        <v>44449</v>
      </c>
      <c r="G825" s="13">
        <v>44455</v>
      </c>
      <c r="H825" s="7">
        <f t="shared" ca="1" si="77"/>
        <v>-648</v>
      </c>
      <c r="I825" s="13">
        <v>44454</v>
      </c>
      <c r="J825" s="9">
        <f t="shared" ca="1" si="78"/>
        <v>0</v>
      </c>
      <c r="K825" s="10"/>
      <c r="L825" s="10" t="str">
        <f t="shared" si="79"/>
        <v>Accepted</v>
      </c>
      <c r="M825" s="11">
        <v>0</v>
      </c>
      <c r="N825" s="10" t="s">
        <v>30</v>
      </c>
      <c r="O825" s="42">
        <f t="shared" si="80"/>
        <v>18000</v>
      </c>
      <c r="P825" s="10" t="s">
        <v>19</v>
      </c>
    </row>
    <row r="826" spans="1:16" s="22" customFormat="1" ht="14.25" customHeight="1" x14ac:dyDescent="0.25">
      <c r="A826" s="5" t="s">
        <v>1924</v>
      </c>
      <c r="B826" s="22" t="s">
        <v>716</v>
      </c>
      <c r="C826" s="22" t="s">
        <v>787</v>
      </c>
      <c r="D826" s="18" t="s">
        <v>1925</v>
      </c>
      <c r="E826" s="24" t="str">
        <f t="shared" si="76"/>
        <v>S0472011c003</v>
      </c>
      <c r="F826" s="13">
        <v>44449</v>
      </c>
      <c r="G826" s="13">
        <v>44455</v>
      </c>
      <c r="H826" s="7">
        <f t="shared" ca="1" si="77"/>
        <v>-648</v>
      </c>
      <c r="I826" s="13">
        <v>44454</v>
      </c>
      <c r="J826" s="9">
        <f t="shared" ca="1" si="78"/>
        <v>0</v>
      </c>
      <c r="K826" s="10"/>
      <c r="L826" s="10" t="str">
        <f t="shared" si="79"/>
        <v>Accepted</v>
      </c>
      <c r="M826" s="11">
        <v>0</v>
      </c>
      <c r="N826" s="10" t="s">
        <v>30</v>
      </c>
      <c r="O826" s="42">
        <f t="shared" si="80"/>
        <v>18000</v>
      </c>
      <c r="P826" s="10" t="s">
        <v>19</v>
      </c>
    </row>
    <row r="827" spans="1:16" s="22" customFormat="1" ht="14.25" customHeight="1" x14ac:dyDescent="0.25">
      <c r="A827" s="5" t="s">
        <v>1926</v>
      </c>
      <c r="B827" s="22" t="s">
        <v>716</v>
      </c>
      <c r="C827" s="22" t="s">
        <v>787</v>
      </c>
      <c r="D827" s="18" t="s">
        <v>1927</v>
      </c>
      <c r="E827" s="24" t="str">
        <f t="shared" si="76"/>
        <v>S0211782E003</v>
      </c>
      <c r="F827" s="13">
        <v>44449</v>
      </c>
      <c r="G827" s="13">
        <v>44455</v>
      </c>
      <c r="H827" s="7">
        <f t="shared" ca="1" si="77"/>
        <v>-648</v>
      </c>
      <c r="I827" s="13">
        <v>44454</v>
      </c>
      <c r="J827" s="9">
        <f t="shared" ca="1" si="78"/>
        <v>0</v>
      </c>
      <c r="K827" s="10"/>
      <c r="L827" s="10" t="str">
        <f t="shared" si="79"/>
        <v>Accepted</v>
      </c>
      <c r="M827" s="11">
        <v>0</v>
      </c>
      <c r="N827" s="10" t="s">
        <v>30</v>
      </c>
      <c r="O827" s="42">
        <f t="shared" si="80"/>
        <v>18000</v>
      </c>
      <c r="P827" s="10" t="s">
        <v>19</v>
      </c>
    </row>
    <row r="828" spans="1:16" s="22" customFormat="1" ht="14.25" customHeight="1" x14ac:dyDescent="0.25">
      <c r="A828" s="5" t="s">
        <v>1928</v>
      </c>
      <c r="B828" s="22" t="s">
        <v>716</v>
      </c>
      <c r="C828" s="22" t="s">
        <v>787</v>
      </c>
      <c r="D828" s="18" t="s">
        <v>1929</v>
      </c>
      <c r="E828" s="24" t="str">
        <f t="shared" si="76"/>
        <v>S0211782E004</v>
      </c>
      <c r="F828" s="13">
        <v>44449</v>
      </c>
      <c r="G828" s="13">
        <v>44455</v>
      </c>
      <c r="H828" s="7">
        <f t="shared" ca="1" si="77"/>
        <v>-648</v>
      </c>
      <c r="I828" s="13">
        <v>44454</v>
      </c>
      <c r="J828" s="9">
        <f t="shared" ca="1" si="78"/>
        <v>0</v>
      </c>
      <c r="K828" s="10"/>
      <c r="L828" s="10" t="str">
        <f t="shared" si="79"/>
        <v>Accepted</v>
      </c>
      <c r="M828" s="11">
        <v>0</v>
      </c>
      <c r="N828" s="10" t="s">
        <v>30</v>
      </c>
      <c r="O828" s="42">
        <f t="shared" si="80"/>
        <v>18000</v>
      </c>
      <c r="P828" s="10" t="s">
        <v>19</v>
      </c>
    </row>
    <row r="829" spans="1:16" s="22" customFormat="1" ht="14.25" customHeight="1" x14ac:dyDescent="0.25">
      <c r="A829" s="5" t="s">
        <v>1930</v>
      </c>
      <c r="B829" s="22" t="s">
        <v>716</v>
      </c>
      <c r="C829" s="22" t="s">
        <v>787</v>
      </c>
      <c r="D829" s="18" t="s">
        <v>1931</v>
      </c>
      <c r="E829" s="24" t="str">
        <f t="shared" si="76"/>
        <v>S0211782E006</v>
      </c>
      <c r="F829" s="13">
        <v>44449</v>
      </c>
      <c r="G829" s="13">
        <v>44455</v>
      </c>
      <c r="H829" s="7">
        <f t="shared" ca="1" si="77"/>
        <v>-648</v>
      </c>
      <c r="I829" s="13">
        <v>44454</v>
      </c>
      <c r="J829" s="9">
        <f t="shared" ca="1" si="78"/>
        <v>0</v>
      </c>
      <c r="K829" s="10"/>
      <c r="L829" s="10" t="str">
        <f t="shared" si="79"/>
        <v>Accepted</v>
      </c>
      <c r="M829" s="11">
        <v>0</v>
      </c>
      <c r="N829" s="10" t="s">
        <v>30</v>
      </c>
      <c r="O829" s="42">
        <f t="shared" si="80"/>
        <v>18000</v>
      </c>
      <c r="P829" s="10" t="s">
        <v>19</v>
      </c>
    </row>
    <row r="830" spans="1:16" s="22" customFormat="1" ht="14.25" customHeight="1" x14ac:dyDescent="0.25">
      <c r="A830" s="5" t="s">
        <v>1962</v>
      </c>
      <c r="B830" s="22" t="s">
        <v>716</v>
      </c>
      <c r="C830" s="22" t="s">
        <v>2472</v>
      </c>
      <c r="D830" s="18" t="s">
        <v>1963</v>
      </c>
      <c r="E830" s="24" t="str">
        <f t="shared" si="76"/>
        <v>S0541191E002</v>
      </c>
      <c r="F830" s="13">
        <v>44452</v>
      </c>
      <c r="G830" s="13">
        <v>44455</v>
      </c>
      <c r="H830" s="7">
        <f t="shared" ca="1" si="77"/>
        <v>-648</v>
      </c>
      <c r="I830" s="13">
        <v>44454</v>
      </c>
      <c r="J830" s="9">
        <f t="shared" ca="1" si="78"/>
        <v>0</v>
      </c>
      <c r="K830" s="10"/>
      <c r="L830" s="10" t="str">
        <f t="shared" si="79"/>
        <v>Accepted</v>
      </c>
      <c r="M830" s="11">
        <v>0</v>
      </c>
      <c r="N830" s="10" t="s">
        <v>18</v>
      </c>
      <c r="O830" s="42">
        <f t="shared" si="80"/>
        <v>15000</v>
      </c>
      <c r="P830" s="10" t="s">
        <v>19</v>
      </c>
    </row>
    <row r="831" spans="1:16" s="22" customFormat="1" ht="14.25" customHeight="1" x14ac:dyDescent="0.25">
      <c r="A831" s="5" t="s">
        <v>1964</v>
      </c>
      <c r="B831" s="22" t="s">
        <v>716</v>
      </c>
      <c r="C831" s="22" t="s">
        <v>2472</v>
      </c>
      <c r="D831" s="18" t="s">
        <v>1965</v>
      </c>
      <c r="E831" s="24" t="str">
        <f t="shared" si="76"/>
        <v>S0541201E003</v>
      </c>
      <c r="F831" s="13">
        <v>44452</v>
      </c>
      <c r="G831" s="13">
        <v>44455</v>
      </c>
      <c r="H831" s="7">
        <f t="shared" ca="1" si="77"/>
        <v>-648</v>
      </c>
      <c r="I831" s="13">
        <v>44454</v>
      </c>
      <c r="J831" s="9">
        <f t="shared" ca="1" si="78"/>
        <v>0</v>
      </c>
      <c r="K831" s="10"/>
      <c r="L831" s="10" t="str">
        <f t="shared" si="79"/>
        <v>Accepted</v>
      </c>
      <c r="M831" s="11">
        <v>0</v>
      </c>
      <c r="N831" s="10" t="s">
        <v>18</v>
      </c>
      <c r="O831" s="42">
        <f t="shared" si="80"/>
        <v>15000</v>
      </c>
      <c r="P831" s="10" t="s">
        <v>19</v>
      </c>
    </row>
    <row r="832" spans="1:16" s="22" customFormat="1" ht="14.25" customHeight="1" x14ac:dyDescent="0.25">
      <c r="A832" s="5" t="s">
        <v>1970</v>
      </c>
      <c r="B832" s="22" t="s">
        <v>716</v>
      </c>
      <c r="C832" s="22" t="s">
        <v>2472</v>
      </c>
      <c r="D832" s="18" t="s">
        <v>1971</v>
      </c>
      <c r="E832" s="24" t="str">
        <f t="shared" si="76"/>
        <v>S0541201E006</v>
      </c>
      <c r="F832" s="13">
        <v>44452</v>
      </c>
      <c r="G832" s="13">
        <v>44455</v>
      </c>
      <c r="H832" s="7">
        <f t="shared" ca="1" si="77"/>
        <v>-648</v>
      </c>
      <c r="I832" s="13">
        <v>44454</v>
      </c>
      <c r="J832" s="9">
        <f t="shared" ca="1" si="78"/>
        <v>0</v>
      </c>
      <c r="K832" s="10"/>
      <c r="L832" s="10" t="str">
        <f t="shared" si="79"/>
        <v>Accepted</v>
      </c>
      <c r="M832" s="11">
        <v>0</v>
      </c>
      <c r="N832" s="10" t="s">
        <v>18</v>
      </c>
      <c r="O832" s="42">
        <f t="shared" si="80"/>
        <v>15000</v>
      </c>
      <c r="P832" s="10" t="s">
        <v>19</v>
      </c>
    </row>
    <row r="833" spans="1:16" s="22" customFormat="1" ht="14.25" customHeight="1" x14ac:dyDescent="0.25">
      <c r="A833" s="5" t="s">
        <v>1972</v>
      </c>
      <c r="B833" s="22" t="s">
        <v>716</v>
      </c>
      <c r="C833" s="22" t="s">
        <v>752</v>
      </c>
      <c r="D833" s="18" t="s">
        <v>1973</v>
      </c>
      <c r="E833" s="24" t="str">
        <f t="shared" si="76"/>
        <v>S0541232E005</v>
      </c>
      <c r="F833" s="13">
        <v>44452</v>
      </c>
      <c r="G833" s="13">
        <v>44455</v>
      </c>
      <c r="H833" s="7">
        <f t="shared" ca="1" si="77"/>
        <v>-648</v>
      </c>
      <c r="I833" s="13">
        <v>44454</v>
      </c>
      <c r="J833" s="9">
        <f t="shared" ca="1" si="78"/>
        <v>0</v>
      </c>
      <c r="K833" s="10"/>
      <c r="L833" s="10" t="str">
        <f t="shared" si="79"/>
        <v>Accepted</v>
      </c>
      <c r="M833" s="11">
        <v>0</v>
      </c>
      <c r="N833" s="10" t="s">
        <v>18</v>
      </c>
      <c r="O833" s="42">
        <f t="shared" si="80"/>
        <v>15000</v>
      </c>
      <c r="P833" s="10" t="s">
        <v>19</v>
      </c>
    </row>
    <row r="834" spans="1:16" s="22" customFormat="1" ht="14.25" customHeight="1" x14ac:dyDescent="0.25">
      <c r="A834" s="5" t="s">
        <v>1974</v>
      </c>
      <c r="B834" s="22" t="s">
        <v>716</v>
      </c>
      <c r="C834" s="22" t="s">
        <v>2472</v>
      </c>
      <c r="D834" s="18" t="s">
        <v>1975</v>
      </c>
      <c r="E834" s="24" t="str">
        <f t="shared" ref="E834:E897" si="81">HYPERLINK(D834,A834)</f>
        <v>S0541281E001</v>
      </c>
      <c r="F834" s="13">
        <v>44452</v>
      </c>
      <c r="G834" s="13">
        <v>44455</v>
      </c>
      <c r="H834" s="7">
        <f t="shared" ref="H834:H897" ca="1" si="82">G834-TODAY()</f>
        <v>-648</v>
      </c>
      <c r="I834" s="13">
        <v>44454</v>
      </c>
      <c r="J834" s="9">
        <f t="shared" ref="J834:J897" ca="1" si="83">IF(L834="Accepted",0,TODAY()-F834)</f>
        <v>0</v>
      </c>
      <c r="K834" s="10"/>
      <c r="L834" s="10" t="str">
        <f t="shared" ref="L834:L897" si="84">IF(AND(NOT(ISBLANK(I834)), ISBLANK(K834)),"Accepted", IF(AND(ISBLANK(I834),ISBLANK(K834)),"Not Submitted", "Rejected"))</f>
        <v>Accepted</v>
      </c>
      <c r="M834" s="11">
        <v>0</v>
      </c>
      <c r="N834" s="10" t="s">
        <v>18</v>
      </c>
      <c r="O834" s="42">
        <f t="shared" ref="O834:O897" si="85">IF(AND(L834="Accepted",B834="SMA",N834="no"),20000,
IF(AND(L834="Accepted",OR(B834="SMP",B834="SD"),N834="no"),15000,
IF(AND(L834="Accepted",B834="SMA",N834="yes"),25000,
IF(AND(L834="Accepted",OR(B834="SMP",B834="SD"),N834="yes"),18000,
0))))</f>
        <v>15000</v>
      </c>
      <c r="P834" s="10" t="s">
        <v>19</v>
      </c>
    </row>
    <row r="835" spans="1:16" s="22" customFormat="1" ht="14.25" customHeight="1" x14ac:dyDescent="0.25">
      <c r="A835" s="5" t="s">
        <v>1976</v>
      </c>
      <c r="B835" s="22" t="s">
        <v>716</v>
      </c>
      <c r="C835" s="22" t="s">
        <v>2472</v>
      </c>
      <c r="D835" s="18" t="s">
        <v>1977</v>
      </c>
      <c r="E835" s="24" t="str">
        <f t="shared" si="81"/>
        <v>S0541281E002</v>
      </c>
      <c r="F835" s="13">
        <v>44452</v>
      </c>
      <c r="G835" s="13">
        <v>44455</v>
      </c>
      <c r="H835" s="7">
        <f t="shared" ca="1" si="82"/>
        <v>-648</v>
      </c>
      <c r="I835" s="13">
        <v>44454</v>
      </c>
      <c r="J835" s="9">
        <f t="shared" ca="1" si="83"/>
        <v>651</v>
      </c>
      <c r="K835" s="10" t="s">
        <v>771</v>
      </c>
      <c r="L835" s="10" t="str">
        <f t="shared" si="84"/>
        <v>Rejected</v>
      </c>
      <c r="M835" s="11">
        <v>1</v>
      </c>
      <c r="N835" s="10" t="s">
        <v>30</v>
      </c>
      <c r="O835" s="42">
        <f t="shared" si="85"/>
        <v>0</v>
      </c>
      <c r="P835" s="10" t="s">
        <v>2485</v>
      </c>
    </row>
    <row r="836" spans="1:16" s="22" customFormat="1" ht="14.25" customHeight="1" x14ac:dyDescent="0.25">
      <c r="A836" s="5" t="s">
        <v>1978</v>
      </c>
      <c r="B836" s="22" t="s">
        <v>716</v>
      </c>
      <c r="C836" s="22" t="s">
        <v>2472</v>
      </c>
      <c r="D836" s="18" t="s">
        <v>1979</v>
      </c>
      <c r="E836" s="24" t="str">
        <f t="shared" si="81"/>
        <v>S0541291E003</v>
      </c>
      <c r="F836" s="13">
        <v>44452</v>
      </c>
      <c r="G836" s="13">
        <v>44455</v>
      </c>
      <c r="H836" s="7">
        <f t="shared" ca="1" si="82"/>
        <v>-648</v>
      </c>
      <c r="I836" s="13">
        <v>44454</v>
      </c>
      <c r="J836" s="9">
        <f t="shared" ca="1" si="83"/>
        <v>0</v>
      </c>
      <c r="K836" s="10"/>
      <c r="L836" s="10" t="str">
        <f t="shared" si="84"/>
        <v>Accepted</v>
      </c>
      <c r="M836" s="11">
        <v>0</v>
      </c>
      <c r="N836" s="10" t="s">
        <v>18</v>
      </c>
      <c r="O836" s="42">
        <f t="shared" si="85"/>
        <v>15000</v>
      </c>
      <c r="P836" s="10" t="s">
        <v>19</v>
      </c>
    </row>
    <row r="837" spans="1:16" s="22" customFormat="1" ht="14.25" customHeight="1" x14ac:dyDescent="0.25">
      <c r="A837" s="5" t="s">
        <v>1980</v>
      </c>
      <c r="B837" s="22" t="s">
        <v>716</v>
      </c>
      <c r="C837" s="22" t="s">
        <v>2472</v>
      </c>
      <c r="D837" s="18" t="s">
        <v>1981</v>
      </c>
      <c r="E837" s="24" t="str">
        <f t="shared" si="81"/>
        <v>S0541291E004</v>
      </c>
      <c r="F837" s="13">
        <v>44452</v>
      </c>
      <c r="G837" s="13">
        <v>44455</v>
      </c>
      <c r="H837" s="7">
        <f t="shared" ca="1" si="82"/>
        <v>-648</v>
      </c>
      <c r="I837" s="13">
        <v>44454</v>
      </c>
      <c r="J837" s="9">
        <f t="shared" ca="1" si="83"/>
        <v>0</v>
      </c>
      <c r="K837" s="10"/>
      <c r="L837" s="10" t="str">
        <f t="shared" si="84"/>
        <v>Accepted</v>
      </c>
      <c r="M837" s="11">
        <v>0</v>
      </c>
      <c r="N837" s="10" t="s">
        <v>18</v>
      </c>
      <c r="O837" s="42">
        <f t="shared" si="85"/>
        <v>15000</v>
      </c>
      <c r="P837" s="10" t="s">
        <v>19</v>
      </c>
    </row>
    <row r="838" spans="1:16" s="22" customFormat="1" ht="14.25" customHeight="1" x14ac:dyDescent="0.25">
      <c r="A838" s="5" t="s">
        <v>1982</v>
      </c>
      <c r="B838" s="22" t="s">
        <v>716</v>
      </c>
      <c r="C838" s="22" t="s">
        <v>2472</v>
      </c>
      <c r="D838" s="18" t="s">
        <v>1983</v>
      </c>
      <c r="E838" s="24" t="str">
        <f t="shared" si="81"/>
        <v>S0541301E005</v>
      </c>
      <c r="F838" s="13">
        <v>44452</v>
      </c>
      <c r="G838" s="13">
        <v>44455</v>
      </c>
      <c r="H838" s="7">
        <f t="shared" ca="1" si="82"/>
        <v>-648</v>
      </c>
      <c r="I838" s="13">
        <v>44454</v>
      </c>
      <c r="J838" s="9">
        <f t="shared" ca="1" si="83"/>
        <v>0</v>
      </c>
      <c r="K838" s="10"/>
      <c r="L838" s="10" t="str">
        <f t="shared" si="84"/>
        <v>Accepted</v>
      </c>
      <c r="M838" s="11">
        <v>0</v>
      </c>
      <c r="N838" s="10" t="s">
        <v>18</v>
      </c>
      <c r="O838" s="42">
        <f t="shared" si="85"/>
        <v>15000</v>
      </c>
      <c r="P838" s="10" t="s">
        <v>19</v>
      </c>
    </row>
    <row r="839" spans="1:16" s="22" customFormat="1" ht="14.25" customHeight="1" x14ac:dyDescent="0.25">
      <c r="A839" s="5" t="s">
        <v>1984</v>
      </c>
      <c r="B839" s="22" t="s">
        <v>716</v>
      </c>
      <c r="C839" s="22" t="s">
        <v>2472</v>
      </c>
      <c r="D839" s="18" t="s">
        <v>1985</v>
      </c>
      <c r="E839" s="24" t="str">
        <f t="shared" si="81"/>
        <v>S0541301E006</v>
      </c>
      <c r="F839" s="13">
        <v>44452</v>
      </c>
      <c r="G839" s="13">
        <v>44455</v>
      </c>
      <c r="H839" s="7">
        <f t="shared" ca="1" si="82"/>
        <v>-648</v>
      </c>
      <c r="I839" s="13">
        <v>44454</v>
      </c>
      <c r="J839" s="9">
        <f t="shared" ca="1" si="83"/>
        <v>0</v>
      </c>
      <c r="K839" s="10"/>
      <c r="L839" s="10" t="str">
        <f t="shared" si="84"/>
        <v>Accepted</v>
      </c>
      <c r="M839" s="11">
        <v>0</v>
      </c>
      <c r="N839" s="10" t="s">
        <v>18</v>
      </c>
      <c r="O839" s="42">
        <f t="shared" si="85"/>
        <v>15000</v>
      </c>
      <c r="P839" s="10" t="s">
        <v>19</v>
      </c>
    </row>
    <row r="840" spans="1:16" s="22" customFormat="1" ht="14.25" customHeight="1" x14ac:dyDescent="0.25">
      <c r="A840" s="5" t="s">
        <v>1986</v>
      </c>
      <c r="B840" s="22" t="s">
        <v>716</v>
      </c>
      <c r="C840" s="22" t="s">
        <v>2472</v>
      </c>
      <c r="D840" s="18" t="s">
        <v>1987</v>
      </c>
      <c r="E840" s="24" t="str">
        <f t="shared" si="81"/>
        <v>S0541311E007</v>
      </c>
      <c r="F840" s="13">
        <v>44452</v>
      </c>
      <c r="G840" s="13">
        <v>44455</v>
      </c>
      <c r="H840" s="7">
        <f t="shared" ca="1" si="82"/>
        <v>-648</v>
      </c>
      <c r="I840" s="13">
        <v>44454</v>
      </c>
      <c r="J840" s="9">
        <f t="shared" ca="1" si="83"/>
        <v>0</v>
      </c>
      <c r="K840" s="10"/>
      <c r="L840" s="10" t="str">
        <f t="shared" si="84"/>
        <v>Accepted</v>
      </c>
      <c r="M840" s="11">
        <v>0</v>
      </c>
      <c r="N840" s="10" t="s">
        <v>18</v>
      </c>
      <c r="O840" s="42">
        <f t="shared" si="85"/>
        <v>15000</v>
      </c>
      <c r="P840" s="10" t="s">
        <v>19</v>
      </c>
    </row>
    <row r="841" spans="1:16" s="22" customFormat="1" ht="14.25" customHeight="1" x14ac:dyDescent="0.25">
      <c r="A841" s="5" t="s">
        <v>1988</v>
      </c>
      <c r="B841" s="22" t="s">
        <v>716</v>
      </c>
      <c r="C841" s="22" t="s">
        <v>2472</v>
      </c>
      <c r="D841" s="18" t="s">
        <v>1989</v>
      </c>
      <c r="E841" s="24" t="str">
        <f t="shared" si="81"/>
        <v>S0541311E008</v>
      </c>
      <c r="F841" s="13">
        <v>44452</v>
      </c>
      <c r="G841" s="13">
        <v>44455</v>
      </c>
      <c r="H841" s="7">
        <f t="shared" ca="1" si="82"/>
        <v>-648</v>
      </c>
      <c r="I841" s="13">
        <v>44454</v>
      </c>
      <c r="J841" s="9">
        <f t="shared" ca="1" si="83"/>
        <v>0</v>
      </c>
      <c r="K841" s="10"/>
      <c r="L841" s="10" t="str">
        <f t="shared" si="84"/>
        <v>Accepted</v>
      </c>
      <c r="M841" s="11">
        <v>0</v>
      </c>
      <c r="N841" s="10" t="s">
        <v>18</v>
      </c>
      <c r="O841" s="42">
        <f t="shared" si="85"/>
        <v>15000</v>
      </c>
      <c r="P841" s="10" t="s">
        <v>19</v>
      </c>
    </row>
    <row r="842" spans="1:16" s="22" customFormat="1" ht="14.25" customHeight="1" x14ac:dyDescent="0.25">
      <c r="A842" s="5" t="s">
        <v>1992</v>
      </c>
      <c r="B842" s="22" t="s">
        <v>716</v>
      </c>
      <c r="C842" s="22" t="s">
        <v>2472</v>
      </c>
      <c r="D842" s="18" t="s">
        <v>1993</v>
      </c>
      <c r="E842" s="24" t="str">
        <f t="shared" si="81"/>
        <v>S0541321E010</v>
      </c>
      <c r="F842" s="13">
        <v>44452</v>
      </c>
      <c r="G842" s="13">
        <v>44455</v>
      </c>
      <c r="H842" s="7">
        <f t="shared" ca="1" si="82"/>
        <v>-648</v>
      </c>
      <c r="I842" s="13">
        <v>44454</v>
      </c>
      <c r="J842" s="9">
        <f t="shared" ca="1" si="83"/>
        <v>0</v>
      </c>
      <c r="K842" s="10"/>
      <c r="L842" s="10" t="str">
        <f t="shared" si="84"/>
        <v>Accepted</v>
      </c>
      <c r="M842" s="11">
        <v>0</v>
      </c>
      <c r="N842" s="10" t="s">
        <v>18</v>
      </c>
      <c r="O842" s="42">
        <f t="shared" si="85"/>
        <v>15000</v>
      </c>
      <c r="P842" s="10" t="s">
        <v>19</v>
      </c>
    </row>
    <row r="843" spans="1:16" s="22" customFormat="1" ht="14.25" customHeight="1" x14ac:dyDescent="0.25">
      <c r="A843" s="5" t="s">
        <v>1996</v>
      </c>
      <c r="B843" s="22" t="s">
        <v>716</v>
      </c>
      <c r="C843" s="22" t="s">
        <v>2472</v>
      </c>
      <c r="D843" s="18" t="s">
        <v>1997</v>
      </c>
      <c r="E843" s="24" t="str">
        <f t="shared" si="81"/>
        <v>S0541331E012</v>
      </c>
      <c r="F843" s="13">
        <v>44452</v>
      </c>
      <c r="G843" s="13">
        <v>44455</v>
      </c>
      <c r="H843" s="7">
        <f t="shared" ca="1" si="82"/>
        <v>-648</v>
      </c>
      <c r="I843" s="13">
        <v>44454</v>
      </c>
      <c r="J843" s="9">
        <f t="shared" ca="1" si="83"/>
        <v>0</v>
      </c>
      <c r="K843" s="10"/>
      <c r="L843" s="10" t="str">
        <f t="shared" si="84"/>
        <v>Accepted</v>
      </c>
      <c r="M843" s="11">
        <v>0</v>
      </c>
      <c r="N843" s="10" t="s">
        <v>18</v>
      </c>
      <c r="O843" s="42">
        <f t="shared" si="85"/>
        <v>15000</v>
      </c>
      <c r="P843" s="10" t="s">
        <v>19</v>
      </c>
    </row>
    <row r="844" spans="1:16" s="22" customFormat="1" ht="14.25" customHeight="1" x14ac:dyDescent="0.25">
      <c r="A844" s="5" t="s">
        <v>1998</v>
      </c>
      <c r="B844" s="22" t="s">
        <v>716</v>
      </c>
      <c r="C844" s="22" t="s">
        <v>2472</v>
      </c>
      <c r="D844" s="18" t="s">
        <v>1999</v>
      </c>
      <c r="E844" s="24" t="str">
        <f t="shared" si="81"/>
        <v>S0541331E013</v>
      </c>
      <c r="F844" s="13">
        <v>44452</v>
      </c>
      <c r="G844" s="13">
        <v>44455</v>
      </c>
      <c r="H844" s="7">
        <f t="shared" ca="1" si="82"/>
        <v>-648</v>
      </c>
      <c r="I844" s="13">
        <v>44454</v>
      </c>
      <c r="J844" s="9">
        <f t="shared" ca="1" si="83"/>
        <v>0</v>
      </c>
      <c r="K844" s="10"/>
      <c r="L844" s="10" t="str">
        <f t="shared" si="84"/>
        <v>Accepted</v>
      </c>
      <c r="M844" s="11">
        <v>0</v>
      </c>
      <c r="N844" s="10" t="s">
        <v>18</v>
      </c>
      <c r="O844" s="42">
        <f t="shared" si="85"/>
        <v>15000</v>
      </c>
      <c r="P844" s="10" t="s">
        <v>19</v>
      </c>
    </row>
    <row r="845" spans="1:16" s="22" customFormat="1" ht="14.25" customHeight="1" x14ac:dyDescent="0.25">
      <c r="A845" s="5" t="s">
        <v>2004</v>
      </c>
      <c r="B845" s="22" t="s">
        <v>716</v>
      </c>
      <c r="C845" s="22" t="s">
        <v>2472</v>
      </c>
      <c r="D845" s="18" t="s">
        <v>2005</v>
      </c>
      <c r="E845" s="24" t="str">
        <f t="shared" si="81"/>
        <v>S0541351E002</v>
      </c>
      <c r="F845" s="13">
        <v>44452</v>
      </c>
      <c r="G845" s="13">
        <v>44455</v>
      </c>
      <c r="H845" s="7">
        <f t="shared" ca="1" si="82"/>
        <v>-648</v>
      </c>
      <c r="I845" s="13">
        <v>44454</v>
      </c>
      <c r="J845" s="9">
        <f t="shared" ca="1" si="83"/>
        <v>0</v>
      </c>
      <c r="K845" s="10"/>
      <c r="L845" s="10" t="str">
        <f t="shared" si="84"/>
        <v>Accepted</v>
      </c>
      <c r="M845" s="11">
        <v>0</v>
      </c>
      <c r="N845" s="10" t="s">
        <v>18</v>
      </c>
      <c r="O845" s="42">
        <f t="shared" si="85"/>
        <v>15000</v>
      </c>
      <c r="P845" s="10" t="s">
        <v>19</v>
      </c>
    </row>
    <row r="846" spans="1:16" s="22" customFormat="1" ht="14.25" customHeight="1" x14ac:dyDescent="0.25">
      <c r="A846" s="5" t="s">
        <v>1760</v>
      </c>
      <c r="B846" s="22" t="s">
        <v>716</v>
      </c>
      <c r="C846" s="22" t="s">
        <v>787</v>
      </c>
      <c r="D846" s="18" t="s">
        <v>1761</v>
      </c>
      <c r="E846" s="24" t="str">
        <f t="shared" si="81"/>
        <v>V0140191P008</v>
      </c>
      <c r="F846" s="13">
        <v>44438</v>
      </c>
      <c r="G846" s="13">
        <v>44455</v>
      </c>
      <c r="H846" s="7">
        <f t="shared" ca="1" si="82"/>
        <v>-648</v>
      </c>
      <c r="I846" s="13">
        <v>44455</v>
      </c>
      <c r="J846" s="9">
        <f t="shared" ca="1" si="83"/>
        <v>0</v>
      </c>
      <c r="K846" s="10"/>
      <c r="L846" s="10" t="str">
        <f t="shared" si="84"/>
        <v>Accepted</v>
      </c>
      <c r="M846" s="11">
        <v>1</v>
      </c>
      <c r="N846" s="10" t="s">
        <v>30</v>
      </c>
      <c r="O846" s="42">
        <f t="shared" si="85"/>
        <v>18000</v>
      </c>
      <c r="P846" s="10" t="s">
        <v>19</v>
      </c>
    </row>
    <row r="847" spans="1:16" s="22" customFormat="1" ht="14.25" customHeight="1" x14ac:dyDescent="0.25">
      <c r="A847" s="5" t="s">
        <v>1916</v>
      </c>
      <c r="B847" s="22" t="s">
        <v>716</v>
      </c>
      <c r="C847" s="22" t="s">
        <v>787</v>
      </c>
      <c r="D847" s="18" t="s">
        <v>1917</v>
      </c>
      <c r="E847" s="24" t="str">
        <f t="shared" si="81"/>
        <v>U0030901E002</v>
      </c>
      <c r="F847" s="13">
        <v>44449</v>
      </c>
      <c r="G847" s="13">
        <v>44455</v>
      </c>
      <c r="H847" s="7">
        <f t="shared" ca="1" si="82"/>
        <v>-648</v>
      </c>
      <c r="I847" s="13">
        <v>44455</v>
      </c>
      <c r="J847" s="9">
        <f t="shared" ca="1" si="83"/>
        <v>0</v>
      </c>
      <c r="K847" s="10"/>
      <c r="L847" s="10" t="str">
        <f t="shared" si="84"/>
        <v>Accepted</v>
      </c>
      <c r="M847" s="11">
        <v>0</v>
      </c>
      <c r="N847" s="10" t="s">
        <v>30</v>
      </c>
      <c r="O847" s="42">
        <f t="shared" si="85"/>
        <v>18000</v>
      </c>
      <c r="P847" s="10" t="s">
        <v>19</v>
      </c>
    </row>
    <row r="848" spans="1:16" s="22" customFormat="1" ht="14.25" customHeight="1" x14ac:dyDescent="0.25">
      <c r="A848" s="5" t="s">
        <v>1938</v>
      </c>
      <c r="B848" s="22" t="s">
        <v>716</v>
      </c>
      <c r="C848" s="22" t="s">
        <v>787</v>
      </c>
      <c r="D848" s="18" t="s">
        <v>1939</v>
      </c>
      <c r="E848" s="24" t="str">
        <f t="shared" si="81"/>
        <v>S0211812E003</v>
      </c>
      <c r="F848" s="13">
        <v>44449</v>
      </c>
      <c r="G848" s="13">
        <v>44455</v>
      </c>
      <c r="H848" s="7">
        <f t="shared" ca="1" si="82"/>
        <v>-648</v>
      </c>
      <c r="I848" s="13">
        <v>44455</v>
      </c>
      <c r="J848" s="9">
        <f t="shared" ca="1" si="83"/>
        <v>0</v>
      </c>
      <c r="K848" s="10"/>
      <c r="L848" s="10" t="str">
        <f t="shared" si="84"/>
        <v>Accepted</v>
      </c>
      <c r="M848" s="11">
        <v>1</v>
      </c>
      <c r="N848" s="10" t="s">
        <v>30</v>
      </c>
      <c r="O848" s="42">
        <f t="shared" si="85"/>
        <v>18000</v>
      </c>
      <c r="P848" s="10" t="s">
        <v>19</v>
      </c>
    </row>
    <row r="849" spans="1:16" s="22" customFormat="1" ht="14.25" customHeight="1" x14ac:dyDescent="0.25">
      <c r="A849" s="5" t="s">
        <v>1946</v>
      </c>
      <c r="B849" s="22" t="s">
        <v>716</v>
      </c>
      <c r="C849" s="22" t="s">
        <v>2472</v>
      </c>
      <c r="D849" s="18" t="s">
        <v>1947</v>
      </c>
      <c r="E849" s="24" t="str">
        <f t="shared" si="81"/>
        <v>T0290104P016</v>
      </c>
      <c r="F849" s="13">
        <v>44452</v>
      </c>
      <c r="G849" s="13">
        <v>44455</v>
      </c>
      <c r="H849" s="7">
        <f t="shared" ca="1" si="82"/>
        <v>-648</v>
      </c>
      <c r="I849" s="13">
        <v>44455</v>
      </c>
      <c r="J849" s="9">
        <f t="shared" ca="1" si="83"/>
        <v>0</v>
      </c>
      <c r="K849" s="10"/>
      <c r="L849" s="10" t="str">
        <f t="shared" si="84"/>
        <v>Accepted</v>
      </c>
      <c r="M849" s="11">
        <v>0</v>
      </c>
      <c r="N849" s="10" t="s">
        <v>18</v>
      </c>
      <c r="O849" s="42">
        <f t="shared" si="85"/>
        <v>15000</v>
      </c>
      <c r="P849" s="10" t="s">
        <v>19</v>
      </c>
    </row>
    <row r="850" spans="1:16" s="22" customFormat="1" ht="14.25" customHeight="1" x14ac:dyDescent="0.25">
      <c r="A850" s="5" t="s">
        <v>1952</v>
      </c>
      <c r="B850" s="22" t="s">
        <v>716</v>
      </c>
      <c r="C850" s="22" t="s">
        <v>2472</v>
      </c>
      <c r="D850" s="18" t="s">
        <v>1953</v>
      </c>
      <c r="E850" s="24" t="str">
        <f t="shared" si="81"/>
        <v>T0290605E021</v>
      </c>
      <c r="F850" s="13">
        <v>44452</v>
      </c>
      <c r="G850" s="13">
        <v>44455</v>
      </c>
      <c r="H850" s="7">
        <f t="shared" ca="1" si="82"/>
        <v>-648</v>
      </c>
      <c r="I850" s="13">
        <v>44455</v>
      </c>
      <c r="J850" s="9">
        <f t="shared" ca="1" si="83"/>
        <v>0</v>
      </c>
      <c r="K850" s="10"/>
      <c r="L850" s="10" t="str">
        <f t="shared" si="84"/>
        <v>Accepted</v>
      </c>
      <c r="M850" s="11">
        <v>0</v>
      </c>
      <c r="N850" s="10" t="s">
        <v>18</v>
      </c>
      <c r="O850" s="42">
        <f t="shared" si="85"/>
        <v>15000</v>
      </c>
      <c r="P850" s="10" t="s">
        <v>19</v>
      </c>
    </row>
    <row r="851" spans="1:16" s="22" customFormat="1" ht="14.25" customHeight="1" x14ac:dyDescent="0.25">
      <c r="A851" s="5" t="s">
        <v>1954</v>
      </c>
      <c r="B851" s="22" t="s">
        <v>716</v>
      </c>
      <c r="C851" s="22" t="s">
        <v>2472</v>
      </c>
      <c r="D851" s="18" t="s">
        <v>1955</v>
      </c>
      <c r="E851" s="24" t="str">
        <f t="shared" si="81"/>
        <v>T0290605E022</v>
      </c>
      <c r="F851" s="13">
        <v>44452</v>
      </c>
      <c r="G851" s="13">
        <v>44455</v>
      </c>
      <c r="H851" s="7">
        <f t="shared" ca="1" si="82"/>
        <v>-648</v>
      </c>
      <c r="I851" s="13">
        <v>44455</v>
      </c>
      <c r="J851" s="9">
        <f t="shared" ca="1" si="83"/>
        <v>0</v>
      </c>
      <c r="K851" s="10"/>
      <c r="L851" s="10" t="str">
        <f t="shared" si="84"/>
        <v>Accepted</v>
      </c>
      <c r="M851" s="11">
        <v>0</v>
      </c>
      <c r="N851" s="10" t="s">
        <v>18</v>
      </c>
      <c r="O851" s="42">
        <f t="shared" si="85"/>
        <v>15000</v>
      </c>
      <c r="P851" s="10" t="s">
        <v>19</v>
      </c>
    </row>
    <row r="852" spans="1:16" s="22" customFormat="1" ht="14.25" customHeight="1" x14ac:dyDescent="0.25">
      <c r="A852" s="5" t="s">
        <v>1956</v>
      </c>
      <c r="B852" s="22" t="s">
        <v>716</v>
      </c>
      <c r="C852" s="22" t="s">
        <v>2472</v>
      </c>
      <c r="D852" s="18" t="s">
        <v>1957</v>
      </c>
      <c r="E852" s="24" t="str">
        <f t="shared" si="81"/>
        <v>T0290605E023</v>
      </c>
      <c r="F852" s="13">
        <v>44452</v>
      </c>
      <c r="G852" s="13">
        <v>44455</v>
      </c>
      <c r="H852" s="7">
        <f t="shared" ca="1" si="82"/>
        <v>-648</v>
      </c>
      <c r="I852" s="13">
        <v>44455</v>
      </c>
      <c r="J852" s="9">
        <f t="shared" ca="1" si="83"/>
        <v>0</v>
      </c>
      <c r="K852" s="10"/>
      <c r="L852" s="10" t="str">
        <f t="shared" si="84"/>
        <v>Accepted</v>
      </c>
      <c r="M852" s="11">
        <v>0</v>
      </c>
      <c r="N852" s="10" t="s">
        <v>18</v>
      </c>
      <c r="O852" s="42">
        <f t="shared" si="85"/>
        <v>15000</v>
      </c>
      <c r="P852" s="10" t="s">
        <v>19</v>
      </c>
    </row>
    <row r="853" spans="1:16" s="22" customFormat="1" ht="14.25" customHeight="1" x14ac:dyDescent="0.25">
      <c r="A853" s="5" t="s">
        <v>1958</v>
      </c>
      <c r="B853" s="22" t="s">
        <v>716</v>
      </c>
      <c r="C853" s="22" t="s">
        <v>2472</v>
      </c>
      <c r="D853" s="18" t="s">
        <v>1959</v>
      </c>
      <c r="E853" s="24" t="str">
        <f t="shared" si="81"/>
        <v>T0290705E024</v>
      </c>
      <c r="F853" s="13">
        <v>44452</v>
      </c>
      <c r="G853" s="13">
        <v>44455</v>
      </c>
      <c r="H853" s="7">
        <f t="shared" ca="1" si="82"/>
        <v>-648</v>
      </c>
      <c r="I853" s="13">
        <v>44455</v>
      </c>
      <c r="J853" s="9">
        <f t="shared" ca="1" si="83"/>
        <v>0</v>
      </c>
      <c r="K853" s="10"/>
      <c r="L853" s="10" t="str">
        <f t="shared" si="84"/>
        <v>Accepted</v>
      </c>
      <c r="M853" s="11">
        <v>0</v>
      </c>
      <c r="N853" s="10" t="s">
        <v>18</v>
      </c>
      <c r="O853" s="42">
        <f t="shared" si="85"/>
        <v>15000</v>
      </c>
      <c r="P853" s="10" t="s">
        <v>19</v>
      </c>
    </row>
    <row r="854" spans="1:16" s="22" customFormat="1" ht="14.25" customHeight="1" x14ac:dyDescent="0.25">
      <c r="A854" s="5" t="s">
        <v>2006</v>
      </c>
      <c r="B854" s="22" t="s">
        <v>716</v>
      </c>
      <c r="C854" s="22" t="s">
        <v>752</v>
      </c>
      <c r="D854" s="18" t="s">
        <v>2007</v>
      </c>
      <c r="E854" s="24" t="str">
        <f t="shared" si="81"/>
        <v>S0541351E003</v>
      </c>
      <c r="F854" s="13">
        <v>44452</v>
      </c>
      <c r="G854" s="13">
        <v>44455</v>
      </c>
      <c r="H854" s="7">
        <f t="shared" ca="1" si="82"/>
        <v>-648</v>
      </c>
      <c r="I854" s="13">
        <v>44455</v>
      </c>
      <c r="J854" s="9">
        <f t="shared" ca="1" si="83"/>
        <v>651</v>
      </c>
      <c r="K854" s="10" t="s">
        <v>771</v>
      </c>
      <c r="L854" s="10" t="str">
        <f t="shared" si="84"/>
        <v>Rejected</v>
      </c>
      <c r="M854" s="11">
        <v>1</v>
      </c>
      <c r="N854" s="10" t="s">
        <v>30</v>
      </c>
      <c r="O854" s="42">
        <f t="shared" si="85"/>
        <v>0</v>
      </c>
      <c r="P854" s="10" t="s">
        <v>2485</v>
      </c>
    </row>
    <row r="855" spans="1:16" s="22" customFormat="1" ht="14.25" customHeight="1" x14ac:dyDescent="0.25">
      <c r="A855" s="5" t="s">
        <v>2008</v>
      </c>
      <c r="B855" s="22" t="s">
        <v>716</v>
      </c>
      <c r="C855" s="22" t="s">
        <v>2472</v>
      </c>
      <c r="D855" s="18" t="s">
        <v>2009</v>
      </c>
      <c r="E855" s="24" t="str">
        <f t="shared" si="81"/>
        <v>S0541361E001</v>
      </c>
      <c r="F855" s="13">
        <v>44452</v>
      </c>
      <c r="G855" s="13">
        <v>44455</v>
      </c>
      <c r="H855" s="7">
        <f t="shared" ca="1" si="82"/>
        <v>-648</v>
      </c>
      <c r="I855" s="13">
        <v>44455</v>
      </c>
      <c r="J855" s="9">
        <f t="shared" ca="1" si="83"/>
        <v>0</v>
      </c>
      <c r="K855" s="10"/>
      <c r="L855" s="10" t="str">
        <f t="shared" si="84"/>
        <v>Accepted</v>
      </c>
      <c r="M855" s="11">
        <v>0</v>
      </c>
      <c r="N855" s="10" t="s">
        <v>18</v>
      </c>
      <c r="O855" s="42">
        <f t="shared" si="85"/>
        <v>15000</v>
      </c>
      <c r="P855" s="10" t="s">
        <v>19</v>
      </c>
    </row>
    <row r="856" spans="1:16" s="22" customFormat="1" ht="14.25" customHeight="1" x14ac:dyDescent="0.25">
      <c r="A856" s="5" t="s">
        <v>2010</v>
      </c>
      <c r="B856" s="22" t="s">
        <v>716</v>
      </c>
      <c r="C856" s="22" t="s">
        <v>2472</v>
      </c>
      <c r="D856" s="19" t="s">
        <v>2011</v>
      </c>
      <c r="E856" s="24" t="str">
        <f t="shared" si="81"/>
        <v>S0541361E002</v>
      </c>
      <c r="F856" s="13">
        <v>44452</v>
      </c>
      <c r="G856" s="13">
        <v>44455</v>
      </c>
      <c r="H856" s="7">
        <f t="shared" ca="1" si="82"/>
        <v>-648</v>
      </c>
      <c r="I856" s="13">
        <v>44455</v>
      </c>
      <c r="J856" s="9">
        <f t="shared" ca="1" si="83"/>
        <v>0</v>
      </c>
      <c r="K856" s="10"/>
      <c r="L856" s="10" t="str">
        <f t="shared" si="84"/>
        <v>Accepted</v>
      </c>
      <c r="M856" s="11">
        <v>0</v>
      </c>
      <c r="N856" s="10" t="s">
        <v>18</v>
      </c>
      <c r="O856" s="42">
        <f t="shared" si="85"/>
        <v>15000</v>
      </c>
      <c r="P856" s="10" t="s">
        <v>19</v>
      </c>
    </row>
    <row r="857" spans="1:16" s="22" customFormat="1" ht="14.25" customHeight="1" x14ac:dyDescent="0.25">
      <c r="A857" s="5" t="s">
        <v>2012</v>
      </c>
      <c r="B857" s="22" t="s">
        <v>716</v>
      </c>
      <c r="C857" s="22" t="s">
        <v>2472</v>
      </c>
      <c r="D857" s="18" t="s">
        <v>2013</v>
      </c>
      <c r="E857" s="24" t="str">
        <f t="shared" si="81"/>
        <v>S0541371E003</v>
      </c>
      <c r="F857" s="13">
        <v>44452</v>
      </c>
      <c r="G857" s="13">
        <v>44455</v>
      </c>
      <c r="H857" s="7">
        <f t="shared" ca="1" si="82"/>
        <v>-648</v>
      </c>
      <c r="I857" s="13">
        <v>44455</v>
      </c>
      <c r="J857" s="9">
        <f t="shared" ca="1" si="83"/>
        <v>0</v>
      </c>
      <c r="K857" s="10"/>
      <c r="L857" s="10" t="str">
        <f t="shared" si="84"/>
        <v>Accepted</v>
      </c>
      <c r="M857" s="11">
        <v>0</v>
      </c>
      <c r="N857" s="10" t="s">
        <v>18</v>
      </c>
      <c r="O857" s="42">
        <f t="shared" si="85"/>
        <v>15000</v>
      </c>
      <c r="P857" s="10" t="s">
        <v>19</v>
      </c>
    </row>
    <row r="858" spans="1:16" s="22" customFormat="1" ht="14.25" customHeight="1" x14ac:dyDescent="0.25">
      <c r="A858" s="5" t="s">
        <v>2014</v>
      </c>
      <c r="B858" s="22" t="s">
        <v>716</v>
      </c>
      <c r="C858" s="22" t="s">
        <v>752</v>
      </c>
      <c r="D858" s="18" t="s">
        <v>2015</v>
      </c>
      <c r="E858" s="24" t="str">
        <f t="shared" si="81"/>
        <v>S0541371E004</v>
      </c>
      <c r="F858" s="13">
        <v>44452</v>
      </c>
      <c r="G858" s="13">
        <v>44455</v>
      </c>
      <c r="H858" s="7">
        <f t="shared" ca="1" si="82"/>
        <v>-648</v>
      </c>
      <c r="I858" s="13">
        <v>44455</v>
      </c>
      <c r="J858" s="9">
        <f t="shared" ca="1" si="83"/>
        <v>0</v>
      </c>
      <c r="K858" s="10"/>
      <c r="L858" s="10" t="str">
        <f t="shared" si="84"/>
        <v>Accepted</v>
      </c>
      <c r="M858" s="11">
        <v>0</v>
      </c>
      <c r="N858" s="10" t="s">
        <v>18</v>
      </c>
      <c r="O858" s="42">
        <f t="shared" si="85"/>
        <v>15000</v>
      </c>
      <c r="P858" s="10" t="s">
        <v>19</v>
      </c>
    </row>
    <row r="859" spans="1:16" s="22" customFormat="1" ht="14.25" customHeight="1" x14ac:dyDescent="0.25">
      <c r="A859" s="5" t="s">
        <v>2016</v>
      </c>
      <c r="B859" s="22" t="s">
        <v>716</v>
      </c>
      <c r="C859" s="22" t="s">
        <v>2472</v>
      </c>
      <c r="D859" s="18" t="s">
        <v>2017</v>
      </c>
      <c r="E859" s="24" t="str">
        <f t="shared" si="81"/>
        <v>S0541381E006</v>
      </c>
      <c r="F859" s="13">
        <v>44452</v>
      </c>
      <c r="G859" s="13">
        <v>44455</v>
      </c>
      <c r="H859" s="7">
        <f t="shared" ca="1" si="82"/>
        <v>-648</v>
      </c>
      <c r="I859" s="13">
        <v>44455</v>
      </c>
      <c r="J859" s="9">
        <f t="shared" ca="1" si="83"/>
        <v>0</v>
      </c>
      <c r="K859" s="10"/>
      <c r="L859" s="10" t="str">
        <f t="shared" si="84"/>
        <v>Accepted</v>
      </c>
      <c r="M859" s="11">
        <v>0</v>
      </c>
      <c r="N859" s="10" t="s">
        <v>18</v>
      </c>
      <c r="O859" s="42">
        <f t="shared" si="85"/>
        <v>15000</v>
      </c>
      <c r="P859" s="10" t="s">
        <v>19</v>
      </c>
    </row>
    <row r="860" spans="1:16" s="22" customFormat="1" ht="14.25" customHeight="1" x14ac:dyDescent="0.25">
      <c r="A860" s="5" t="s">
        <v>2018</v>
      </c>
      <c r="B860" s="22" t="s">
        <v>716</v>
      </c>
      <c r="C860" s="22" t="s">
        <v>2472</v>
      </c>
      <c r="D860" s="18" t="s">
        <v>2019</v>
      </c>
      <c r="E860" s="24" t="str">
        <f t="shared" si="81"/>
        <v>S0541381E007</v>
      </c>
      <c r="F860" s="13">
        <v>44452</v>
      </c>
      <c r="G860" s="13">
        <v>44455</v>
      </c>
      <c r="H860" s="7">
        <f t="shared" ca="1" si="82"/>
        <v>-648</v>
      </c>
      <c r="I860" s="13">
        <v>44455</v>
      </c>
      <c r="J860" s="9">
        <f t="shared" ca="1" si="83"/>
        <v>0</v>
      </c>
      <c r="K860" s="10"/>
      <c r="L860" s="10" t="str">
        <f t="shared" si="84"/>
        <v>Accepted</v>
      </c>
      <c r="M860" s="11">
        <v>0</v>
      </c>
      <c r="N860" s="10" t="s">
        <v>18</v>
      </c>
      <c r="O860" s="42">
        <f t="shared" si="85"/>
        <v>15000</v>
      </c>
      <c r="P860" s="10" t="s">
        <v>19</v>
      </c>
    </row>
    <row r="861" spans="1:16" s="22" customFormat="1" ht="14.25" customHeight="1" x14ac:dyDescent="0.25">
      <c r="A861" s="5" t="s">
        <v>2020</v>
      </c>
      <c r="B861" s="22" t="s">
        <v>716</v>
      </c>
      <c r="C861" s="22" t="s">
        <v>752</v>
      </c>
      <c r="D861" s="18" t="s">
        <v>2021</v>
      </c>
      <c r="E861" s="24" t="str">
        <f t="shared" si="81"/>
        <v>S0541381E008</v>
      </c>
      <c r="F861" s="13">
        <v>44452</v>
      </c>
      <c r="G861" s="13">
        <v>44455</v>
      </c>
      <c r="H861" s="7">
        <f t="shared" ca="1" si="82"/>
        <v>-648</v>
      </c>
      <c r="I861" s="13">
        <v>44455</v>
      </c>
      <c r="J861" s="9">
        <f t="shared" ca="1" si="83"/>
        <v>0</v>
      </c>
      <c r="K861" s="10"/>
      <c r="L861" s="10" t="str">
        <f t="shared" si="84"/>
        <v>Accepted</v>
      </c>
      <c r="M861" s="11">
        <v>0</v>
      </c>
      <c r="N861" s="10" t="s">
        <v>18</v>
      </c>
      <c r="O861" s="42">
        <f t="shared" si="85"/>
        <v>15000</v>
      </c>
      <c r="P861" s="10" t="s">
        <v>19</v>
      </c>
    </row>
    <row r="862" spans="1:16" s="22" customFormat="1" ht="14.25" customHeight="1" x14ac:dyDescent="0.25">
      <c r="A862" s="5" t="s">
        <v>2022</v>
      </c>
      <c r="B862" s="22" t="s">
        <v>716</v>
      </c>
      <c r="C862" s="22" t="s">
        <v>752</v>
      </c>
      <c r="D862" s="18" t="s">
        <v>2023</v>
      </c>
      <c r="E862" s="24" t="str">
        <f t="shared" si="81"/>
        <v>S0541381E009</v>
      </c>
      <c r="F862" s="13">
        <v>44452</v>
      </c>
      <c r="G862" s="13">
        <v>44455</v>
      </c>
      <c r="H862" s="7">
        <f t="shared" ca="1" si="82"/>
        <v>-648</v>
      </c>
      <c r="I862" s="13">
        <v>44455</v>
      </c>
      <c r="J862" s="9">
        <f t="shared" ca="1" si="83"/>
        <v>0</v>
      </c>
      <c r="K862" s="10"/>
      <c r="L862" s="10" t="str">
        <f t="shared" si="84"/>
        <v>Accepted</v>
      </c>
      <c r="M862" s="11">
        <v>0</v>
      </c>
      <c r="N862" s="10" t="s">
        <v>18</v>
      </c>
      <c r="O862" s="42">
        <f t="shared" si="85"/>
        <v>15000</v>
      </c>
      <c r="P862" s="10" t="s">
        <v>19</v>
      </c>
    </row>
    <row r="863" spans="1:16" s="22" customFormat="1" ht="14.25" customHeight="1" x14ac:dyDescent="0.25">
      <c r="A863" s="5" t="s">
        <v>2024</v>
      </c>
      <c r="B863" s="22" t="s">
        <v>716</v>
      </c>
      <c r="C863" s="22" t="s">
        <v>2472</v>
      </c>
      <c r="D863" s="18" t="s">
        <v>2025</v>
      </c>
      <c r="E863" s="24" t="str">
        <f t="shared" si="81"/>
        <v>S0541381E010</v>
      </c>
      <c r="F863" s="13">
        <v>44452</v>
      </c>
      <c r="G863" s="13">
        <v>44455</v>
      </c>
      <c r="H863" s="7">
        <f t="shared" ca="1" si="82"/>
        <v>-648</v>
      </c>
      <c r="I863" s="13">
        <v>44455</v>
      </c>
      <c r="J863" s="9">
        <f t="shared" ca="1" si="83"/>
        <v>0</v>
      </c>
      <c r="K863" s="10"/>
      <c r="L863" s="10" t="str">
        <f t="shared" si="84"/>
        <v>Accepted</v>
      </c>
      <c r="M863" s="11">
        <v>0</v>
      </c>
      <c r="N863" s="10" t="s">
        <v>18</v>
      </c>
      <c r="O863" s="42">
        <f t="shared" si="85"/>
        <v>15000</v>
      </c>
      <c r="P863" s="10" t="s">
        <v>19</v>
      </c>
    </row>
    <row r="864" spans="1:16" s="22" customFormat="1" ht="14.25" customHeight="1" x14ac:dyDescent="0.25">
      <c r="A864" s="5" t="s">
        <v>2026</v>
      </c>
      <c r="B864" s="22" t="s">
        <v>716</v>
      </c>
      <c r="C864" s="22" t="s">
        <v>2472</v>
      </c>
      <c r="D864" s="18" t="s">
        <v>2027</v>
      </c>
      <c r="E864" s="24" t="str">
        <f t="shared" si="81"/>
        <v>S0541391E011</v>
      </c>
      <c r="F864" s="13">
        <v>44452</v>
      </c>
      <c r="G864" s="13">
        <v>44455</v>
      </c>
      <c r="H864" s="7">
        <f t="shared" ca="1" si="82"/>
        <v>-648</v>
      </c>
      <c r="I864" s="13">
        <v>44455</v>
      </c>
      <c r="J864" s="9">
        <f t="shared" ca="1" si="83"/>
        <v>0</v>
      </c>
      <c r="K864" s="10"/>
      <c r="L864" s="10" t="str">
        <f t="shared" si="84"/>
        <v>Accepted</v>
      </c>
      <c r="M864" s="11">
        <v>0</v>
      </c>
      <c r="N864" s="10" t="s">
        <v>18</v>
      </c>
      <c r="O864" s="42">
        <f t="shared" si="85"/>
        <v>15000</v>
      </c>
      <c r="P864" s="10" t="s">
        <v>19</v>
      </c>
    </row>
    <row r="865" spans="1:16" s="22" customFormat="1" ht="14.25" customHeight="1" x14ac:dyDescent="0.25">
      <c r="A865" s="5" t="s">
        <v>2028</v>
      </c>
      <c r="B865" s="22" t="s">
        <v>716</v>
      </c>
      <c r="C865" s="22" t="s">
        <v>752</v>
      </c>
      <c r="D865" s="18" t="s">
        <v>2029</v>
      </c>
      <c r="E865" s="24" t="str">
        <f t="shared" si="81"/>
        <v>S0541391E012</v>
      </c>
      <c r="F865" s="13">
        <v>44452</v>
      </c>
      <c r="G865" s="13">
        <v>44455</v>
      </c>
      <c r="H865" s="7">
        <f t="shared" ca="1" si="82"/>
        <v>-648</v>
      </c>
      <c r="I865" s="13">
        <v>44455</v>
      </c>
      <c r="J865" s="9">
        <f t="shared" ca="1" si="83"/>
        <v>0</v>
      </c>
      <c r="K865" s="10"/>
      <c r="L865" s="10" t="str">
        <f t="shared" si="84"/>
        <v>Accepted</v>
      </c>
      <c r="M865" s="11">
        <v>0</v>
      </c>
      <c r="N865" s="10" t="s">
        <v>18</v>
      </c>
      <c r="O865" s="42">
        <f t="shared" si="85"/>
        <v>15000</v>
      </c>
      <c r="P865" s="10" t="s">
        <v>19</v>
      </c>
    </row>
    <row r="866" spans="1:16" s="22" customFormat="1" ht="14.25" customHeight="1" x14ac:dyDescent="0.25">
      <c r="A866" s="5" t="s">
        <v>2030</v>
      </c>
      <c r="B866" s="22" t="s">
        <v>716</v>
      </c>
      <c r="C866" s="22" t="s">
        <v>752</v>
      </c>
      <c r="D866" s="18" t="s">
        <v>2031</v>
      </c>
      <c r="E866" s="24" t="str">
        <f t="shared" si="81"/>
        <v>S0541391E013</v>
      </c>
      <c r="F866" s="13">
        <v>44452</v>
      </c>
      <c r="G866" s="13">
        <v>44455</v>
      </c>
      <c r="H866" s="7">
        <f t="shared" ca="1" si="82"/>
        <v>-648</v>
      </c>
      <c r="I866" s="13">
        <v>44455</v>
      </c>
      <c r="J866" s="9">
        <f t="shared" ca="1" si="83"/>
        <v>0</v>
      </c>
      <c r="K866" s="10"/>
      <c r="L866" s="10" t="str">
        <f t="shared" si="84"/>
        <v>Accepted</v>
      </c>
      <c r="M866" s="11">
        <v>0</v>
      </c>
      <c r="N866" s="10" t="s">
        <v>18</v>
      </c>
      <c r="O866" s="42">
        <f t="shared" si="85"/>
        <v>15000</v>
      </c>
      <c r="P866" s="10" t="s">
        <v>19</v>
      </c>
    </row>
    <row r="867" spans="1:16" s="22" customFormat="1" ht="14.25" customHeight="1" x14ac:dyDescent="0.25">
      <c r="A867" s="5" t="s">
        <v>2032</v>
      </c>
      <c r="B867" s="22" t="s">
        <v>716</v>
      </c>
      <c r="C867" s="22" t="s">
        <v>752</v>
      </c>
      <c r="D867" s="18" t="s">
        <v>2033</v>
      </c>
      <c r="E867" s="24" t="str">
        <f t="shared" si="81"/>
        <v>S0541391E014</v>
      </c>
      <c r="F867" s="13">
        <v>44452</v>
      </c>
      <c r="G867" s="13">
        <v>44455</v>
      </c>
      <c r="H867" s="7">
        <f t="shared" ca="1" si="82"/>
        <v>-648</v>
      </c>
      <c r="I867" s="13">
        <v>44455</v>
      </c>
      <c r="J867" s="9">
        <f t="shared" ca="1" si="83"/>
        <v>0</v>
      </c>
      <c r="K867" s="10"/>
      <c r="L867" s="10" t="str">
        <f t="shared" si="84"/>
        <v>Accepted</v>
      </c>
      <c r="M867" s="11">
        <v>0</v>
      </c>
      <c r="N867" s="10" t="s">
        <v>18</v>
      </c>
      <c r="O867" s="42">
        <f t="shared" si="85"/>
        <v>15000</v>
      </c>
      <c r="P867" s="10" t="s">
        <v>19</v>
      </c>
    </row>
    <row r="868" spans="1:16" s="22" customFormat="1" ht="14.25" customHeight="1" x14ac:dyDescent="0.25">
      <c r="A868" s="5" t="s">
        <v>2034</v>
      </c>
      <c r="B868" s="22" t="s">
        <v>716</v>
      </c>
      <c r="C868" s="22" t="s">
        <v>752</v>
      </c>
      <c r="D868" s="18" t="s">
        <v>2035</v>
      </c>
      <c r="E868" s="24" t="str">
        <f t="shared" si="81"/>
        <v>S0541401E016</v>
      </c>
      <c r="F868" s="13">
        <v>44452</v>
      </c>
      <c r="G868" s="13">
        <v>44455</v>
      </c>
      <c r="H868" s="7">
        <f t="shared" ca="1" si="82"/>
        <v>-648</v>
      </c>
      <c r="I868" s="13">
        <v>44455</v>
      </c>
      <c r="J868" s="9">
        <f t="shared" ca="1" si="83"/>
        <v>0</v>
      </c>
      <c r="K868" s="10"/>
      <c r="L868" s="10" t="str">
        <f t="shared" si="84"/>
        <v>Accepted</v>
      </c>
      <c r="M868" s="11">
        <v>0</v>
      </c>
      <c r="N868" s="10" t="s">
        <v>18</v>
      </c>
      <c r="O868" s="42">
        <f t="shared" si="85"/>
        <v>15000</v>
      </c>
      <c r="P868" s="10" t="s">
        <v>19</v>
      </c>
    </row>
    <row r="869" spans="1:16" s="22" customFormat="1" ht="14.25" customHeight="1" x14ac:dyDescent="0.25">
      <c r="A869" s="5" t="s">
        <v>2036</v>
      </c>
      <c r="B869" s="22" t="s">
        <v>716</v>
      </c>
      <c r="C869" s="22" t="s">
        <v>752</v>
      </c>
      <c r="D869" s="18" t="s">
        <v>2037</v>
      </c>
      <c r="E869" s="24" t="str">
        <f t="shared" si="81"/>
        <v>S0591771E003</v>
      </c>
      <c r="F869" s="13">
        <v>44454</v>
      </c>
      <c r="G869" s="13">
        <v>44458</v>
      </c>
      <c r="H869" s="7">
        <f t="shared" ca="1" si="82"/>
        <v>-645</v>
      </c>
      <c r="I869" s="13">
        <v>44457</v>
      </c>
      <c r="J869" s="9">
        <f t="shared" ca="1" si="83"/>
        <v>0</v>
      </c>
      <c r="K869" s="10"/>
      <c r="L869" s="10" t="str">
        <f t="shared" si="84"/>
        <v>Accepted</v>
      </c>
      <c r="M869" s="11">
        <v>0</v>
      </c>
      <c r="N869" s="10" t="s">
        <v>18</v>
      </c>
      <c r="O869" s="42">
        <f t="shared" si="85"/>
        <v>15000</v>
      </c>
      <c r="P869" s="10" t="s">
        <v>19</v>
      </c>
    </row>
    <row r="870" spans="1:16" s="22" customFormat="1" ht="14.25" customHeight="1" x14ac:dyDescent="0.25">
      <c r="A870" s="5" t="s">
        <v>2040</v>
      </c>
      <c r="B870" s="22" t="s">
        <v>716</v>
      </c>
      <c r="C870" s="22" t="s">
        <v>752</v>
      </c>
      <c r="D870" s="18" t="s">
        <v>2041</v>
      </c>
      <c r="E870" s="24" t="str">
        <f t="shared" si="81"/>
        <v>S0591781E001</v>
      </c>
      <c r="F870" s="13">
        <v>44454</v>
      </c>
      <c r="G870" s="13">
        <v>44458</v>
      </c>
      <c r="H870" s="7">
        <f t="shared" ca="1" si="82"/>
        <v>-645</v>
      </c>
      <c r="I870" s="13">
        <v>44457</v>
      </c>
      <c r="J870" s="9">
        <f t="shared" ca="1" si="83"/>
        <v>0</v>
      </c>
      <c r="K870" s="10"/>
      <c r="L870" s="10" t="str">
        <f t="shared" si="84"/>
        <v>Accepted</v>
      </c>
      <c r="M870" s="11">
        <v>0</v>
      </c>
      <c r="N870" s="10" t="s">
        <v>18</v>
      </c>
      <c r="O870" s="42">
        <f t="shared" si="85"/>
        <v>15000</v>
      </c>
      <c r="P870" s="10" t="s">
        <v>19</v>
      </c>
    </row>
    <row r="871" spans="1:16" s="22" customFormat="1" ht="14.25" customHeight="1" x14ac:dyDescent="0.25">
      <c r="A871" s="5" t="s">
        <v>2042</v>
      </c>
      <c r="B871" s="22" t="s">
        <v>716</v>
      </c>
      <c r="C871" s="22" t="s">
        <v>752</v>
      </c>
      <c r="D871" s="18" t="s">
        <v>2043</v>
      </c>
      <c r="E871" s="24" t="str">
        <f t="shared" si="81"/>
        <v>S0591791E001</v>
      </c>
      <c r="F871" s="13">
        <v>44454</v>
      </c>
      <c r="G871" s="13">
        <v>44458</v>
      </c>
      <c r="H871" s="7">
        <f t="shared" ca="1" si="82"/>
        <v>-645</v>
      </c>
      <c r="I871" s="13">
        <v>44457</v>
      </c>
      <c r="J871" s="9">
        <f t="shared" ca="1" si="83"/>
        <v>0</v>
      </c>
      <c r="K871" s="10"/>
      <c r="L871" s="10" t="str">
        <f t="shared" si="84"/>
        <v>Accepted</v>
      </c>
      <c r="M871" s="11">
        <v>0</v>
      </c>
      <c r="N871" s="10" t="s">
        <v>18</v>
      </c>
      <c r="O871" s="42">
        <f t="shared" si="85"/>
        <v>15000</v>
      </c>
      <c r="P871" s="10" t="s">
        <v>19</v>
      </c>
    </row>
    <row r="872" spans="1:16" s="22" customFormat="1" ht="14.25" customHeight="1" x14ac:dyDescent="0.25">
      <c r="A872" s="5" t="s">
        <v>2044</v>
      </c>
      <c r="B872" s="22" t="s">
        <v>716</v>
      </c>
      <c r="C872" s="22" t="s">
        <v>752</v>
      </c>
      <c r="D872" s="18" t="s">
        <v>2045</v>
      </c>
      <c r="E872" s="24" t="str">
        <f t="shared" si="81"/>
        <v>S0591792E001</v>
      </c>
      <c r="F872" s="13">
        <v>44454</v>
      </c>
      <c r="G872" s="13">
        <v>44458</v>
      </c>
      <c r="H872" s="7">
        <f t="shared" ca="1" si="82"/>
        <v>-645</v>
      </c>
      <c r="I872" s="13">
        <v>44457</v>
      </c>
      <c r="J872" s="9">
        <f t="shared" ca="1" si="83"/>
        <v>0</v>
      </c>
      <c r="K872" s="10"/>
      <c r="L872" s="10" t="str">
        <f t="shared" si="84"/>
        <v>Accepted</v>
      </c>
      <c r="M872" s="11">
        <v>0</v>
      </c>
      <c r="N872" s="10" t="s">
        <v>18</v>
      </c>
      <c r="O872" s="42">
        <f t="shared" si="85"/>
        <v>15000</v>
      </c>
      <c r="P872" s="10" t="s">
        <v>19</v>
      </c>
    </row>
    <row r="873" spans="1:16" s="22" customFormat="1" ht="14.25" customHeight="1" x14ac:dyDescent="0.25">
      <c r="A873" s="5" t="s">
        <v>2046</v>
      </c>
      <c r="B873" s="22" t="s">
        <v>716</v>
      </c>
      <c r="C873" s="22" t="s">
        <v>752</v>
      </c>
      <c r="D873" s="18" t="s">
        <v>2047</v>
      </c>
      <c r="E873" s="24" t="str">
        <f t="shared" si="81"/>
        <v>S0591821E001</v>
      </c>
      <c r="F873" s="13">
        <v>44454</v>
      </c>
      <c r="G873" s="13">
        <v>44458</v>
      </c>
      <c r="H873" s="7">
        <f t="shared" ca="1" si="82"/>
        <v>-645</v>
      </c>
      <c r="I873" s="13">
        <v>44457</v>
      </c>
      <c r="J873" s="9">
        <f t="shared" ca="1" si="83"/>
        <v>0</v>
      </c>
      <c r="K873" s="10"/>
      <c r="L873" s="10" t="str">
        <f t="shared" si="84"/>
        <v>Accepted</v>
      </c>
      <c r="M873" s="11">
        <v>0</v>
      </c>
      <c r="N873" s="10" t="s">
        <v>18</v>
      </c>
      <c r="O873" s="42">
        <f t="shared" si="85"/>
        <v>15000</v>
      </c>
      <c r="P873" s="10" t="s">
        <v>19</v>
      </c>
    </row>
    <row r="874" spans="1:16" s="22" customFormat="1" ht="14.25" customHeight="1" x14ac:dyDescent="0.25">
      <c r="A874" s="5" t="s">
        <v>2048</v>
      </c>
      <c r="B874" s="22" t="s">
        <v>716</v>
      </c>
      <c r="C874" s="22" t="s">
        <v>752</v>
      </c>
      <c r="D874" s="18" t="s">
        <v>2049</v>
      </c>
      <c r="E874" s="24" t="str">
        <f t="shared" si="81"/>
        <v>S0591831E001</v>
      </c>
      <c r="F874" s="13">
        <v>44454</v>
      </c>
      <c r="G874" s="13">
        <v>44458</v>
      </c>
      <c r="H874" s="7">
        <f t="shared" ca="1" si="82"/>
        <v>-645</v>
      </c>
      <c r="I874" s="13">
        <v>44457</v>
      </c>
      <c r="J874" s="9">
        <f t="shared" ca="1" si="83"/>
        <v>0</v>
      </c>
      <c r="K874" s="10"/>
      <c r="L874" s="10" t="str">
        <f t="shared" si="84"/>
        <v>Accepted</v>
      </c>
      <c r="M874" s="11">
        <v>0</v>
      </c>
      <c r="N874" s="10" t="s">
        <v>18</v>
      </c>
      <c r="O874" s="42">
        <f t="shared" si="85"/>
        <v>15000</v>
      </c>
      <c r="P874" s="10" t="s">
        <v>19</v>
      </c>
    </row>
    <row r="875" spans="1:16" s="22" customFormat="1" ht="14.25" customHeight="1" x14ac:dyDescent="0.25">
      <c r="A875" s="5" t="s">
        <v>2050</v>
      </c>
      <c r="B875" s="22" t="s">
        <v>716</v>
      </c>
      <c r="C875" s="22" t="s">
        <v>752</v>
      </c>
      <c r="D875" s="18" t="s">
        <v>2051</v>
      </c>
      <c r="E875" s="24" t="str">
        <f t="shared" si="81"/>
        <v>S0591831E002</v>
      </c>
      <c r="F875" s="13">
        <v>44454</v>
      </c>
      <c r="G875" s="13">
        <v>44458</v>
      </c>
      <c r="H875" s="7">
        <f t="shared" ca="1" si="82"/>
        <v>-645</v>
      </c>
      <c r="I875" s="13">
        <v>44457</v>
      </c>
      <c r="J875" s="9">
        <f t="shared" ca="1" si="83"/>
        <v>0</v>
      </c>
      <c r="K875" s="10"/>
      <c r="L875" s="10" t="str">
        <f t="shared" si="84"/>
        <v>Accepted</v>
      </c>
      <c r="M875" s="11">
        <v>0</v>
      </c>
      <c r="N875" s="10" t="s">
        <v>18</v>
      </c>
      <c r="O875" s="42">
        <f t="shared" si="85"/>
        <v>15000</v>
      </c>
      <c r="P875" s="10" t="s">
        <v>19</v>
      </c>
    </row>
    <row r="876" spans="1:16" s="22" customFormat="1" ht="14.25" customHeight="1" x14ac:dyDescent="0.25">
      <c r="A876" s="5" t="s">
        <v>2052</v>
      </c>
      <c r="B876" s="22" t="s">
        <v>716</v>
      </c>
      <c r="C876" s="22" t="s">
        <v>752</v>
      </c>
      <c r="D876" s="18" t="s">
        <v>2053</v>
      </c>
      <c r="E876" s="24" t="str">
        <f t="shared" si="81"/>
        <v>S0591831E003</v>
      </c>
      <c r="F876" s="13">
        <v>44454</v>
      </c>
      <c r="G876" s="13">
        <v>44458</v>
      </c>
      <c r="H876" s="7">
        <f t="shared" ca="1" si="82"/>
        <v>-645</v>
      </c>
      <c r="I876" s="13">
        <v>44457</v>
      </c>
      <c r="J876" s="9">
        <f t="shared" ca="1" si="83"/>
        <v>0</v>
      </c>
      <c r="K876" s="10"/>
      <c r="L876" s="10" t="str">
        <f t="shared" si="84"/>
        <v>Accepted</v>
      </c>
      <c r="M876" s="11">
        <v>0</v>
      </c>
      <c r="N876" s="10" t="s">
        <v>18</v>
      </c>
      <c r="O876" s="42">
        <f t="shared" si="85"/>
        <v>15000</v>
      </c>
      <c r="P876" s="10" t="s">
        <v>19</v>
      </c>
    </row>
    <row r="877" spans="1:16" s="22" customFormat="1" ht="14.25" customHeight="1" x14ac:dyDescent="0.25">
      <c r="A877" s="5" t="s">
        <v>2054</v>
      </c>
      <c r="B877" s="22" t="s">
        <v>716</v>
      </c>
      <c r="C877" s="22" t="s">
        <v>752</v>
      </c>
      <c r="D877" s="18" t="s">
        <v>2055</v>
      </c>
      <c r="E877" s="24" t="str">
        <f t="shared" si="81"/>
        <v>S0591831E004</v>
      </c>
      <c r="F877" s="13">
        <v>44454</v>
      </c>
      <c r="G877" s="13">
        <v>44458</v>
      </c>
      <c r="H877" s="7">
        <f t="shared" ca="1" si="82"/>
        <v>-645</v>
      </c>
      <c r="I877" s="13">
        <v>44457</v>
      </c>
      <c r="J877" s="9">
        <f t="shared" ca="1" si="83"/>
        <v>0</v>
      </c>
      <c r="K877" s="10"/>
      <c r="L877" s="10" t="str">
        <f t="shared" si="84"/>
        <v>Accepted</v>
      </c>
      <c r="M877" s="11">
        <v>0</v>
      </c>
      <c r="N877" s="10" t="s">
        <v>18</v>
      </c>
      <c r="O877" s="42">
        <f t="shared" si="85"/>
        <v>15000</v>
      </c>
      <c r="P877" s="10" t="s">
        <v>19</v>
      </c>
    </row>
    <row r="878" spans="1:16" s="22" customFormat="1" ht="14.25" customHeight="1" x14ac:dyDescent="0.25">
      <c r="A878" s="5" t="s">
        <v>2060</v>
      </c>
      <c r="B878" s="22" t="s">
        <v>716</v>
      </c>
      <c r="C878" s="22" t="s">
        <v>2061</v>
      </c>
      <c r="D878" s="18" t="s">
        <v>2062</v>
      </c>
      <c r="E878" s="24" t="str">
        <f t="shared" si="81"/>
        <v>S0541051E002</v>
      </c>
      <c r="F878" s="13">
        <v>44456</v>
      </c>
      <c r="G878" s="13">
        <v>44458</v>
      </c>
      <c r="H878" s="7">
        <f t="shared" ca="1" si="82"/>
        <v>-645</v>
      </c>
      <c r="I878" s="13">
        <v>44457</v>
      </c>
      <c r="J878" s="9">
        <f t="shared" ca="1" si="83"/>
        <v>647</v>
      </c>
      <c r="K878" s="10" t="s">
        <v>771</v>
      </c>
      <c r="L878" s="10" t="str">
        <f t="shared" si="84"/>
        <v>Rejected</v>
      </c>
      <c r="M878" s="11">
        <v>1</v>
      </c>
      <c r="N878" s="10" t="s">
        <v>18</v>
      </c>
      <c r="O878" s="42">
        <f t="shared" si="85"/>
        <v>0</v>
      </c>
      <c r="P878" s="10" t="s">
        <v>2485</v>
      </c>
    </row>
    <row r="879" spans="1:16" s="22" customFormat="1" ht="14.25" customHeight="1" x14ac:dyDescent="0.25">
      <c r="A879" s="5" t="s">
        <v>2063</v>
      </c>
      <c r="B879" s="22" t="s">
        <v>716</v>
      </c>
      <c r="C879" s="22" t="s">
        <v>2061</v>
      </c>
      <c r="D879" s="18" t="s">
        <v>2064</v>
      </c>
      <c r="E879" s="24" t="str">
        <f t="shared" si="81"/>
        <v>S0541051E003</v>
      </c>
      <c r="F879" s="13">
        <v>44456</v>
      </c>
      <c r="G879" s="13">
        <v>44458</v>
      </c>
      <c r="H879" s="7">
        <f t="shared" ca="1" si="82"/>
        <v>-645</v>
      </c>
      <c r="I879" s="13">
        <v>44457</v>
      </c>
      <c r="J879" s="9">
        <f t="shared" ca="1" si="83"/>
        <v>647</v>
      </c>
      <c r="K879" s="10" t="s">
        <v>771</v>
      </c>
      <c r="L879" s="10" t="str">
        <f t="shared" si="84"/>
        <v>Rejected</v>
      </c>
      <c r="M879" s="11">
        <v>1</v>
      </c>
      <c r="N879" s="10" t="s">
        <v>18</v>
      </c>
      <c r="O879" s="42">
        <f t="shared" si="85"/>
        <v>0</v>
      </c>
      <c r="P879" s="10" t="s">
        <v>2485</v>
      </c>
    </row>
    <row r="880" spans="1:16" s="22" customFormat="1" ht="14.25" customHeight="1" x14ac:dyDescent="0.25">
      <c r="A880" s="5" t="s">
        <v>2065</v>
      </c>
      <c r="B880" s="22" t="s">
        <v>716</v>
      </c>
      <c r="C880" s="22" t="s">
        <v>2061</v>
      </c>
      <c r="D880" s="18" t="s">
        <v>2066</v>
      </c>
      <c r="E880" s="24" t="str">
        <f t="shared" si="81"/>
        <v>S0541071E003</v>
      </c>
      <c r="F880" s="13">
        <v>44456</v>
      </c>
      <c r="G880" s="13">
        <v>44458</v>
      </c>
      <c r="H880" s="7">
        <f t="shared" ca="1" si="82"/>
        <v>-645</v>
      </c>
      <c r="I880" s="13">
        <v>44457</v>
      </c>
      <c r="J880" s="9">
        <f t="shared" ca="1" si="83"/>
        <v>0</v>
      </c>
      <c r="K880" s="10"/>
      <c r="L880" s="10" t="str">
        <f t="shared" si="84"/>
        <v>Accepted</v>
      </c>
      <c r="M880" s="11">
        <v>0</v>
      </c>
      <c r="N880" s="10" t="s">
        <v>18</v>
      </c>
      <c r="O880" s="42">
        <f t="shared" si="85"/>
        <v>15000</v>
      </c>
      <c r="P880" s="10" t="s">
        <v>19</v>
      </c>
    </row>
    <row r="881" spans="1:16" s="22" customFormat="1" ht="14.25" customHeight="1" x14ac:dyDescent="0.25">
      <c r="A881" s="5" t="s">
        <v>2067</v>
      </c>
      <c r="B881" s="22" t="s">
        <v>716</v>
      </c>
      <c r="C881" s="22" t="s">
        <v>2061</v>
      </c>
      <c r="D881" s="18" t="s">
        <v>2068</v>
      </c>
      <c r="E881" s="24" t="str">
        <f t="shared" si="81"/>
        <v>S0541081E001</v>
      </c>
      <c r="F881" s="13">
        <v>44456</v>
      </c>
      <c r="G881" s="13">
        <v>44458</v>
      </c>
      <c r="H881" s="7">
        <f t="shared" ca="1" si="82"/>
        <v>-645</v>
      </c>
      <c r="I881" s="13">
        <v>44457</v>
      </c>
      <c r="J881" s="9">
        <f t="shared" ca="1" si="83"/>
        <v>0</v>
      </c>
      <c r="K881" s="10"/>
      <c r="L881" s="10" t="str">
        <f t="shared" si="84"/>
        <v>Accepted</v>
      </c>
      <c r="M881" s="11">
        <v>0</v>
      </c>
      <c r="N881" s="10" t="s">
        <v>18</v>
      </c>
      <c r="O881" s="42">
        <f t="shared" si="85"/>
        <v>15000</v>
      </c>
      <c r="P881" s="10" t="s">
        <v>19</v>
      </c>
    </row>
    <row r="882" spans="1:16" s="22" customFormat="1" ht="14.25" customHeight="1" x14ac:dyDescent="0.25">
      <c r="A882" s="5" t="s">
        <v>2069</v>
      </c>
      <c r="B882" s="22" t="s">
        <v>716</v>
      </c>
      <c r="C882" s="22" t="s">
        <v>2061</v>
      </c>
      <c r="D882" s="18" t="s">
        <v>2070</v>
      </c>
      <c r="E882" s="24" t="str">
        <f t="shared" si="81"/>
        <v>S0541081E002</v>
      </c>
      <c r="F882" s="13">
        <v>44456</v>
      </c>
      <c r="G882" s="13">
        <v>44458</v>
      </c>
      <c r="H882" s="7">
        <f t="shared" ca="1" si="82"/>
        <v>-645</v>
      </c>
      <c r="I882" s="13">
        <v>44457</v>
      </c>
      <c r="J882" s="9">
        <f t="shared" ca="1" si="83"/>
        <v>0</v>
      </c>
      <c r="K882" s="10"/>
      <c r="L882" s="10" t="str">
        <f t="shared" si="84"/>
        <v>Accepted</v>
      </c>
      <c r="M882" s="11">
        <v>0</v>
      </c>
      <c r="N882" s="10" t="s">
        <v>18</v>
      </c>
      <c r="O882" s="42">
        <f t="shared" si="85"/>
        <v>15000</v>
      </c>
      <c r="P882" s="10" t="s">
        <v>19</v>
      </c>
    </row>
    <row r="883" spans="1:16" s="22" customFormat="1" ht="14.25" customHeight="1" x14ac:dyDescent="0.25">
      <c r="A883" s="5" t="s">
        <v>2071</v>
      </c>
      <c r="B883" s="22" t="s">
        <v>716</v>
      </c>
      <c r="C883" s="22" t="s">
        <v>2061</v>
      </c>
      <c r="D883" s="18" t="s">
        <v>2072</v>
      </c>
      <c r="E883" s="24" t="str">
        <f t="shared" si="81"/>
        <v>S0541081E003</v>
      </c>
      <c r="F883" s="13">
        <v>44456</v>
      </c>
      <c r="G883" s="13">
        <v>44458</v>
      </c>
      <c r="H883" s="7">
        <f t="shared" ca="1" si="82"/>
        <v>-645</v>
      </c>
      <c r="I883" s="13">
        <v>44457</v>
      </c>
      <c r="J883" s="9">
        <f t="shared" ca="1" si="83"/>
        <v>0</v>
      </c>
      <c r="K883" s="10"/>
      <c r="L883" s="10" t="str">
        <f t="shared" si="84"/>
        <v>Accepted</v>
      </c>
      <c r="M883" s="11">
        <v>0</v>
      </c>
      <c r="N883" s="10" t="s">
        <v>18</v>
      </c>
      <c r="O883" s="42">
        <f t="shared" si="85"/>
        <v>15000</v>
      </c>
      <c r="P883" s="10" t="s">
        <v>19</v>
      </c>
    </row>
    <row r="884" spans="1:16" s="22" customFormat="1" ht="14.25" customHeight="1" x14ac:dyDescent="0.25">
      <c r="A884" s="5" t="s">
        <v>2073</v>
      </c>
      <c r="B884" s="22" t="s">
        <v>716</v>
      </c>
      <c r="C884" s="22" t="s">
        <v>2061</v>
      </c>
      <c r="D884" s="18" t="s">
        <v>2074</v>
      </c>
      <c r="E884" s="24" t="str">
        <f t="shared" si="81"/>
        <v>S0541081E004</v>
      </c>
      <c r="F884" s="13">
        <v>44456</v>
      </c>
      <c r="G884" s="13">
        <v>44458</v>
      </c>
      <c r="H884" s="7">
        <f t="shared" ca="1" si="82"/>
        <v>-645</v>
      </c>
      <c r="I884" s="13">
        <v>44457</v>
      </c>
      <c r="J884" s="9">
        <f t="shared" ca="1" si="83"/>
        <v>0</v>
      </c>
      <c r="K884" s="10"/>
      <c r="L884" s="10" t="str">
        <f t="shared" si="84"/>
        <v>Accepted</v>
      </c>
      <c r="M884" s="11">
        <v>0</v>
      </c>
      <c r="N884" s="10" t="s">
        <v>18</v>
      </c>
      <c r="O884" s="42">
        <f t="shared" si="85"/>
        <v>15000</v>
      </c>
      <c r="P884" s="10" t="s">
        <v>19</v>
      </c>
    </row>
    <row r="885" spans="1:16" s="22" customFormat="1" ht="14.25" customHeight="1" x14ac:dyDescent="0.25">
      <c r="A885" s="5" t="s">
        <v>2075</v>
      </c>
      <c r="B885" s="22" t="s">
        <v>716</v>
      </c>
      <c r="C885" s="22" t="s">
        <v>2061</v>
      </c>
      <c r="D885" s="18" t="s">
        <v>2076</v>
      </c>
      <c r="E885" s="24" t="str">
        <f t="shared" si="81"/>
        <v>S0541081E005</v>
      </c>
      <c r="F885" s="13">
        <v>44456</v>
      </c>
      <c r="G885" s="13">
        <v>44458</v>
      </c>
      <c r="H885" s="7">
        <f t="shared" ca="1" si="82"/>
        <v>-645</v>
      </c>
      <c r="I885" s="13">
        <v>44457</v>
      </c>
      <c r="J885" s="9">
        <f t="shared" ca="1" si="83"/>
        <v>0</v>
      </c>
      <c r="K885" s="10"/>
      <c r="L885" s="10" t="str">
        <f t="shared" si="84"/>
        <v>Accepted</v>
      </c>
      <c r="M885" s="11">
        <v>0</v>
      </c>
      <c r="N885" s="10" t="s">
        <v>18</v>
      </c>
      <c r="O885" s="42">
        <f t="shared" si="85"/>
        <v>15000</v>
      </c>
      <c r="P885" s="10" t="s">
        <v>19</v>
      </c>
    </row>
    <row r="886" spans="1:16" s="22" customFormat="1" ht="14.25" customHeight="1" x14ac:dyDescent="0.25">
      <c r="A886" s="5" t="s">
        <v>2038</v>
      </c>
      <c r="B886" s="22" t="s">
        <v>716</v>
      </c>
      <c r="C886" s="22" t="s">
        <v>752</v>
      </c>
      <c r="D886" s="18" t="s">
        <v>2039</v>
      </c>
      <c r="E886" s="24" t="str">
        <f t="shared" si="81"/>
        <v>S0591771E004</v>
      </c>
      <c r="F886" s="13">
        <v>44454</v>
      </c>
      <c r="G886" s="13">
        <v>44472</v>
      </c>
      <c r="H886" s="7">
        <f t="shared" ca="1" si="82"/>
        <v>-631</v>
      </c>
      <c r="I886" s="13">
        <v>44457</v>
      </c>
      <c r="J886" s="9">
        <f t="shared" ca="1" si="83"/>
        <v>649</v>
      </c>
      <c r="K886" s="10" t="s">
        <v>771</v>
      </c>
      <c r="L886" s="10" t="str">
        <f t="shared" si="84"/>
        <v>Rejected</v>
      </c>
      <c r="M886" s="11">
        <v>1</v>
      </c>
      <c r="N886" s="10" t="s">
        <v>18</v>
      </c>
      <c r="O886" s="42">
        <f t="shared" si="85"/>
        <v>0</v>
      </c>
      <c r="P886" s="10" t="s">
        <v>2485</v>
      </c>
    </row>
    <row r="887" spans="1:16" s="22" customFormat="1" ht="14.25" customHeight="1" x14ac:dyDescent="0.25">
      <c r="A887" s="5" t="s">
        <v>1994</v>
      </c>
      <c r="B887" s="22" t="s">
        <v>716</v>
      </c>
      <c r="C887" s="22" t="s">
        <v>2472</v>
      </c>
      <c r="D887" s="18" t="s">
        <v>1995</v>
      </c>
      <c r="E887" s="24" t="str">
        <f t="shared" si="81"/>
        <v>S0541331E011</v>
      </c>
      <c r="F887" s="13">
        <v>44452</v>
      </c>
      <c r="G887" s="13">
        <v>44458</v>
      </c>
      <c r="H887" s="7">
        <f t="shared" ca="1" si="82"/>
        <v>-645</v>
      </c>
      <c r="I887" s="13">
        <v>44458</v>
      </c>
      <c r="J887" s="9">
        <f t="shared" ca="1" si="83"/>
        <v>0</v>
      </c>
      <c r="K887" s="10"/>
      <c r="L887" s="10" t="str">
        <f t="shared" si="84"/>
        <v>Accepted</v>
      </c>
      <c r="M887" s="11">
        <v>0</v>
      </c>
      <c r="N887" s="10" t="s">
        <v>30</v>
      </c>
      <c r="O887" s="42">
        <f t="shared" si="85"/>
        <v>18000</v>
      </c>
      <c r="P887" s="10" t="s">
        <v>19</v>
      </c>
    </row>
    <row r="888" spans="1:16" s="22" customFormat="1" ht="14.25" customHeight="1" x14ac:dyDescent="0.25">
      <c r="A888" s="5" t="s">
        <v>2000</v>
      </c>
      <c r="B888" s="22" t="s">
        <v>716</v>
      </c>
      <c r="C888" s="22" t="s">
        <v>752</v>
      </c>
      <c r="D888" s="18" t="s">
        <v>2001</v>
      </c>
      <c r="E888" s="24" t="str">
        <f t="shared" si="81"/>
        <v>S0541341E001</v>
      </c>
      <c r="F888" s="13">
        <v>44452</v>
      </c>
      <c r="G888" s="13">
        <v>44458</v>
      </c>
      <c r="H888" s="7">
        <f t="shared" ca="1" si="82"/>
        <v>-645</v>
      </c>
      <c r="I888" s="13">
        <v>44458</v>
      </c>
      <c r="J888" s="9">
        <f t="shared" ca="1" si="83"/>
        <v>0</v>
      </c>
      <c r="K888" s="10"/>
      <c r="L888" s="10" t="str">
        <f t="shared" si="84"/>
        <v>Accepted</v>
      </c>
      <c r="M888" s="11">
        <v>0</v>
      </c>
      <c r="N888" s="10" t="s">
        <v>30</v>
      </c>
      <c r="O888" s="42">
        <f t="shared" si="85"/>
        <v>18000</v>
      </c>
      <c r="P888" s="10" t="s">
        <v>19</v>
      </c>
    </row>
    <row r="889" spans="1:16" s="22" customFormat="1" ht="14.25" customHeight="1" x14ac:dyDescent="0.25">
      <c r="A889" s="5" t="s">
        <v>1828</v>
      </c>
      <c r="B889" s="22" t="s">
        <v>716</v>
      </c>
      <c r="C889" s="22" t="s">
        <v>752</v>
      </c>
      <c r="D889" s="18" t="s">
        <v>1829</v>
      </c>
      <c r="E889" s="24" t="str">
        <f t="shared" si="81"/>
        <v>S0301651E001</v>
      </c>
      <c r="F889" s="13">
        <v>44443</v>
      </c>
      <c r="G889" s="13">
        <v>44462</v>
      </c>
      <c r="H889" s="7">
        <f t="shared" ca="1" si="82"/>
        <v>-641</v>
      </c>
      <c r="I889" s="13">
        <v>44460</v>
      </c>
      <c r="J889" s="9">
        <f t="shared" ca="1" si="83"/>
        <v>0</v>
      </c>
      <c r="K889" s="10"/>
      <c r="L889" s="10" t="str">
        <f t="shared" si="84"/>
        <v>Accepted</v>
      </c>
      <c r="M889" s="11">
        <v>0</v>
      </c>
      <c r="N889" s="10" t="s">
        <v>18</v>
      </c>
      <c r="O889" s="42">
        <f t="shared" si="85"/>
        <v>15000</v>
      </c>
      <c r="P889" s="10" t="s">
        <v>19</v>
      </c>
    </row>
    <row r="890" spans="1:16" s="22" customFormat="1" ht="14.25" customHeight="1" x14ac:dyDescent="0.25">
      <c r="A890" s="5" t="s">
        <v>2058</v>
      </c>
      <c r="B890" s="22" t="s">
        <v>716</v>
      </c>
      <c r="C890" s="22" t="s">
        <v>752</v>
      </c>
      <c r="D890" s="18" t="s">
        <v>2059</v>
      </c>
      <c r="E890" s="24" t="str">
        <f t="shared" si="81"/>
        <v>S0591832E001</v>
      </c>
      <c r="F890" s="13">
        <v>44454</v>
      </c>
      <c r="G890" s="13">
        <v>44462</v>
      </c>
      <c r="H890" s="7">
        <f t="shared" ca="1" si="82"/>
        <v>-641</v>
      </c>
      <c r="I890" s="13">
        <v>44460</v>
      </c>
      <c r="J890" s="9">
        <f t="shared" ca="1" si="83"/>
        <v>0</v>
      </c>
      <c r="K890" s="10"/>
      <c r="L890" s="10" t="str">
        <f t="shared" si="84"/>
        <v>Accepted</v>
      </c>
      <c r="M890" s="11">
        <v>0</v>
      </c>
      <c r="N890" s="10" t="s">
        <v>30</v>
      </c>
      <c r="O890" s="42">
        <f t="shared" si="85"/>
        <v>18000</v>
      </c>
      <c r="P890" s="10" t="s">
        <v>19</v>
      </c>
    </row>
    <row r="891" spans="1:16" s="22" customFormat="1" ht="14.25" customHeight="1" x14ac:dyDescent="0.25">
      <c r="A891" s="5" t="s">
        <v>2081</v>
      </c>
      <c r="B891" s="22" t="s">
        <v>716</v>
      </c>
      <c r="C891" s="22" t="s">
        <v>2061</v>
      </c>
      <c r="D891" s="18" t="s">
        <v>2082</v>
      </c>
      <c r="E891" s="24" t="str">
        <f t="shared" si="81"/>
        <v>S0301511E002</v>
      </c>
      <c r="F891" s="13">
        <v>44459</v>
      </c>
      <c r="G891" s="13">
        <v>44462</v>
      </c>
      <c r="H891" s="7">
        <f t="shared" ca="1" si="82"/>
        <v>-641</v>
      </c>
      <c r="I891" s="13">
        <v>44460</v>
      </c>
      <c r="J891" s="9">
        <f t="shared" ca="1" si="83"/>
        <v>0</v>
      </c>
      <c r="K891" s="10"/>
      <c r="L891" s="10" t="str">
        <f t="shared" si="84"/>
        <v>Accepted</v>
      </c>
      <c r="M891" s="11">
        <v>0</v>
      </c>
      <c r="N891" s="10" t="s">
        <v>18</v>
      </c>
      <c r="O891" s="42">
        <f t="shared" si="85"/>
        <v>15000</v>
      </c>
      <c r="P891" s="10" t="s">
        <v>19</v>
      </c>
    </row>
    <row r="892" spans="1:16" s="22" customFormat="1" ht="14.25" customHeight="1" x14ac:dyDescent="0.25">
      <c r="A892" s="5" t="s">
        <v>2087</v>
      </c>
      <c r="B892" s="22" t="s">
        <v>716</v>
      </c>
      <c r="C892" s="22" t="s">
        <v>2061</v>
      </c>
      <c r="D892" s="18" t="s">
        <v>2088</v>
      </c>
      <c r="E892" s="24" t="str">
        <f t="shared" si="81"/>
        <v>S0391151E002</v>
      </c>
      <c r="F892" s="13">
        <v>44459</v>
      </c>
      <c r="G892" s="13">
        <v>44462</v>
      </c>
      <c r="H892" s="7">
        <f t="shared" ca="1" si="82"/>
        <v>-641</v>
      </c>
      <c r="I892" s="13">
        <v>44460</v>
      </c>
      <c r="J892" s="9">
        <f t="shared" ca="1" si="83"/>
        <v>0</v>
      </c>
      <c r="K892" s="10"/>
      <c r="L892" s="10" t="str">
        <f t="shared" si="84"/>
        <v>Accepted</v>
      </c>
      <c r="M892" s="11">
        <v>0</v>
      </c>
      <c r="N892" s="10" t="s">
        <v>18</v>
      </c>
      <c r="O892" s="42">
        <f t="shared" si="85"/>
        <v>15000</v>
      </c>
      <c r="P892" s="10" t="s">
        <v>19</v>
      </c>
    </row>
    <row r="893" spans="1:16" s="22" customFormat="1" ht="14.25" customHeight="1" x14ac:dyDescent="0.25">
      <c r="A893" s="5" t="s">
        <v>2134</v>
      </c>
      <c r="B893" s="22" t="s">
        <v>716</v>
      </c>
      <c r="C893" s="22" t="s">
        <v>787</v>
      </c>
      <c r="D893" s="18" t="s">
        <v>2135</v>
      </c>
      <c r="E893" s="24" t="str">
        <f t="shared" si="81"/>
        <v>S0472001a002</v>
      </c>
      <c r="F893" s="13">
        <v>44459</v>
      </c>
      <c r="G893" s="13">
        <v>44462</v>
      </c>
      <c r="H893" s="7">
        <f t="shared" ca="1" si="82"/>
        <v>-641</v>
      </c>
      <c r="I893" s="13">
        <v>44460</v>
      </c>
      <c r="J893" s="9">
        <f t="shared" ca="1" si="83"/>
        <v>0</v>
      </c>
      <c r="K893" s="10"/>
      <c r="L893" s="10" t="str">
        <f t="shared" si="84"/>
        <v>Accepted</v>
      </c>
      <c r="M893" s="11">
        <v>0</v>
      </c>
      <c r="N893" s="10" t="s">
        <v>30</v>
      </c>
      <c r="O893" s="42">
        <f t="shared" si="85"/>
        <v>18000</v>
      </c>
      <c r="P893" s="10" t="s">
        <v>19</v>
      </c>
    </row>
    <row r="894" spans="1:16" s="22" customFormat="1" ht="14.25" customHeight="1" x14ac:dyDescent="0.25">
      <c r="A894" s="5" t="s">
        <v>2154</v>
      </c>
      <c r="B894" s="22" t="s">
        <v>716</v>
      </c>
      <c r="C894" s="22" t="s">
        <v>2155</v>
      </c>
      <c r="D894" s="18" t="s">
        <v>2156</v>
      </c>
      <c r="E894" s="24" t="str">
        <f t="shared" si="81"/>
        <v>S0551511E001</v>
      </c>
      <c r="F894" s="13">
        <v>44459</v>
      </c>
      <c r="G894" s="13">
        <v>44462</v>
      </c>
      <c r="H894" s="7">
        <f t="shared" ca="1" si="82"/>
        <v>-641</v>
      </c>
      <c r="I894" s="13">
        <v>44460</v>
      </c>
      <c r="J894" s="9">
        <f t="shared" ca="1" si="83"/>
        <v>0</v>
      </c>
      <c r="K894" s="10"/>
      <c r="L894" s="10" t="str">
        <f t="shared" si="84"/>
        <v>Accepted</v>
      </c>
      <c r="M894" s="11">
        <v>0</v>
      </c>
      <c r="N894" s="10" t="s">
        <v>18</v>
      </c>
      <c r="O894" s="42">
        <f t="shared" si="85"/>
        <v>15000</v>
      </c>
      <c r="P894" s="10" t="s">
        <v>19</v>
      </c>
    </row>
    <row r="895" spans="1:16" s="22" customFormat="1" ht="14.25" customHeight="1" x14ac:dyDescent="0.25">
      <c r="A895" s="5" t="s">
        <v>2163</v>
      </c>
      <c r="B895" s="22" t="s">
        <v>716</v>
      </c>
      <c r="C895" s="22" t="s">
        <v>752</v>
      </c>
      <c r="D895" s="18" t="s">
        <v>2164</v>
      </c>
      <c r="E895" s="24" t="str">
        <f t="shared" si="81"/>
        <v>S0561391E009</v>
      </c>
      <c r="F895" s="13">
        <v>44459</v>
      </c>
      <c r="G895" s="13">
        <v>44462</v>
      </c>
      <c r="H895" s="7">
        <f t="shared" ca="1" si="82"/>
        <v>-641</v>
      </c>
      <c r="I895" s="13">
        <v>44460</v>
      </c>
      <c r="J895" s="9">
        <f t="shared" ca="1" si="83"/>
        <v>0</v>
      </c>
      <c r="K895" s="10"/>
      <c r="L895" s="10" t="str">
        <f t="shared" si="84"/>
        <v>Accepted</v>
      </c>
      <c r="M895" s="11">
        <v>0</v>
      </c>
      <c r="N895" s="10" t="s">
        <v>18</v>
      </c>
      <c r="O895" s="42">
        <f t="shared" si="85"/>
        <v>15000</v>
      </c>
      <c r="P895" s="10" t="s">
        <v>19</v>
      </c>
    </row>
    <row r="896" spans="1:16" s="22" customFormat="1" ht="14.25" customHeight="1" x14ac:dyDescent="0.25">
      <c r="A896" s="5" t="s">
        <v>2089</v>
      </c>
      <c r="B896" s="22" t="s">
        <v>716</v>
      </c>
      <c r="C896" s="22" t="s">
        <v>2473</v>
      </c>
      <c r="D896" s="18" t="s">
        <v>2090</v>
      </c>
      <c r="E896" s="24" t="str">
        <f t="shared" si="81"/>
        <v>S0901892E002</v>
      </c>
      <c r="F896" s="13">
        <v>44459</v>
      </c>
      <c r="G896" s="13">
        <v>44462</v>
      </c>
      <c r="H896" s="7">
        <f t="shared" ca="1" si="82"/>
        <v>-641</v>
      </c>
      <c r="I896" s="13">
        <v>44461</v>
      </c>
      <c r="J896" s="9">
        <f t="shared" ca="1" si="83"/>
        <v>0</v>
      </c>
      <c r="K896" s="10"/>
      <c r="L896" s="10" t="str">
        <f t="shared" si="84"/>
        <v>Accepted</v>
      </c>
      <c r="M896" s="11">
        <v>0</v>
      </c>
      <c r="N896" s="10" t="s">
        <v>18</v>
      </c>
      <c r="O896" s="42">
        <f t="shared" si="85"/>
        <v>15000</v>
      </c>
      <c r="P896" s="10" t="s">
        <v>19</v>
      </c>
    </row>
    <row r="897" spans="1:16" s="22" customFormat="1" ht="14.25" customHeight="1" x14ac:dyDescent="0.25">
      <c r="A897" s="5" t="s">
        <v>2093</v>
      </c>
      <c r="B897" s="22" t="s">
        <v>716</v>
      </c>
      <c r="C897" s="22" t="s">
        <v>2473</v>
      </c>
      <c r="D897" s="18" t="s">
        <v>2094</v>
      </c>
      <c r="E897" s="24" t="str">
        <f t="shared" si="81"/>
        <v>S0840911c002</v>
      </c>
      <c r="F897" s="13">
        <v>44459</v>
      </c>
      <c r="G897" s="13">
        <v>44462</v>
      </c>
      <c r="H897" s="7">
        <f t="shared" ca="1" si="82"/>
        <v>-641</v>
      </c>
      <c r="I897" s="13">
        <v>44461</v>
      </c>
      <c r="J897" s="9">
        <f t="shared" ca="1" si="83"/>
        <v>0</v>
      </c>
      <c r="K897" s="10"/>
      <c r="L897" s="10" t="str">
        <f t="shared" si="84"/>
        <v>Accepted</v>
      </c>
      <c r="M897" s="11">
        <v>0</v>
      </c>
      <c r="N897" s="10" t="s">
        <v>18</v>
      </c>
      <c r="O897" s="42">
        <f t="shared" si="85"/>
        <v>15000</v>
      </c>
      <c r="P897" s="10" t="s">
        <v>19</v>
      </c>
    </row>
    <row r="898" spans="1:16" s="22" customFormat="1" ht="14.25" customHeight="1" x14ac:dyDescent="0.25">
      <c r="A898" s="5" t="s">
        <v>2095</v>
      </c>
      <c r="B898" s="22" t="s">
        <v>716</v>
      </c>
      <c r="C898" s="22" t="s">
        <v>2473</v>
      </c>
      <c r="D898" s="18" t="s">
        <v>2096</v>
      </c>
      <c r="E898" s="24" t="str">
        <f t="shared" ref="E898:E961" si="86">HYPERLINK(D898,A898)</f>
        <v>S0861161E001</v>
      </c>
      <c r="F898" s="13">
        <v>44459</v>
      </c>
      <c r="G898" s="13">
        <v>44462</v>
      </c>
      <c r="H898" s="7">
        <f t="shared" ref="H898:H961" ca="1" si="87">G898-TODAY()</f>
        <v>-641</v>
      </c>
      <c r="I898" s="13">
        <v>44461</v>
      </c>
      <c r="J898" s="9">
        <f t="shared" ref="J898:J961" ca="1" si="88">IF(L898="Accepted",0,TODAY()-F898)</f>
        <v>0</v>
      </c>
      <c r="K898" s="10"/>
      <c r="L898" s="10" t="str">
        <f t="shared" ref="L898:L961" si="89">IF(AND(NOT(ISBLANK(I898)), ISBLANK(K898)),"Accepted", IF(AND(ISBLANK(I898),ISBLANK(K898)),"Not Submitted", "Rejected"))</f>
        <v>Accepted</v>
      </c>
      <c r="M898" s="11">
        <v>0</v>
      </c>
      <c r="N898" s="10" t="s">
        <v>18</v>
      </c>
      <c r="O898" s="42">
        <f t="shared" ref="O898:O961" si="90">IF(AND(L898="Accepted",B898="SMA",N898="no"),20000,
IF(AND(L898="Accepted",OR(B898="SMP",B898="SD"),N898="no"),15000,
IF(AND(L898="Accepted",B898="SMA",N898="yes"),25000,
IF(AND(L898="Accepted",OR(B898="SMP",B898="SD"),N898="yes"),18000,
0))))</f>
        <v>15000</v>
      </c>
      <c r="P898" s="10" t="s">
        <v>19</v>
      </c>
    </row>
    <row r="899" spans="1:16" s="22" customFormat="1" ht="14.25" customHeight="1" x14ac:dyDescent="0.25">
      <c r="A899" s="5" t="s">
        <v>2097</v>
      </c>
      <c r="B899" s="22" t="s">
        <v>716</v>
      </c>
      <c r="C899" s="22" t="s">
        <v>2473</v>
      </c>
      <c r="D899" s="18" t="s">
        <v>2098</v>
      </c>
      <c r="E899" s="24" t="str">
        <f t="shared" si="86"/>
        <v>S0891941E002</v>
      </c>
      <c r="F899" s="13">
        <v>44459</v>
      </c>
      <c r="G899" s="13">
        <v>44462</v>
      </c>
      <c r="H899" s="7">
        <f t="shared" ca="1" si="87"/>
        <v>-641</v>
      </c>
      <c r="I899" s="13">
        <v>44461</v>
      </c>
      <c r="J899" s="9">
        <f t="shared" ca="1" si="88"/>
        <v>0</v>
      </c>
      <c r="K899" s="10"/>
      <c r="L899" s="10" t="str">
        <f t="shared" si="89"/>
        <v>Accepted</v>
      </c>
      <c r="M899" s="11">
        <v>0</v>
      </c>
      <c r="N899" s="10" t="s">
        <v>18</v>
      </c>
      <c r="O899" s="42">
        <f t="shared" si="90"/>
        <v>15000</v>
      </c>
      <c r="P899" s="10" t="s">
        <v>19</v>
      </c>
    </row>
    <row r="900" spans="1:16" s="22" customFormat="1" ht="14.25" customHeight="1" x14ac:dyDescent="0.25">
      <c r="A900" s="5" t="s">
        <v>2114</v>
      </c>
      <c r="B900" s="22" t="s">
        <v>716</v>
      </c>
      <c r="C900" s="22" t="s">
        <v>992</v>
      </c>
      <c r="D900" s="18" t="s">
        <v>2115</v>
      </c>
      <c r="E900" s="24" t="str">
        <f t="shared" si="86"/>
        <v>S0200632E002</v>
      </c>
      <c r="F900" s="13">
        <v>44459</v>
      </c>
      <c r="G900" s="13">
        <v>44462</v>
      </c>
      <c r="H900" s="7">
        <f t="shared" ca="1" si="87"/>
        <v>-641</v>
      </c>
      <c r="I900" s="13">
        <v>44462</v>
      </c>
      <c r="J900" s="9">
        <f t="shared" ca="1" si="88"/>
        <v>0</v>
      </c>
      <c r="K900" s="10"/>
      <c r="L900" s="10" t="str">
        <f t="shared" si="89"/>
        <v>Accepted</v>
      </c>
      <c r="M900" s="11">
        <v>0</v>
      </c>
      <c r="N900" s="10" t="s">
        <v>18</v>
      </c>
      <c r="O900" s="42">
        <f t="shared" si="90"/>
        <v>15000</v>
      </c>
      <c r="P900" s="10" t="s">
        <v>19</v>
      </c>
    </row>
    <row r="901" spans="1:16" s="22" customFormat="1" ht="14.25" customHeight="1" x14ac:dyDescent="0.25">
      <c r="A901" s="5" t="s">
        <v>2167</v>
      </c>
      <c r="B901" s="22" t="s">
        <v>716</v>
      </c>
      <c r="C901" s="22" t="s">
        <v>1043</v>
      </c>
      <c r="D901" s="18" t="s">
        <v>2168</v>
      </c>
      <c r="E901" s="24" t="str">
        <f t="shared" si="86"/>
        <v>V0213142E005</v>
      </c>
      <c r="F901" s="13">
        <v>44461</v>
      </c>
      <c r="G901" s="13">
        <v>44462</v>
      </c>
      <c r="H901" s="7">
        <f t="shared" ca="1" si="87"/>
        <v>-641</v>
      </c>
      <c r="I901" s="13">
        <v>44462</v>
      </c>
      <c r="J901" s="9">
        <f t="shared" ca="1" si="88"/>
        <v>0</v>
      </c>
      <c r="K901" s="10"/>
      <c r="L901" s="10" t="str">
        <f t="shared" si="89"/>
        <v>Accepted</v>
      </c>
      <c r="M901" s="11">
        <v>0</v>
      </c>
      <c r="N901" s="10" t="s">
        <v>18</v>
      </c>
      <c r="O901" s="42">
        <f t="shared" si="90"/>
        <v>15000</v>
      </c>
      <c r="P901" s="10" t="s">
        <v>19</v>
      </c>
    </row>
    <row r="902" spans="1:16" s="22" customFormat="1" ht="14.25" customHeight="1" x14ac:dyDescent="0.25">
      <c r="A902" s="5" t="s">
        <v>2169</v>
      </c>
      <c r="B902" s="22" t="s">
        <v>716</v>
      </c>
      <c r="C902" s="22" t="s">
        <v>1694</v>
      </c>
      <c r="D902" s="18" t="s">
        <v>2170</v>
      </c>
      <c r="E902" s="24" t="str">
        <f t="shared" si="86"/>
        <v>T007N901P001</v>
      </c>
      <c r="F902" s="13">
        <v>44461</v>
      </c>
      <c r="G902" s="13">
        <v>44462</v>
      </c>
      <c r="H902" s="7">
        <f t="shared" ca="1" si="87"/>
        <v>-641</v>
      </c>
      <c r="I902" s="13">
        <v>44462</v>
      </c>
      <c r="J902" s="9">
        <f t="shared" ca="1" si="88"/>
        <v>0</v>
      </c>
      <c r="K902" s="10"/>
      <c r="L902" s="10" t="str">
        <f t="shared" si="89"/>
        <v>Accepted</v>
      </c>
      <c r="M902" s="11">
        <v>0</v>
      </c>
      <c r="N902" s="10" t="s">
        <v>18</v>
      </c>
      <c r="O902" s="42">
        <f t="shared" si="90"/>
        <v>15000</v>
      </c>
      <c r="P902" s="10" t="s">
        <v>19</v>
      </c>
    </row>
    <row r="903" spans="1:16" s="22" customFormat="1" ht="14.25" customHeight="1" x14ac:dyDescent="0.25">
      <c r="A903" s="5" t="s">
        <v>2171</v>
      </c>
      <c r="B903" s="22" t="s">
        <v>716</v>
      </c>
      <c r="C903" s="22" t="s">
        <v>1694</v>
      </c>
      <c r="D903" s="18" t="s">
        <v>2172</v>
      </c>
      <c r="E903" s="24" t="str">
        <f t="shared" si="86"/>
        <v>T007P701P001</v>
      </c>
      <c r="F903" s="13">
        <v>44461</v>
      </c>
      <c r="G903" s="13">
        <v>44462</v>
      </c>
      <c r="H903" s="7">
        <f t="shared" ca="1" si="87"/>
        <v>-641</v>
      </c>
      <c r="I903" s="13">
        <v>44462</v>
      </c>
      <c r="J903" s="9">
        <f t="shared" ca="1" si="88"/>
        <v>0</v>
      </c>
      <c r="K903" s="10"/>
      <c r="L903" s="10" t="str">
        <f t="shared" si="89"/>
        <v>Accepted</v>
      </c>
      <c r="M903" s="11">
        <v>0</v>
      </c>
      <c r="N903" s="10" t="s">
        <v>18</v>
      </c>
      <c r="O903" s="42">
        <f t="shared" si="90"/>
        <v>15000</v>
      </c>
      <c r="P903" s="10" t="s">
        <v>19</v>
      </c>
    </row>
    <row r="904" spans="1:16" s="22" customFormat="1" ht="14.25" customHeight="1" x14ac:dyDescent="0.25">
      <c r="A904" s="5" t="s">
        <v>2175</v>
      </c>
      <c r="B904" s="22" t="s">
        <v>716</v>
      </c>
      <c r="C904" s="22" t="s">
        <v>1694</v>
      </c>
      <c r="D904" s="18" t="s">
        <v>2176</v>
      </c>
      <c r="E904" s="24" t="str">
        <f t="shared" si="86"/>
        <v>T007B301P001</v>
      </c>
      <c r="F904" s="13">
        <v>44461</v>
      </c>
      <c r="G904" s="13">
        <v>44462</v>
      </c>
      <c r="H904" s="7">
        <f t="shared" ca="1" si="87"/>
        <v>-641</v>
      </c>
      <c r="I904" s="13">
        <v>44462</v>
      </c>
      <c r="J904" s="9">
        <f t="shared" ca="1" si="88"/>
        <v>0</v>
      </c>
      <c r="K904" s="10"/>
      <c r="L904" s="10" t="str">
        <f t="shared" si="89"/>
        <v>Accepted</v>
      </c>
      <c r="M904" s="11">
        <v>0</v>
      </c>
      <c r="N904" s="10" t="s">
        <v>18</v>
      </c>
      <c r="O904" s="42">
        <f t="shared" si="90"/>
        <v>15000</v>
      </c>
      <c r="P904" s="10" t="s">
        <v>19</v>
      </c>
    </row>
    <row r="905" spans="1:16" s="22" customFormat="1" ht="14.25" customHeight="1" x14ac:dyDescent="0.25">
      <c r="A905" s="5" t="s">
        <v>2177</v>
      </c>
      <c r="B905" s="22" t="s">
        <v>716</v>
      </c>
      <c r="C905" s="22" t="s">
        <v>1694</v>
      </c>
      <c r="D905" s="18" t="s">
        <v>2178</v>
      </c>
      <c r="E905" s="24" t="str">
        <f t="shared" si="86"/>
        <v>T007C501P001</v>
      </c>
      <c r="F905" s="13">
        <v>44461</v>
      </c>
      <c r="G905" s="13">
        <v>44462</v>
      </c>
      <c r="H905" s="7">
        <f t="shared" ca="1" si="87"/>
        <v>-641</v>
      </c>
      <c r="I905" s="13">
        <v>44462</v>
      </c>
      <c r="J905" s="9">
        <f t="shared" ca="1" si="88"/>
        <v>0</v>
      </c>
      <c r="K905" s="10"/>
      <c r="L905" s="10" t="str">
        <f t="shared" si="89"/>
        <v>Accepted</v>
      </c>
      <c r="M905" s="11">
        <v>0</v>
      </c>
      <c r="N905" s="10" t="s">
        <v>18</v>
      </c>
      <c r="O905" s="42">
        <f t="shared" si="90"/>
        <v>15000</v>
      </c>
      <c r="P905" s="10" t="s">
        <v>19</v>
      </c>
    </row>
    <row r="906" spans="1:16" s="22" customFormat="1" ht="14.25" customHeight="1" x14ac:dyDescent="0.25">
      <c r="A906" s="5" t="s">
        <v>2179</v>
      </c>
      <c r="B906" s="22" t="s">
        <v>716</v>
      </c>
      <c r="C906" s="22" t="s">
        <v>1694</v>
      </c>
      <c r="D906" s="18" t="s">
        <v>2180</v>
      </c>
      <c r="E906" s="24" t="str">
        <f t="shared" si="86"/>
        <v>T007D901P001</v>
      </c>
      <c r="F906" s="13">
        <v>44461</v>
      </c>
      <c r="G906" s="13">
        <v>44462</v>
      </c>
      <c r="H906" s="7">
        <f t="shared" ca="1" si="87"/>
        <v>-641</v>
      </c>
      <c r="I906" s="13">
        <v>44462</v>
      </c>
      <c r="J906" s="9">
        <f t="shared" ca="1" si="88"/>
        <v>0</v>
      </c>
      <c r="K906" s="10"/>
      <c r="L906" s="10" t="str">
        <f t="shared" si="89"/>
        <v>Accepted</v>
      </c>
      <c r="M906" s="11">
        <v>0</v>
      </c>
      <c r="N906" s="10" t="s">
        <v>18</v>
      </c>
      <c r="O906" s="42">
        <f t="shared" si="90"/>
        <v>15000</v>
      </c>
      <c r="P906" s="10" t="s">
        <v>19</v>
      </c>
    </row>
    <row r="907" spans="1:16" s="22" customFormat="1" ht="14.25" customHeight="1" x14ac:dyDescent="0.25">
      <c r="A907" s="5" t="s">
        <v>2183</v>
      </c>
      <c r="B907" s="22" t="s">
        <v>716</v>
      </c>
      <c r="C907" s="22" t="s">
        <v>1694</v>
      </c>
      <c r="D907" s="18" t="s">
        <v>2184</v>
      </c>
      <c r="E907" s="24" t="str">
        <f t="shared" si="86"/>
        <v>T007X002P001</v>
      </c>
      <c r="F907" s="13">
        <v>44461</v>
      </c>
      <c r="G907" s="13">
        <v>44462</v>
      </c>
      <c r="H907" s="7">
        <f t="shared" ca="1" si="87"/>
        <v>-641</v>
      </c>
      <c r="I907" s="13">
        <v>44462</v>
      </c>
      <c r="J907" s="9">
        <f t="shared" ca="1" si="88"/>
        <v>0</v>
      </c>
      <c r="K907" s="10"/>
      <c r="L907" s="10" t="str">
        <f t="shared" si="89"/>
        <v>Accepted</v>
      </c>
      <c r="M907" s="11">
        <v>0</v>
      </c>
      <c r="N907" s="10" t="s">
        <v>18</v>
      </c>
      <c r="O907" s="42">
        <f t="shared" si="90"/>
        <v>15000</v>
      </c>
      <c r="P907" s="10" t="s">
        <v>19</v>
      </c>
    </row>
    <row r="908" spans="1:16" s="22" customFormat="1" ht="14.25" customHeight="1" x14ac:dyDescent="0.25">
      <c r="A908" s="5" t="s">
        <v>2187</v>
      </c>
      <c r="B908" s="22" t="s">
        <v>716</v>
      </c>
      <c r="C908" s="22" t="s">
        <v>992</v>
      </c>
      <c r="D908" s="18" t="s">
        <v>2188</v>
      </c>
      <c r="E908" s="24" t="str">
        <f t="shared" si="86"/>
        <v>T0089802P001</v>
      </c>
      <c r="F908" s="13">
        <v>44461</v>
      </c>
      <c r="G908" s="13">
        <v>44462</v>
      </c>
      <c r="H908" s="7">
        <f t="shared" ca="1" si="87"/>
        <v>-641</v>
      </c>
      <c r="I908" s="13">
        <v>44462</v>
      </c>
      <c r="J908" s="9">
        <f t="shared" ca="1" si="88"/>
        <v>0</v>
      </c>
      <c r="K908" s="10"/>
      <c r="L908" s="10" t="str">
        <f t="shared" si="89"/>
        <v>Accepted</v>
      </c>
      <c r="M908" s="11">
        <v>0</v>
      </c>
      <c r="N908" s="10" t="s">
        <v>18</v>
      </c>
      <c r="O908" s="42">
        <f t="shared" si="90"/>
        <v>15000</v>
      </c>
      <c r="P908" s="10" t="s">
        <v>19</v>
      </c>
    </row>
    <row r="909" spans="1:16" s="22" customFormat="1" ht="14.25" customHeight="1" x14ac:dyDescent="0.25">
      <c r="A909" s="5" t="s">
        <v>2195</v>
      </c>
      <c r="B909" s="22" t="s">
        <v>716</v>
      </c>
      <c r="C909" s="22" t="s">
        <v>992</v>
      </c>
      <c r="D909" s="18" t="s">
        <v>2196</v>
      </c>
      <c r="E909" s="24" t="str">
        <f t="shared" si="86"/>
        <v>T0081101P001</v>
      </c>
      <c r="F909" s="13">
        <v>44461</v>
      </c>
      <c r="G909" s="13">
        <v>44462</v>
      </c>
      <c r="H909" s="7">
        <f t="shared" ca="1" si="87"/>
        <v>-641</v>
      </c>
      <c r="I909" s="13">
        <v>44462</v>
      </c>
      <c r="J909" s="9">
        <f t="shared" ca="1" si="88"/>
        <v>0</v>
      </c>
      <c r="K909" s="10"/>
      <c r="L909" s="10" t="str">
        <f t="shared" si="89"/>
        <v>Accepted</v>
      </c>
      <c r="M909" s="11">
        <v>0</v>
      </c>
      <c r="N909" s="10" t="s">
        <v>18</v>
      </c>
      <c r="O909" s="42">
        <f t="shared" si="90"/>
        <v>15000</v>
      </c>
      <c r="P909" s="10" t="s">
        <v>19</v>
      </c>
    </row>
    <row r="910" spans="1:16" s="22" customFormat="1" ht="14.25" customHeight="1" x14ac:dyDescent="0.25">
      <c r="A910" s="5" t="s">
        <v>2203</v>
      </c>
      <c r="B910" s="22" t="s">
        <v>716</v>
      </c>
      <c r="C910" s="22" t="s">
        <v>992</v>
      </c>
      <c r="D910" s="18" t="s">
        <v>2204</v>
      </c>
      <c r="E910" s="24" t="str">
        <f t="shared" si="86"/>
        <v>T008B401P001</v>
      </c>
      <c r="F910" s="13">
        <v>44461</v>
      </c>
      <c r="G910" s="13">
        <v>44462</v>
      </c>
      <c r="H910" s="7">
        <f t="shared" ca="1" si="87"/>
        <v>-641</v>
      </c>
      <c r="I910" s="13">
        <v>44462</v>
      </c>
      <c r="J910" s="9">
        <f t="shared" ca="1" si="88"/>
        <v>0</v>
      </c>
      <c r="K910" s="10"/>
      <c r="L910" s="10" t="str">
        <f t="shared" si="89"/>
        <v>Accepted</v>
      </c>
      <c r="M910" s="11">
        <v>0</v>
      </c>
      <c r="N910" s="10" t="s">
        <v>18</v>
      </c>
      <c r="O910" s="42">
        <f t="shared" si="90"/>
        <v>15000</v>
      </c>
      <c r="P910" s="10" t="s">
        <v>19</v>
      </c>
    </row>
    <row r="911" spans="1:16" s="22" customFormat="1" ht="14.25" customHeight="1" x14ac:dyDescent="0.25">
      <c r="A911" s="5" t="s">
        <v>2207</v>
      </c>
      <c r="B911" s="22" t="s">
        <v>716</v>
      </c>
      <c r="C911" s="22" t="s">
        <v>992</v>
      </c>
      <c r="D911" s="18" t="s">
        <v>2208</v>
      </c>
      <c r="E911" s="24" t="str">
        <f t="shared" si="86"/>
        <v>T008M802P001</v>
      </c>
      <c r="F911" s="13">
        <v>44461</v>
      </c>
      <c r="G911" s="13">
        <v>44462</v>
      </c>
      <c r="H911" s="7">
        <f t="shared" ca="1" si="87"/>
        <v>-641</v>
      </c>
      <c r="I911" s="13">
        <v>44462</v>
      </c>
      <c r="J911" s="9">
        <f t="shared" ca="1" si="88"/>
        <v>0</v>
      </c>
      <c r="K911" s="10"/>
      <c r="L911" s="10" t="str">
        <f t="shared" si="89"/>
        <v>Accepted</v>
      </c>
      <c r="M911" s="11">
        <v>0</v>
      </c>
      <c r="N911" s="10" t="s">
        <v>18</v>
      </c>
      <c r="O911" s="42">
        <f t="shared" si="90"/>
        <v>15000</v>
      </c>
      <c r="P911" s="10" t="s">
        <v>19</v>
      </c>
    </row>
    <row r="912" spans="1:16" s="22" customFormat="1" ht="14.25" customHeight="1" x14ac:dyDescent="0.25">
      <c r="A912" s="5" t="s">
        <v>2209</v>
      </c>
      <c r="B912" s="22" t="s">
        <v>716</v>
      </c>
      <c r="C912" s="22" t="s">
        <v>992</v>
      </c>
      <c r="D912" s="18" t="s">
        <v>2210</v>
      </c>
      <c r="E912" s="24" t="str">
        <f t="shared" si="86"/>
        <v>T008P602P001</v>
      </c>
      <c r="F912" s="13">
        <v>44461</v>
      </c>
      <c r="G912" s="13">
        <v>44462</v>
      </c>
      <c r="H912" s="7">
        <f t="shared" ca="1" si="87"/>
        <v>-641</v>
      </c>
      <c r="I912" s="13">
        <v>44462</v>
      </c>
      <c r="J912" s="9">
        <f t="shared" ca="1" si="88"/>
        <v>0</v>
      </c>
      <c r="K912" s="10"/>
      <c r="L912" s="10" t="str">
        <f t="shared" si="89"/>
        <v>Accepted</v>
      </c>
      <c r="M912" s="11">
        <v>0</v>
      </c>
      <c r="N912" s="10" t="s">
        <v>18</v>
      </c>
      <c r="O912" s="42">
        <f t="shared" si="90"/>
        <v>15000</v>
      </c>
      <c r="P912" s="10" t="s">
        <v>19</v>
      </c>
    </row>
    <row r="913" spans="1:16" s="22" customFormat="1" ht="14.25" customHeight="1" x14ac:dyDescent="0.25">
      <c r="A913" s="5" t="s">
        <v>2079</v>
      </c>
      <c r="B913" s="22" t="s">
        <v>716</v>
      </c>
      <c r="C913" s="22" t="s">
        <v>2061</v>
      </c>
      <c r="D913" s="18" t="s">
        <v>2080</v>
      </c>
      <c r="E913" s="24" t="str">
        <f t="shared" si="86"/>
        <v>S0541112E003</v>
      </c>
      <c r="F913" s="13">
        <v>44456</v>
      </c>
      <c r="G913" s="13">
        <v>44465</v>
      </c>
      <c r="H913" s="7">
        <f t="shared" ca="1" si="87"/>
        <v>-638</v>
      </c>
      <c r="I913" s="13">
        <v>44465</v>
      </c>
      <c r="J913" s="9">
        <f t="shared" ca="1" si="88"/>
        <v>0</v>
      </c>
      <c r="K913" s="10"/>
      <c r="L913" s="10" t="str">
        <f t="shared" si="89"/>
        <v>Accepted</v>
      </c>
      <c r="M913" s="11">
        <v>0</v>
      </c>
      <c r="N913" s="10" t="s">
        <v>18</v>
      </c>
      <c r="O913" s="42">
        <f t="shared" si="90"/>
        <v>15000</v>
      </c>
      <c r="P913" s="10" t="s">
        <v>19</v>
      </c>
    </row>
    <row r="914" spans="1:16" s="22" customFormat="1" ht="14.25" customHeight="1" x14ac:dyDescent="0.25">
      <c r="A914" s="5" t="s">
        <v>2085</v>
      </c>
      <c r="B914" s="22" t="s">
        <v>716</v>
      </c>
      <c r="C914" s="22" t="s">
        <v>2061</v>
      </c>
      <c r="D914" s="18" t="s">
        <v>2086</v>
      </c>
      <c r="E914" s="24" t="str">
        <f t="shared" si="86"/>
        <v>S0441941E003</v>
      </c>
      <c r="F914" s="13">
        <v>44459</v>
      </c>
      <c r="G914" s="13">
        <v>44465</v>
      </c>
      <c r="H914" s="7">
        <f t="shared" ca="1" si="87"/>
        <v>-638</v>
      </c>
      <c r="I914" s="13">
        <v>44465</v>
      </c>
      <c r="J914" s="9">
        <f t="shared" ca="1" si="88"/>
        <v>0</v>
      </c>
      <c r="K914" s="10"/>
      <c r="L914" s="10" t="str">
        <f t="shared" si="89"/>
        <v>Accepted</v>
      </c>
      <c r="M914" s="11">
        <v>0</v>
      </c>
      <c r="N914" s="10" t="s">
        <v>30</v>
      </c>
      <c r="O914" s="42">
        <f t="shared" si="90"/>
        <v>18000</v>
      </c>
      <c r="P914" s="10" t="s">
        <v>19</v>
      </c>
    </row>
    <row r="915" spans="1:16" s="22" customFormat="1" ht="14.25" customHeight="1" x14ac:dyDescent="0.25">
      <c r="A915" s="5" t="s">
        <v>2101</v>
      </c>
      <c r="B915" s="22" t="s">
        <v>716</v>
      </c>
      <c r="C915" s="22" t="s">
        <v>2102</v>
      </c>
      <c r="D915" s="18" t="s">
        <v>2103</v>
      </c>
      <c r="E915" s="24" t="str">
        <f t="shared" si="86"/>
        <v>S0180293E001</v>
      </c>
      <c r="F915" s="13">
        <v>44459</v>
      </c>
      <c r="G915" s="13">
        <v>44465</v>
      </c>
      <c r="H915" s="7">
        <f t="shared" ca="1" si="87"/>
        <v>-638</v>
      </c>
      <c r="I915" s="13">
        <v>44465</v>
      </c>
      <c r="J915" s="9">
        <f t="shared" ca="1" si="88"/>
        <v>0</v>
      </c>
      <c r="K915" s="10"/>
      <c r="L915" s="10" t="str">
        <f t="shared" si="89"/>
        <v>Accepted</v>
      </c>
      <c r="M915" s="11">
        <v>0</v>
      </c>
      <c r="N915" s="10" t="s">
        <v>30</v>
      </c>
      <c r="O915" s="42">
        <f t="shared" si="90"/>
        <v>18000</v>
      </c>
      <c r="P915" s="10" t="s">
        <v>19</v>
      </c>
    </row>
    <row r="916" spans="1:16" s="22" customFormat="1" ht="14.25" customHeight="1" x14ac:dyDescent="0.25">
      <c r="A916" s="5" t="s">
        <v>2106</v>
      </c>
      <c r="B916" s="22" t="s">
        <v>716</v>
      </c>
      <c r="C916" s="22" t="s">
        <v>787</v>
      </c>
      <c r="D916" s="18" t="s">
        <v>2107</v>
      </c>
      <c r="E916" s="24" t="str">
        <f t="shared" si="86"/>
        <v>S0292041a002</v>
      </c>
      <c r="F916" s="13">
        <v>44459</v>
      </c>
      <c r="G916" s="13">
        <v>44465</v>
      </c>
      <c r="H916" s="7">
        <f t="shared" ca="1" si="87"/>
        <v>-638</v>
      </c>
      <c r="I916" s="13">
        <v>44465</v>
      </c>
      <c r="J916" s="9">
        <f t="shared" ca="1" si="88"/>
        <v>0</v>
      </c>
      <c r="K916" s="10"/>
      <c r="L916" s="10" t="str">
        <f t="shared" si="89"/>
        <v>Accepted</v>
      </c>
      <c r="M916" s="11">
        <v>0</v>
      </c>
      <c r="N916" s="10" t="s">
        <v>30</v>
      </c>
      <c r="O916" s="42">
        <f t="shared" si="90"/>
        <v>18000</v>
      </c>
      <c r="P916" s="10" t="s">
        <v>19</v>
      </c>
    </row>
    <row r="917" spans="1:16" s="22" customFormat="1" ht="14.25" customHeight="1" x14ac:dyDescent="0.25">
      <c r="A917" s="5" t="s">
        <v>2108</v>
      </c>
      <c r="B917" s="22" t="s">
        <v>716</v>
      </c>
      <c r="C917" s="22" t="s">
        <v>787</v>
      </c>
      <c r="D917" s="18" t="s">
        <v>2109</v>
      </c>
      <c r="E917" s="24" t="str">
        <f t="shared" si="86"/>
        <v>S0510552E001</v>
      </c>
      <c r="F917" s="13">
        <v>44459</v>
      </c>
      <c r="G917" s="13">
        <v>44465</v>
      </c>
      <c r="H917" s="7">
        <f t="shared" ca="1" si="87"/>
        <v>-638</v>
      </c>
      <c r="I917" s="13">
        <v>44465</v>
      </c>
      <c r="J917" s="9">
        <f t="shared" ca="1" si="88"/>
        <v>0</v>
      </c>
      <c r="K917" s="10"/>
      <c r="L917" s="10" t="str">
        <f t="shared" si="89"/>
        <v>Accepted</v>
      </c>
      <c r="M917" s="11">
        <v>0</v>
      </c>
      <c r="N917" s="10" t="s">
        <v>30</v>
      </c>
      <c r="O917" s="42">
        <f t="shared" si="90"/>
        <v>18000</v>
      </c>
      <c r="P917" s="10" t="s">
        <v>19</v>
      </c>
    </row>
    <row r="918" spans="1:16" s="22" customFormat="1" ht="14.25" customHeight="1" x14ac:dyDescent="0.25">
      <c r="A918" s="5" t="s">
        <v>2112</v>
      </c>
      <c r="B918" s="22" t="s">
        <v>716</v>
      </c>
      <c r="C918" s="22" t="s">
        <v>992</v>
      </c>
      <c r="D918" s="18" t="s">
        <v>2113</v>
      </c>
      <c r="E918" s="24" t="str">
        <f t="shared" si="86"/>
        <v>S0300361E002</v>
      </c>
      <c r="F918" s="13">
        <v>44459</v>
      </c>
      <c r="G918" s="13">
        <v>44465</v>
      </c>
      <c r="H918" s="7">
        <f t="shared" ca="1" si="87"/>
        <v>-638</v>
      </c>
      <c r="I918" s="13">
        <v>44465</v>
      </c>
      <c r="J918" s="9">
        <f t="shared" ca="1" si="88"/>
        <v>0</v>
      </c>
      <c r="K918" s="10"/>
      <c r="L918" s="10" t="str">
        <f t="shared" si="89"/>
        <v>Accepted</v>
      </c>
      <c r="M918" s="11">
        <v>0</v>
      </c>
      <c r="N918" s="10" t="s">
        <v>30</v>
      </c>
      <c r="O918" s="42">
        <f t="shared" si="90"/>
        <v>18000</v>
      </c>
      <c r="P918" s="10" t="s">
        <v>19</v>
      </c>
    </row>
    <row r="919" spans="1:16" s="22" customFormat="1" ht="14.25" customHeight="1" x14ac:dyDescent="0.25">
      <c r="A919" s="5" t="s">
        <v>2122</v>
      </c>
      <c r="B919" s="22" t="s">
        <v>716</v>
      </c>
      <c r="C919" s="22" t="s">
        <v>1043</v>
      </c>
      <c r="D919" s="18" t="s">
        <v>2123</v>
      </c>
      <c r="E919" s="24" t="str">
        <f t="shared" si="86"/>
        <v>V0130783E001</v>
      </c>
      <c r="F919" s="13">
        <v>44459</v>
      </c>
      <c r="G919" s="13">
        <v>44465</v>
      </c>
      <c r="H919" s="7">
        <f t="shared" ca="1" si="87"/>
        <v>-638</v>
      </c>
      <c r="I919" s="13">
        <v>44465</v>
      </c>
      <c r="J919" s="9">
        <f t="shared" ca="1" si="88"/>
        <v>0</v>
      </c>
      <c r="K919" s="10"/>
      <c r="L919" s="10" t="str">
        <f t="shared" si="89"/>
        <v>Accepted</v>
      </c>
      <c r="M919" s="11">
        <v>0</v>
      </c>
      <c r="N919" s="10" t="s">
        <v>30</v>
      </c>
      <c r="O919" s="42">
        <f t="shared" si="90"/>
        <v>18000</v>
      </c>
      <c r="P919" s="10" t="s">
        <v>19</v>
      </c>
    </row>
    <row r="920" spans="1:16" s="22" customFormat="1" ht="14.25" customHeight="1" x14ac:dyDescent="0.25">
      <c r="A920" s="5" t="s">
        <v>2140</v>
      </c>
      <c r="B920" s="22" t="s">
        <v>716</v>
      </c>
      <c r="C920" s="22" t="s">
        <v>787</v>
      </c>
      <c r="D920" s="18" t="s">
        <v>2141</v>
      </c>
      <c r="E920" s="24" t="str">
        <f t="shared" si="86"/>
        <v>S0290292a002</v>
      </c>
      <c r="F920" s="13">
        <v>44459</v>
      </c>
      <c r="G920" s="13">
        <v>44465</v>
      </c>
      <c r="H920" s="7">
        <f t="shared" ca="1" si="87"/>
        <v>-638</v>
      </c>
      <c r="I920" s="13">
        <v>44465</v>
      </c>
      <c r="J920" s="9">
        <f t="shared" ca="1" si="88"/>
        <v>0</v>
      </c>
      <c r="K920" s="10"/>
      <c r="L920" s="10" t="str">
        <f t="shared" si="89"/>
        <v>Accepted</v>
      </c>
      <c r="M920" s="11">
        <v>0</v>
      </c>
      <c r="N920" s="10" t="s">
        <v>30</v>
      </c>
      <c r="O920" s="42">
        <f t="shared" si="90"/>
        <v>18000</v>
      </c>
      <c r="P920" s="10" t="s">
        <v>19</v>
      </c>
    </row>
    <row r="921" spans="1:16" s="22" customFormat="1" ht="14.25" customHeight="1" x14ac:dyDescent="0.25">
      <c r="A921" s="5" t="s">
        <v>2142</v>
      </c>
      <c r="B921" s="22" t="s">
        <v>716</v>
      </c>
      <c r="C921" s="22" t="s">
        <v>992</v>
      </c>
      <c r="D921" s="18" t="s">
        <v>2143</v>
      </c>
      <c r="E921" s="24" t="str">
        <f t="shared" si="86"/>
        <v>V0130673E002</v>
      </c>
      <c r="F921" s="13">
        <v>44459</v>
      </c>
      <c r="G921" s="13">
        <v>44465</v>
      </c>
      <c r="H921" s="7">
        <f t="shared" ca="1" si="87"/>
        <v>-638</v>
      </c>
      <c r="I921" s="13">
        <v>44465</v>
      </c>
      <c r="J921" s="9">
        <f t="shared" ca="1" si="88"/>
        <v>0</v>
      </c>
      <c r="K921" s="10"/>
      <c r="L921" s="10" t="str">
        <f t="shared" si="89"/>
        <v>Accepted</v>
      </c>
      <c r="M921" s="11">
        <v>0</v>
      </c>
      <c r="N921" s="10" t="s">
        <v>30</v>
      </c>
      <c r="O921" s="42">
        <f t="shared" si="90"/>
        <v>18000</v>
      </c>
      <c r="P921" s="10" t="s">
        <v>19</v>
      </c>
    </row>
    <row r="922" spans="1:16" s="22" customFormat="1" ht="14.25" customHeight="1" x14ac:dyDescent="0.25">
      <c r="A922" s="5" t="s">
        <v>2150</v>
      </c>
      <c r="B922" s="22" t="s">
        <v>716</v>
      </c>
      <c r="C922" s="22" t="s">
        <v>787</v>
      </c>
      <c r="D922" s="18" t="s">
        <v>2151</v>
      </c>
      <c r="E922" s="24" t="str">
        <f t="shared" si="86"/>
        <v>T0059601P001</v>
      </c>
      <c r="F922" s="13">
        <v>44459</v>
      </c>
      <c r="G922" s="13">
        <v>44465</v>
      </c>
      <c r="H922" s="7">
        <f t="shared" ca="1" si="87"/>
        <v>-638</v>
      </c>
      <c r="I922" s="13">
        <v>44465</v>
      </c>
      <c r="J922" s="9">
        <f t="shared" ca="1" si="88"/>
        <v>0</v>
      </c>
      <c r="K922" s="10"/>
      <c r="L922" s="10" t="str">
        <f t="shared" si="89"/>
        <v>Accepted</v>
      </c>
      <c r="M922" s="11">
        <v>0</v>
      </c>
      <c r="N922" s="10" t="s">
        <v>30</v>
      </c>
      <c r="O922" s="42">
        <f t="shared" si="90"/>
        <v>18000</v>
      </c>
      <c r="P922" s="10" t="s">
        <v>19</v>
      </c>
    </row>
    <row r="923" spans="1:16" s="22" customFormat="1" ht="14.25" customHeight="1" x14ac:dyDescent="0.25">
      <c r="A923" s="5" t="s">
        <v>2159</v>
      </c>
      <c r="B923" s="22" t="s">
        <v>716</v>
      </c>
      <c r="C923" s="22" t="s">
        <v>752</v>
      </c>
      <c r="D923" s="18" t="s">
        <v>2160</v>
      </c>
      <c r="E923" s="24" t="str">
        <f t="shared" si="86"/>
        <v>S0681241E001</v>
      </c>
      <c r="F923" s="13">
        <v>44459</v>
      </c>
      <c r="G923" s="13">
        <v>44465</v>
      </c>
      <c r="H923" s="7">
        <f t="shared" ca="1" si="87"/>
        <v>-638</v>
      </c>
      <c r="I923" s="13">
        <v>44465</v>
      </c>
      <c r="J923" s="9">
        <f t="shared" ca="1" si="88"/>
        <v>0</v>
      </c>
      <c r="K923" s="10"/>
      <c r="L923" s="10" t="str">
        <f t="shared" si="89"/>
        <v>Accepted</v>
      </c>
      <c r="M923" s="11">
        <v>0</v>
      </c>
      <c r="N923" s="10" t="s">
        <v>30</v>
      </c>
      <c r="O923" s="42">
        <f t="shared" si="90"/>
        <v>18000</v>
      </c>
      <c r="P923" s="10" t="s">
        <v>19</v>
      </c>
    </row>
    <row r="924" spans="1:16" s="22" customFormat="1" ht="14.25" customHeight="1" x14ac:dyDescent="0.25">
      <c r="A924" s="5" t="s">
        <v>2189</v>
      </c>
      <c r="B924" s="22" t="s">
        <v>716</v>
      </c>
      <c r="C924" s="22" t="s">
        <v>992</v>
      </c>
      <c r="D924" s="18" t="s">
        <v>2190</v>
      </c>
      <c r="E924" s="24" t="str">
        <f t="shared" si="86"/>
        <v>T008A502P001</v>
      </c>
      <c r="F924" s="13">
        <v>44461</v>
      </c>
      <c r="G924" s="13">
        <v>44465</v>
      </c>
      <c r="H924" s="7">
        <f t="shared" ca="1" si="87"/>
        <v>-638</v>
      </c>
      <c r="I924" s="13">
        <v>44465</v>
      </c>
      <c r="J924" s="9">
        <f t="shared" ca="1" si="88"/>
        <v>0</v>
      </c>
      <c r="K924" s="10"/>
      <c r="L924" s="10" t="str">
        <f t="shared" si="89"/>
        <v>Accepted</v>
      </c>
      <c r="M924" s="11">
        <v>0</v>
      </c>
      <c r="N924" s="10" t="s">
        <v>30</v>
      </c>
      <c r="O924" s="42">
        <f t="shared" si="90"/>
        <v>18000</v>
      </c>
      <c r="P924" s="10" t="s">
        <v>19</v>
      </c>
    </row>
    <row r="925" spans="1:16" s="22" customFormat="1" ht="14.25" customHeight="1" x14ac:dyDescent="0.25">
      <c r="A925" s="5" t="s">
        <v>2217</v>
      </c>
      <c r="B925" s="22" t="s">
        <v>716</v>
      </c>
      <c r="C925" s="22" t="s">
        <v>992</v>
      </c>
      <c r="D925" s="18" t="s">
        <v>2218</v>
      </c>
      <c r="E925" s="24" t="str">
        <f t="shared" si="86"/>
        <v>S0821211E001</v>
      </c>
      <c r="F925" s="13">
        <v>44463</v>
      </c>
      <c r="G925" s="13">
        <v>44465</v>
      </c>
      <c r="H925" s="7">
        <f t="shared" ca="1" si="87"/>
        <v>-638</v>
      </c>
      <c r="I925" s="13">
        <v>44465</v>
      </c>
      <c r="J925" s="9">
        <f t="shared" ca="1" si="88"/>
        <v>0</v>
      </c>
      <c r="K925" s="10"/>
      <c r="L925" s="10" t="str">
        <f t="shared" si="89"/>
        <v>Accepted</v>
      </c>
      <c r="M925" s="11">
        <v>0</v>
      </c>
      <c r="N925" s="10" t="s">
        <v>18</v>
      </c>
      <c r="O925" s="42">
        <f t="shared" si="90"/>
        <v>15000</v>
      </c>
      <c r="P925" s="10" t="s">
        <v>19</v>
      </c>
    </row>
    <row r="926" spans="1:16" s="22" customFormat="1" ht="14.25" customHeight="1" x14ac:dyDescent="0.25">
      <c r="A926" s="5" t="s">
        <v>2219</v>
      </c>
      <c r="B926" s="22" t="s">
        <v>716</v>
      </c>
      <c r="C926" s="22" t="s">
        <v>2061</v>
      </c>
      <c r="D926" s="18" t="s">
        <v>2220</v>
      </c>
      <c r="E926" s="24" t="str">
        <f t="shared" si="86"/>
        <v>S0441852c004</v>
      </c>
      <c r="F926" s="13">
        <v>44463</v>
      </c>
      <c r="G926" s="13">
        <v>44465</v>
      </c>
      <c r="H926" s="7">
        <f t="shared" ca="1" si="87"/>
        <v>-638</v>
      </c>
      <c r="I926" s="13">
        <v>44465</v>
      </c>
      <c r="J926" s="9">
        <f t="shared" ca="1" si="88"/>
        <v>0</v>
      </c>
      <c r="K926" s="10"/>
      <c r="L926" s="10" t="str">
        <f t="shared" si="89"/>
        <v>Accepted</v>
      </c>
      <c r="M926" s="11">
        <v>0</v>
      </c>
      <c r="N926" s="10" t="s">
        <v>18</v>
      </c>
      <c r="O926" s="42">
        <f t="shared" si="90"/>
        <v>15000</v>
      </c>
      <c r="P926" s="10" t="s">
        <v>19</v>
      </c>
    </row>
    <row r="927" spans="1:16" s="22" customFormat="1" ht="14.25" customHeight="1" x14ac:dyDescent="0.25">
      <c r="A927" s="5" t="s">
        <v>2221</v>
      </c>
      <c r="B927" s="22" t="s">
        <v>716</v>
      </c>
      <c r="C927" s="22" t="s">
        <v>2473</v>
      </c>
      <c r="D927" s="18" t="s">
        <v>2222</v>
      </c>
      <c r="E927" s="24" t="str">
        <f t="shared" si="86"/>
        <v>S0861151E014</v>
      </c>
      <c r="F927" s="13">
        <v>44463</v>
      </c>
      <c r="G927" s="13">
        <v>44465</v>
      </c>
      <c r="H927" s="7">
        <f t="shared" ca="1" si="87"/>
        <v>-638</v>
      </c>
      <c r="I927" s="13">
        <v>44465</v>
      </c>
      <c r="J927" s="9">
        <f t="shared" ca="1" si="88"/>
        <v>0</v>
      </c>
      <c r="K927" s="10"/>
      <c r="L927" s="10" t="str">
        <f t="shared" si="89"/>
        <v>Accepted</v>
      </c>
      <c r="M927" s="11">
        <v>0</v>
      </c>
      <c r="N927" s="10" t="s">
        <v>18</v>
      </c>
      <c r="O927" s="42">
        <f t="shared" si="90"/>
        <v>15000</v>
      </c>
      <c r="P927" s="10" t="s">
        <v>19</v>
      </c>
    </row>
    <row r="928" spans="1:16" s="22" customFormat="1" ht="14.25" customHeight="1" x14ac:dyDescent="0.25">
      <c r="A928" s="5" t="s">
        <v>2227</v>
      </c>
      <c r="B928" s="22" t="s">
        <v>716</v>
      </c>
      <c r="C928" s="22" t="s">
        <v>1450</v>
      </c>
      <c r="D928" s="18" t="s">
        <v>2228</v>
      </c>
      <c r="E928" s="24" t="str">
        <f t="shared" si="86"/>
        <v>T0300106P002</v>
      </c>
      <c r="F928" s="13">
        <v>44463</v>
      </c>
      <c r="G928" s="13">
        <v>44465</v>
      </c>
      <c r="H928" s="7">
        <f t="shared" ca="1" si="87"/>
        <v>-638</v>
      </c>
      <c r="I928" s="13">
        <v>44465</v>
      </c>
      <c r="J928" s="9">
        <f t="shared" ca="1" si="88"/>
        <v>0</v>
      </c>
      <c r="K928" s="10"/>
      <c r="L928" s="10" t="str">
        <f t="shared" si="89"/>
        <v>Accepted</v>
      </c>
      <c r="M928" s="11">
        <v>0</v>
      </c>
      <c r="N928" s="10" t="s">
        <v>18</v>
      </c>
      <c r="O928" s="42">
        <f t="shared" si="90"/>
        <v>15000</v>
      </c>
      <c r="P928" s="10" t="s">
        <v>19</v>
      </c>
    </row>
    <row r="929" spans="1:16" s="22" customFormat="1" ht="14.25" customHeight="1" x14ac:dyDescent="0.25">
      <c r="A929" s="5" t="s">
        <v>2229</v>
      </c>
      <c r="B929" s="22" t="s">
        <v>716</v>
      </c>
      <c r="C929" s="22" t="s">
        <v>1450</v>
      </c>
      <c r="D929" s="18" t="s">
        <v>2230</v>
      </c>
      <c r="E929" s="24" t="str">
        <f t="shared" si="86"/>
        <v>T0300501P005</v>
      </c>
      <c r="F929" s="13">
        <v>44463</v>
      </c>
      <c r="G929" s="13">
        <v>44465</v>
      </c>
      <c r="H929" s="7">
        <f t="shared" ca="1" si="87"/>
        <v>-638</v>
      </c>
      <c r="I929" s="13">
        <v>44465</v>
      </c>
      <c r="J929" s="9">
        <f t="shared" ca="1" si="88"/>
        <v>0</v>
      </c>
      <c r="K929" s="10"/>
      <c r="L929" s="10" t="str">
        <f t="shared" si="89"/>
        <v>Accepted</v>
      </c>
      <c r="M929" s="11">
        <v>0</v>
      </c>
      <c r="N929" s="10" t="s">
        <v>18</v>
      </c>
      <c r="O929" s="42">
        <f t="shared" si="90"/>
        <v>15000</v>
      </c>
      <c r="P929" s="10" t="s">
        <v>19</v>
      </c>
    </row>
    <row r="930" spans="1:16" s="22" customFormat="1" ht="14.25" customHeight="1" x14ac:dyDescent="0.25">
      <c r="A930" s="5" t="s">
        <v>2231</v>
      </c>
      <c r="B930" s="22" t="s">
        <v>716</v>
      </c>
      <c r="C930" s="22" t="s">
        <v>1450</v>
      </c>
      <c r="D930" s="18" t="s">
        <v>2232</v>
      </c>
      <c r="E930" s="24" t="str">
        <f t="shared" si="86"/>
        <v>T0200205P013</v>
      </c>
      <c r="F930" s="13">
        <v>44463</v>
      </c>
      <c r="G930" s="13">
        <v>44465</v>
      </c>
      <c r="H930" s="7">
        <f t="shared" ca="1" si="87"/>
        <v>-638</v>
      </c>
      <c r="I930" s="13">
        <v>44465</v>
      </c>
      <c r="J930" s="9">
        <f t="shared" ca="1" si="88"/>
        <v>0</v>
      </c>
      <c r="K930" s="10"/>
      <c r="L930" s="10" t="str">
        <f t="shared" si="89"/>
        <v>Accepted</v>
      </c>
      <c r="M930" s="11">
        <v>0</v>
      </c>
      <c r="N930" s="10" t="s">
        <v>18</v>
      </c>
      <c r="O930" s="42">
        <f t="shared" si="90"/>
        <v>15000</v>
      </c>
      <c r="P930" s="10" t="s">
        <v>19</v>
      </c>
    </row>
    <row r="931" spans="1:16" s="22" customFormat="1" ht="14.25" customHeight="1" x14ac:dyDescent="0.25">
      <c r="A931" s="5" t="s">
        <v>2233</v>
      </c>
      <c r="B931" s="22" t="s">
        <v>716</v>
      </c>
      <c r="C931" s="22" t="s">
        <v>1450</v>
      </c>
      <c r="D931" s="18" t="s">
        <v>2234</v>
      </c>
      <c r="E931" s="24" t="str">
        <f t="shared" si="86"/>
        <v>T0200203P015</v>
      </c>
      <c r="F931" s="13">
        <v>44463</v>
      </c>
      <c r="G931" s="13">
        <v>44465</v>
      </c>
      <c r="H931" s="7">
        <f t="shared" ca="1" si="87"/>
        <v>-638</v>
      </c>
      <c r="I931" s="13">
        <v>44465</v>
      </c>
      <c r="J931" s="9">
        <f t="shared" ca="1" si="88"/>
        <v>0</v>
      </c>
      <c r="K931" s="10"/>
      <c r="L931" s="10" t="str">
        <f t="shared" si="89"/>
        <v>Accepted</v>
      </c>
      <c r="M931" s="11">
        <v>0</v>
      </c>
      <c r="N931" s="10" t="s">
        <v>18</v>
      </c>
      <c r="O931" s="42">
        <f t="shared" si="90"/>
        <v>15000</v>
      </c>
      <c r="P931" s="10" t="s">
        <v>19</v>
      </c>
    </row>
    <row r="932" spans="1:16" s="22" customFormat="1" ht="14.25" customHeight="1" x14ac:dyDescent="0.25">
      <c r="A932" s="5" t="s">
        <v>2237</v>
      </c>
      <c r="B932" s="22" t="s">
        <v>716</v>
      </c>
      <c r="C932" s="22" t="s">
        <v>1450</v>
      </c>
      <c r="D932" s="18" t="s">
        <v>2238</v>
      </c>
      <c r="E932" s="24" t="str">
        <f t="shared" si="86"/>
        <v>T0210605P031</v>
      </c>
      <c r="F932" s="13">
        <v>44463</v>
      </c>
      <c r="G932" s="13">
        <v>44465</v>
      </c>
      <c r="H932" s="7">
        <f t="shared" ca="1" si="87"/>
        <v>-638</v>
      </c>
      <c r="I932" s="13">
        <v>44465</v>
      </c>
      <c r="J932" s="9">
        <f t="shared" ca="1" si="88"/>
        <v>0</v>
      </c>
      <c r="K932" s="10"/>
      <c r="L932" s="10" t="str">
        <f t="shared" si="89"/>
        <v>Accepted</v>
      </c>
      <c r="M932" s="11">
        <v>0</v>
      </c>
      <c r="N932" s="10" t="s">
        <v>18</v>
      </c>
      <c r="O932" s="42">
        <f t="shared" si="90"/>
        <v>15000</v>
      </c>
      <c r="P932" s="10" t="s">
        <v>19</v>
      </c>
    </row>
    <row r="933" spans="1:16" s="22" customFormat="1" ht="14.25" customHeight="1" x14ac:dyDescent="0.25">
      <c r="A933" s="5" t="s">
        <v>2239</v>
      </c>
      <c r="B933" s="22" t="s">
        <v>716</v>
      </c>
      <c r="C933" s="22" t="s">
        <v>1450</v>
      </c>
      <c r="D933" s="18" t="s">
        <v>2240</v>
      </c>
      <c r="E933" s="24" t="str">
        <f t="shared" si="86"/>
        <v>T0210209P003</v>
      </c>
      <c r="F933" s="13">
        <v>44463</v>
      </c>
      <c r="G933" s="13">
        <v>44465</v>
      </c>
      <c r="H933" s="7">
        <f t="shared" ca="1" si="87"/>
        <v>-638</v>
      </c>
      <c r="I933" s="13">
        <v>44465</v>
      </c>
      <c r="J933" s="9">
        <f t="shared" ca="1" si="88"/>
        <v>0</v>
      </c>
      <c r="K933" s="10"/>
      <c r="L933" s="10" t="str">
        <f t="shared" si="89"/>
        <v>Accepted</v>
      </c>
      <c r="M933" s="11">
        <v>0</v>
      </c>
      <c r="N933" s="10" t="s">
        <v>18</v>
      </c>
      <c r="O933" s="42">
        <f t="shared" si="90"/>
        <v>15000</v>
      </c>
      <c r="P933" s="10" t="s">
        <v>19</v>
      </c>
    </row>
    <row r="934" spans="1:16" s="22" customFormat="1" ht="14.25" customHeight="1" x14ac:dyDescent="0.25">
      <c r="A934" s="5" t="s">
        <v>2241</v>
      </c>
      <c r="B934" s="22" t="s">
        <v>716</v>
      </c>
      <c r="C934" s="22" t="s">
        <v>1450</v>
      </c>
      <c r="D934" s="18" t="s">
        <v>2242</v>
      </c>
      <c r="E934" s="24" t="str">
        <f t="shared" si="86"/>
        <v>T0230153P002</v>
      </c>
      <c r="F934" s="13">
        <v>44463</v>
      </c>
      <c r="G934" s="13">
        <v>44465</v>
      </c>
      <c r="H934" s="7">
        <f t="shared" ca="1" si="87"/>
        <v>-638</v>
      </c>
      <c r="I934" s="13">
        <v>44465</v>
      </c>
      <c r="J934" s="9">
        <f t="shared" ca="1" si="88"/>
        <v>0</v>
      </c>
      <c r="K934" s="10"/>
      <c r="L934" s="10" t="str">
        <f t="shared" si="89"/>
        <v>Accepted</v>
      </c>
      <c r="M934" s="11">
        <v>0</v>
      </c>
      <c r="N934" s="10" t="s">
        <v>18</v>
      </c>
      <c r="O934" s="42">
        <f t="shared" si="90"/>
        <v>15000</v>
      </c>
      <c r="P934" s="10" t="s">
        <v>19</v>
      </c>
    </row>
    <row r="935" spans="1:16" s="22" customFormat="1" ht="14.25" customHeight="1" x14ac:dyDescent="0.25">
      <c r="A935" s="5" t="s">
        <v>2243</v>
      </c>
      <c r="B935" s="22" t="s">
        <v>716</v>
      </c>
      <c r="C935" s="22" t="s">
        <v>1450</v>
      </c>
      <c r="D935" s="18" t="s">
        <v>2244</v>
      </c>
      <c r="E935" s="24" t="str">
        <f t="shared" si="86"/>
        <v>T0230157P003</v>
      </c>
      <c r="F935" s="13">
        <v>44463</v>
      </c>
      <c r="G935" s="13">
        <v>44465</v>
      </c>
      <c r="H935" s="7">
        <f t="shared" ca="1" si="87"/>
        <v>-638</v>
      </c>
      <c r="I935" s="13">
        <v>44465</v>
      </c>
      <c r="J935" s="9">
        <f t="shared" ca="1" si="88"/>
        <v>0</v>
      </c>
      <c r="K935" s="10"/>
      <c r="L935" s="10" t="str">
        <f t="shared" si="89"/>
        <v>Accepted</v>
      </c>
      <c r="M935" s="11">
        <v>0</v>
      </c>
      <c r="N935" s="10" t="s">
        <v>18</v>
      </c>
      <c r="O935" s="42">
        <f t="shared" si="90"/>
        <v>15000</v>
      </c>
      <c r="P935" s="10" t="s">
        <v>19</v>
      </c>
    </row>
    <row r="936" spans="1:16" s="22" customFormat="1" ht="14.25" customHeight="1" x14ac:dyDescent="0.25">
      <c r="A936" s="5" t="s">
        <v>2247</v>
      </c>
      <c r="B936" s="22" t="s">
        <v>716</v>
      </c>
      <c r="C936" s="22" t="s">
        <v>1450</v>
      </c>
      <c r="D936" s="18" t="s">
        <v>2248</v>
      </c>
      <c r="E936" s="24" t="str">
        <f t="shared" si="86"/>
        <v>T0230458P013</v>
      </c>
      <c r="F936" s="13">
        <v>44463</v>
      </c>
      <c r="G936" s="13">
        <v>44465</v>
      </c>
      <c r="H936" s="7">
        <f t="shared" ca="1" si="87"/>
        <v>-638</v>
      </c>
      <c r="I936" s="13">
        <v>44465</v>
      </c>
      <c r="J936" s="9">
        <f t="shared" ca="1" si="88"/>
        <v>0</v>
      </c>
      <c r="K936" s="10"/>
      <c r="L936" s="10" t="str">
        <f t="shared" si="89"/>
        <v>Accepted</v>
      </c>
      <c r="M936" s="11">
        <v>0</v>
      </c>
      <c r="N936" s="10" t="s">
        <v>18</v>
      </c>
      <c r="O936" s="42">
        <f t="shared" si="90"/>
        <v>15000</v>
      </c>
      <c r="P936" s="10" t="s">
        <v>19</v>
      </c>
    </row>
    <row r="937" spans="1:16" s="22" customFormat="1" ht="14.25" customHeight="1" x14ac:dyDescent="0.25">
      <c r="A937" s="5" t="s">
        <v>2251</v>
      </c>
      <c r="B937" s="22" t="s">
        <v>716</v>
      </c>
      <c r="C937" s="22" t="s">
        <v>932</v>
      </c>
      <c r="D937" s="18" t="s">
        <v>2252</v>
      </c>
      <c r="E937" s="24" t="str">
        <f t="shared" si="86"/>
        <v>S0840031E005</v>
      </c>
      <c r="F937" s="13">
        <v>44463</v>
      </c>
      <c r="G937" s="13">
        <v>44465</v>
      </c>
      <c r="H937" s="7">
        <f t="shared" ca="1" si="87"/>
        <v>-638</v>
      </c>
      <c r="I937" s="13">
        <v>44465</v>
      </c>
      <c r="J937" s="9">
        <f t="shared" ca="1" si="88"/>
        <v>0</v>
      </c>
      <c r="K937" s="10"/>
      <c r="L937" s="10" t="str">
        <f t="shared" si="89"/>
        <v>Accepted</v>
      </c>
      <c r="M937" s="11">
        <v>0</v>
      </c>
      <c r="N937" s="10" t="s">
        <v>18</v>
      </c>
      <c r="O937" s="42">
        <f t="shared" si="90"/>
        <v>15000</v>
      </c>
      <c r="P937" s="10" t="s">
        <v>19</v>
      </c>
    </row>
    <row r="938" spans="1:16" s="22" customFormat="1" ht="14.25" customHeight="1" x14ac:dyDescent="0.25">
      <c r="A938" s="5" t="s">
        <v>2253</v>
      </c>
      <c r="B938" s="22" t="s">
        <v>716</v>
      </c>
      <c r="C938" s="22" t="s">
        <v>932</v>
      </c>
      <c r="D938" s="18" t="s">
        <v>2254</v>
      </c>
      <c r="E938" s="24" t="str">
        <f t="shared" si="86"/>
        <v>S0840061b001</v>
      </c>
      <c r="F938" s="13">
        <v>44463</v>
      </c>
      <c r="G938" s="13">
        <v>44465</v>
      </c>
      <c r="H938" s="7">
        <f t="shared" ca="1" si="87"/>
        <v>-638</v>
      </c>
      <c r="I938" s="13">
        <v>44465</v>
      </c>
      <c r="J938" s="9">
        <f t="shared" ca="1" si="88"/>
        <v>0</v>
      </c>
      <c r="K938" s="10"/>
      <c r="L938" s="10" t="str">
        <f t="shared" si="89"/>
        <v>Accepted</v>
      </c>
      <c r="M938" s="11">
        <v>0</v>
      </c>
      <c r="N938" s="10" t="s">
        <v>18</v>
      </c>
      <c r="O938" s="42">
        <f t="shared" si="90"/>
        <v>15000</v>
      </c>
      <c r="P938" s="10" t="s">
        <v>19</v>
      </c>
    </row>
    <row r="939" spans="1:16" s="22" customFormat="1" ht="14.25" customHeight="1" x14ac:dyDescent="0.25">
      <c r="A939" s="5" t="s">
        <v>2255</v>
      </c>
      <c r="B939" s="22" t="s">
        <v>716</v>
      </c>
      <c r="C939" s="22" t="s">
        <v>932</v>
      </c>
      <c r="D939" s="18" t="s">
        <v>2256</v>
      </c>
      <c r="E939" s="24" t="str">
        <f t="shared" si="86"/>
        <v>S0840061d001</v>
      </c>
      <c r="F939" s="13">
        <v>44463</v>
      </c>
      <c r="G939" s="13">
        <v>44465</v>
      </c>
      <c r="H939" s="7">
        <f t="shared" ca="1" si="87"/>
        <v>-638</v>
      </c>
      <c r="I939" s="13">
        <v>44465</v>
      </c>
      <c r="J939" s="9">
        <f t="shared" ca="1" si="88"/>
        <v>0</v>
      </c>
      <c r="K939" s="10"/>
      <c r="L939" s="10" t="str">
        <f t="shared" si="89"/>
        <v>Accepted</v>
      </c>
      <c r="M939" s="11">
        <v>0</v>
      </c>
      <c r="N939" s="10" t="s">
        <v>18</v>
      </c>
      <c r="O939" s="42">
        <f t="shared" si="90"/>
        <v>15000</v>
      </c>
      <c r="P939" s="10" t="s">
        <v>19</v>
      </c>
    </row>
    <row r="940" spans="1:16" s="22" customFormat="1" ht="14.25" customHeight="1" x14ac:dyDescent="0.25">
      <c r="A940" s="5" t="s">
        <v>2257</v>
      </c>
      <c r="B940" s="22" t="s">
        <v>716</v>
      </c>
      <c r="C940" s="22" t="s">
        <v>932</v>
      </c>
      <c r="D940" s="18" t="s">
        <v>2258</v>
      </c>
      <c r="E940" s="24" t="str">
        <f t="shared" si="86"/>
        <v>S0840061a004</v>
      </c>
      <c r="F940" s="13">
        <v>44463</v>
      </c>
      <c r="G940" s="13">
        <v>44465</v>
      </c>
      <c r="H940" s="7">
        <f t="shared" ca="1" si="87"/>
        <v>-638</v>
      </c>
      <c r="I940" s="13">
        <v>44465</v>
      </c>
      <c r="J940" s="9">
        <f t="shared" ca="1" si="88"/>
        <v>0</v>
      </c>
      <c r="K940" s="10"/>
      <c r="L940" s="10" t="str">
        <f t="shared" si="89"/>
        <v>Accepted</v>
      </c>
      <c r="M940" s="11">
        <v>0</v>
      </c>
      <c r="N940" s="10" t="s">
        <v>18</v>
      </c>
      <c r="O940" s="42">
        <f t="shared" si="90"/>
        <v>15000</v>
      </c>
      <c r="P940" s="10" t="s">
        <v>19</v>
      </c>
    </row>
    <row r="941" spans="1:16" s="22" customFormat="1" ht="14.25" customHeight="1" x14ac:dyDescent="0.25">
      <c r="A941" s="5" t="s">
        <v>2259</v>
      </c>
      <c r="B941" s="22" t="s">
        <v>716</v>
      </c>
      <c r="C941" s="22" t="s">
        <v>932</v>
      </c>
      <c r="D941" s="18" t="s">
        <v>2260</v>
      </c>
      <c r="E941" s="24" t="str">
        <f t="shared" si="86"/>
        <v>S0840061c004</v>
      </c>
      <c r="F941" s="13">
        <v>44463</v>
      </c>
      <c r="G941" s="13">
        <v>44465</v>
      </c>
      <c r="H941" s="7">
        <f t="shared" ca="1" si="87"/>
        <v>-638</v>
      </c>
      <c r="I941" s="13">
        <v>44465</v>
      </c>
      <c r="J941" s="9">
        <f t="shared" ca="1" si="88"/>
        <v>0</v>
      </c>
      <c r="K941" s="10"/>
      <c r="L941" s="10" t="str">
        <f t="shared" si="89"/>
        <v>Accepted</v>
      </c>
      <c r="M941" s="11">
        <v>0</v>
      </c>
      <c r="N941" s="10" t="s">
        <v>18</v>
      </c>
      <c r="O941" s="42">
        <f t="shared" si="90"/>
        <v>15000</v>
      </c>
      <c r="P941" s="10" t="s">
        <v>19</v>
      </c>
    </row>
    <row r="942" spans="1:16" s="22" customFormat="1" ht="14.25" customHeight="1" x14ac:dyDescent="0.25">
      <c r="A942" s="5" t="s">
        <v>2261</v>
      </c>
      <c r="B942" s="22" t="s">
        <v>716</v>
      </c>
      <c r="C942" s="22" t="s">
        <v>932</v>
      </c>
      <c r="D942" s="18" t="s">
        <v>2262</v>
      </c>
      <c r="E942" s="24" t="str">
        <f t="shared" si="86"/>
        <v>S0840061E005</v>
      </c>
      <c r="F942" s="13">
        <v>44463</v>
      </c>
      <c r="G942" s="13">
        <v>44465</v>
      </c>
      <c r="H942" s="7">
        <f t="shared" ca="1" si="87"/>
        <v>-638</v>
      </c>
      <c r="I942" s="13">
        <v>44465</v>
      </c>
      <c r="J942" s="9">
        <f t="shared" ca="1" si="88"/>
        <v>0</v>
      </c>
      <c r="K942" s="10"/>
      <c r="L942" s="10" t="str">
        <f t="shared" si="89"/>
        <v>Accepted</v>
      </c>
      <c r="M942" s="11">
        <v>0</v>
      </c>
      <c r="N942" s="10" t="s">
        <v>18</v>
      </c>
      <c r="O942" s="42">
        <f t="shared" si="90"/>
        <v>15000</v>
      </c>
      <c r="P942" s="10" t="s">
        <v>19</v>
      </c>
    </row>
    <row r="943" spans="1:16" s="22" customFormat="1" ht="14.25" customHeight="1" x14ac:dyDescent="0.25">
      <c r="A943" s="5" t="s">
        <v>2265</v>
      </c>
      <c r="B943" s="22" t="s">
        <v>716</v>
      </c>
      <c r="C943" s="22" t="s">
        <v>932</v>
      </c>
      <c r="D943" s="18" t="s">
        <v>2266</v>
      </c>
      <c r="E943" s="24" t="str">
        <f t="shared" si="86"/>
        <v>S0840091a002</v>
      </c>
      <c r="F943" s="13">
        <v>44463</v>
      </c>
      <c r="G943" s="13">
        <v>44465</v>
      </c>
      <c r="H943" s="7">
        <f t="shared" ca="1" si="87"/>
        <v>-638</v>
      </c>
      <c r="I943" s="13">
        <v>44465</v>
      </c>
      <c r="J943" s="9">
        <f t="shared" ca="1" si="88"/>
        <v>0</v>
      </c>
      <c r="K943" s="10"/>
      <c r="L943" s="10" t="str">
        <f t="shared" si="89"/>
        <v>Accepted</v>
      </c>
      <c r="M943" s="11">
        <v>0</v>
      </c>
      <c r="N943" s="10" t="s">
        <v>18</v>
      </c>
      <c r="O943" s="42">
        <f t="shared" si="90"/>
        <v>15000</v>
      </c>
      <c r="P943" s="10" t="s">
        <v>19</v>
      </c>
    </row>
    <row r="944" spans="1:16" s="22" customFormat="1" ht="14.25" customHeight="1" x14ac:dyDescent="0.25">
      <c r="A944" s="5" t="s">
        <v>2267</v>
      </c>
      <c r="B944" s="22" t="s">
        <v>716</v>
      </c>
      <c r="C944" s="22" t="s">
        <v>932</v>
      </c>
      <c r="D944" s="18" t="s">
        <v>2268</v>
      </c>
      <c r="E944" s="24" t="str">
        <f t="shared" si="86"/>
        <v>S0840091a003</v>
      </c>
      <c r="F944" s="13">
        <v>44463</v>
      </c>
      <c r="G944" s="13">
        <v>44465</v>
      </c>
      <c r="H944" s="7">
        <f t="shared" ca="1" si="87"/>
        <v>-638</v>
      </c>
      <c r="I944" s="13">
        <v>44465</v>
      </c>
      <c r="J944" s="9">
        <f t="shared" ca="1" si="88"/>
        <v>0</v>
      </c>
      <c r="K944" s="10"/>
      <c r="L944" s="10" t="str">
        <f t="shared" si="89"/>
        <v>Accepted</v>
      </c>
      <c r="M944" s="11">
        <v>0</v>
      </c>
      <c r="N944" s="10" t="s">
        <v>18</v>
      </c>
      <c r="O944" s="42">
        <f t="shared" si="90"/>
        <v>15000</v>
      </c>
      <c r="P944" s="10" t="s">
        <v>19</v>
      </c>
    </row>
    <row r="945" spans="1:16" s="22" customFormat="1" ht="14.25" customHeight="1" x14ac:dyDescent="0.25">
      <c r="A945" s="5" t="s">
        <v>2269</v>
      </c>
      <c r="B945" s="22" t="s">
        <v>716</v>
      </c>
      <c r="C945" s="22" t="s">
        <v>932</v>
      </c>
      <c r="D945" s="18" t="s">
        <v>2270</v>
      </c>
      <c r="E945" s="24" t="str">
        <f t="shared" si="86"/>
        <v>S0840091d003</v>
      </c>
      <c r="F945" s="13">
        <v>44463</v>
      </c>
      <c r="G945" s="13">
        <v>44465</v>
      </c>
      <c r="H945" s="7">
        <f t="shared" ca="1" si="87"/>
        <v>-638</v>
      </c>
      <c r="I945" s="13">
        <v>44465</v>
      </c>
      <c r="J945" s="9">
        <f t="shared" ca="1" si="88"/>
        <v>0</v>
      </c>
      <c r="K945" s="10"/>
      <c r="L945" s="10" t="str">
        <f t="shared" si="89"/>
        <v>Accepted</v>
      </c>
      <c r="M945" s="11">
        <v>0</v>
      </c>
      <c r="N945" s="10" t="s">
        <v>18</v>
      </c>
      <c r="O945" s="42">
        <f t="shared" si="90"/>
        <v>15000</v>
      </c>
      <c r="P945" s="10" t="s">
        <v>19</v>
      </c>
    </row>
    <row r="946" spans="1:16" s="22" customFormat="1" ht="14.25" customHeight="1" x14ac:dyDescent="0.25">
      <c r="A946" s="5" t="s">
        <v>2271</v>
      </c>
      <c r="B946" s="22" t="s">
        <v>716</v>
      </c>
      <c r="C946" s="22" t="s">
        <v>932</v>
      </c>
      <c r="D946" s="18" t="s">
        <v>2272</v>
      </c>
      <c r="E946" s="24" t="str">
        <f t="shared" si="86"/>
        <v>S0840091c004</v>
      </c>
      <c r="F946" s="13">
        <v>44463</v>
      </c>
      <c r="G946" s="13">
        <v>44465</v>
      </c>
      <c r="H946" s="7">
        <f t="shared" ca="1" si="87"/>
        <v>-638</v>
      </c>
      <c r="I946" s="13">
        <v>44465</v>
      </c>
      <c r="J946" s="9">
        <f t="shared" ca="1" si="88"/>
        <v>0</v>
      </c>
      <c r="K946" s="10"/>
      <c r="L946" s="10" t="str">
        <f t="shared" si="89"/>
        <v>Accepted</v>
      </c>
      <c r="M946" s="11">
        <v>0</v>
      </c>
      <c r="N946" s="10" t="s">
        <v>18</v>
      </c>
      <c r="O946" s="42">
        <f t="shared" si="90"/>
        <v>15000</v>
      </c>
      <c r="P946" s="10" t="s">
        <v>19</v>
      </c>
    </row>
    <row r="947" spans="1:16" s="22" customFormat="1" ht="14.25" customHeight="1" x14ac:dyDescent="0.25">
      <c r="A947" s="5" t="s">
        <v>2273</v>
      </c>
      <c r="B947" s="22" t="s">
        <v>716</v>
      </c>
      <c r="C947" s="22" t="s">
        <v>985</v>
      </c>
      <c r="D947" s="18" t="s">
        <v>2274</v>
      </c>
      <c r="E947" s="24" t="str">
        <f t="shared" si="86"/>
        <v>S0051004E012</v>
      </c>
      <c r="F947" s="13">
        <v>44463</v>
      </c>
      <c r="G947" s="13">
        <v>44465</v>
      </c>
      <c r="H947" s="7">
        <f t="shared" ca="1" si="87"/>
        <v>-638</v>
      </c>
      <c r="I947" s="13">
        <v>44465</v>
      </c>
      <c r="J947" s="9">
        <f t="shared" ca="1" si="88"/>
        <v>0</v>
      </c>
      <c r="K947" s="10"/>
      <c r="L947" s="10" t="str">
        <f t="shared" si="89"/>
        <v>Accepted</v>
      </c>
      <c r="M947" s="11">
        <v>0</v>
      </c>
      <c r="N947" s="10" t="s">
        <v>18</v>
      </c>
      <c r="O947" s="42">
        <f t="shared" si="90"/>
        <v>15000</v>
      </c>
      <c r="P947" s="10" t="s">
        <v>19</v>
      </c>
    </row>
    <row r="948" spans="1:16" s="22" customFormat="1" ht="14.25" customHeight="1" x14ac:dyDescent="0.25">
      <c r="A948" s="5" t="s">
        <v>2275</v>
      </c>
      <c r="B948" s="22" t="s">
        <v>716</v>
      </c>
      <c r="C948" s="22" t="s">
        <v>787</v>
      </c>
      <c r="D948" s="18" t="s">
        <v>2276</v>
      </c>
      <c r="E948" s="24" t="str">
        <f t="shared" si="86"/>
        <v>S0471922E002</v>
      </c>
      <c r="F948" s="13">
        <v>44463</v>
      </c>
      <c r="G948" s="13">
        <v>44465</v>
      </c>
      <c r="H948" s="7">
        <f t="shared" ca="1" si="87"/>
        <v>-638</v>
      </c>
      <c r="I948" s="13">
        <v>44465</v>
      </c>
      <c r="J948" s="9">
        <f t="shared" ca="1" si="88"/>
        <v>0</v>
      </c>
      <c r="K948" s="10"/>
      <c r="L948" s="10" t="str">
        <f t="shared" si="89"/>
        <v>Accepted</v>
      </c>
      <c r="M948" s="11">
        <v>0</v>
      </c>
      <c r="N948" s="10" t="s">
        <v>18</v>
      </c>
      <c r="O948" s="42">
        <f t="shared" si="90"/>
        <v>15000</v>
      </c>
      <c r="P948" s="10" t="s">
        <v>19</v>
      </c>
    </row>
    <row r="949" spans="1:16" s="22" customFormat="1" ht="14.25" customHeight="1" x14ac:dyDescent="0.25">
      <c r="A949" s="5" t="s">
        <v>2235</v>
      </c>
      <c r="B949" s="22" t="s">
        <v>716</v>
      </c>
      <c r="C949" s="22" t="s">
        <v>735</v>
      </c>
      <c r="D949" s="18" t="s">
        <v>2236</v>
      </c>
      <c r="E949" s="24" t="str">
        <f t="shared" si="86"/>
        <v>T0204601P004</v>
      </c>
      <c r="F949" s="13">
        <v>44463</v>
      </c>
      <c r="G949" s="13">
        <v>44479</v>
      </c>
      <c r="H949" s="7">
        <f t="shared" ca="1" si="87"/>
        <v>-624</v>
      </c>
      <c r="I949" s="13">
        <v>44465</v>
      </c>
      <c r="J949" s="9">
        <f t="shared" ca="1" si="88"/>
        <v>640</v>
      </c>
      <c r="K949" s="10" t="s">
        <v>771</v>
      </c>
      <c r="L949" s="10" t="str">
        <f t="shared" si="89"/>
        <v>Rejected</v>
      </c>
      <c r="M949" s="11">
        <v>1</v>
      </c>
      <c r="N949" s="10" t="s">
        <v>18</v>
      </c>
      <c r="O949" s="42">
        <f t="shared" si="90"/>
        <v>0</v>
      </c>
      <c r="P949" s="10" t="s">
        <v>2485</v>
      </c>
    </row>
    <row r="950" spans="1:16" s="22" customFormat="1" ht="14.25" customHeight="1" x14ac:dyDescent="0.25">
      <c r="A950" s="5" t="s">
        <v>2083</v>
      </c>
      <c r="B950" s="22" t="s">
        <v>716</v>
      </c>
      <c r="C950" s="22" t="s">
        <v>2061</v>
      </c>
      <c r="D950" s="18" t="s">
        <v>2084</v>
      </c>
      <c r="E950" s="24" t="str">
        <f t="shared" si="86"/>
        <v>S0491361E001</v>
      </c>
      <c r="F950" s="13">
        <v>44459</v>
      </c>
      <c r="G950" s="13">
        <v>44479</v>
      </c>
      <c r="H950" s="7">
        <f t="shared" ca="1" si="87"/>
        <v>-624</v>
      </c>
      <c r="I950" s="13">
        <v>44467</v>
      </c>
      <c r="J950" s="9">
        <f t="shared" ca="1" si="88"/>
        <v>644</v>
      </c>
      <c r="K950" s="10" t="s">
        <v>712</v>
      </c>
      <c r="L950" s="10" t="str">
        <f t="shared" si="89"/>
        <v>Rejected</v>
      </c>
      <c r="M950" s="11">
        <v>1</v>
      </c>
      <c r="N950" s="10" t="s">
        <v>18</v>
      </c>
      <c r="O950" s="42">
        <f t="shared" si="90"/>
        <v>0</v>
      </c>
      <c r="P950" s="10" t="s">
        <v>2485</v>
      </c>
    </row>
    <row r="951" spans="1:16" s="22" customFormat="1" ht="14.25" customHeight="1" x14ac:dyDescent="0.25">
      <c r="A951" s="5" t="s">
        <v>2287</v>
      </c>
      <c r="B951" s="22" t="s">
        <v>716</v>
      </c>
      <c r="C951" s="22" t="s">
        <v>1450</v>
      </c>
      <c r="D951" s="18" t="s">
        <v>2288</v>
      </c>
      <c r="E951" s="24" t="str">
        <f t="shared" si="86"/>
        <v>S0520141E002</v>
      </c>
      <c r="F951" s="13">
        <v>44466</v>
      </c>
      <c r="G951" s="13">
        <v>44469</v>
      </c>
      <c r="H951" s="7">
        <f t="shared" ca="1" si="87"/>
        <v>-634</v>
      </c>
      <c r="I951" s="13">
        <v>44469</v>
      </c>
      <c r="J951" s="9">
        <f t="shared" ca="1" si="88"/>
        <v>0</v>
      </c>
      <c r="K951" s="10"/>
      <c r="L951" s="10" t="str">
        <f t="shared" si="89"/>
        <v>Accepted</v>
      </c>
      <c r="M951" s="11">
        <v>0</v>
      </c>
      <c r="N951" s="10" t="s">
        <v>18</v>
      </c>
      <c r="O951" s="42">
        <f t="shared" si="90"/>
        <v>15000</v>
      </c>
      <c r="P951" s="10" t="s">
        <v>19</v>
      </c>
    </row>
    <row r="952" spans="1:16" s="22" customFormat="1" ht="14.25" customHeight="1" x14ac:dyDescent="0.25">
      <c r="A952" s="5" t="s">
        <v>2293</v>
      </c>
      <c r="B952" s="22" t="s">
        <v>716</v>
      </c>
      <c r="C952" s="22" t="s">
        <v>2470</v>
      </c>
      <c r="D952" s="18" t="s">
        <v>2294</v>
      </c>
      <c r="E952" s="24" t="str">
        <f t="shared" si="86"/>
        <v>T019C501P001</v>
      </c>
      <c r="F952" s="13">
        <v>44466</v>
      </c>
      <c r="G952" s="13">
        <v>44469</v>
      </c>
      <c r="H952" s="7">
        <f t="shared" ca="1" si="87"/>
        <v>-634</v>
      </c>
      <c r="I952" s="13">
        <v>44469</v>
      </c>
      <c r="J952" s="9">
        <f t="shared" ca="1" si="88"/>
        <v>0</v>
      </c>
      <c r="K952" s="10"/>
      <c r="L952" s="10" t="str">
        <f t="shared" si="89"/>
        <v>Accepted</v>
      </c>
      <c r="M952" s="11">
        <v>0</v>
      </c>
      <c r="N952" s="10" t="s">
        <v>18</v>
      </c>
      <c r="O952" s="42">
        <f t="shared" si="90"/>
        <v>15000</v>
      </c>
      <c r="P952" s="10" t="s">
        <v>19</v>
      </c>
    </row>
    <row r="953" spans="1:16" s="22" customFormat="1" ht="14.25" customHeight="1" x14ac:dyDescent="0.25">
      <c r="A953" s="5" t="s">
        <v>2303</v>
      </c>
      <c r="B953" s="22" t="s">
        <v>716</v>
      </c>
      <c r="C953" s="22" t="s">
        <v>1450</v>
      </c>
      <c r="D953" s="18" t="s">
        <v>2304</v>
      </c>
      <c r="E953" s="24" t="str">
        <f t="shared" si="86"/>
        <v>T008M801P001</v>
      </c>
      <c r="F953" s="13">
        <v>44466</v>
      </c>
      <c r="G953" s="13">
        <v>44469</v>
      </c>
      <c r="H953" s="7">
        <f t="shared" ca="1" si="87"/>
        <v>-634</v>
      </c>
      <c r="I953" s="13">
        <v>44469</v>
      </c>
      <c r="J953" s="9">
        <f t="shared" ca="1" si="88"/>
        <v>0</v>
      </c>
      <c r="K953" s="10"/>
      <c r="L953" s="10" t="str">
        <f t="shared" si="89"/>
        <v>Accepted</v>
      </c>
      <c r="M953" s="11">
        <v>0</v>
      </c>
      <c r="N953" s="10" t="s">
        <v>18</v>
      </c>
      <c r="O953" s="42">
        <f t="shared" si="90"/>
        <v>15000</v>
      </c>
      <c r="P953" s="10" t="s">
        <v>19</v>
      </c>
    </row>
    <row r="954" spans="1:16" s="22" customFormat="1" ht="14.25" customHeight="1" x14ac:dyDescent="0.25">
      <c r="A954" s="5" t="s">
        <v>2307</v>
      </c>
      <c r="B954" s="22" t="s">
        <v>716</v>
      </c>
      <c r="C954" s="22" t="s">
        <v>1450</v>
      </c>
      <c r="D954" s="18" t="s">
        <v>2308</v>
      </c>
      <c r="E954" s="24" t="str">
        <f t="shared" si="86"/>
        <v>T006F203P001</v>
      </c>
      <c r="F954" s="13">
        <v>44466</v>
      </c>
      <c r="G954" s="13">
        <v>44469</v>
      </c>
      <c r="H954" s="7">
        <f t="shared" ca="1" si="87"/>
        <v>-634</v>
      </c>
      <c r="I954" s="13">
        <v>44469</v>
      </c>
      <c r="J954" s="9">
        <f t="shared" ca="1" si="88"/>
        <v>0</v>
      </c>
      <c r="K954" s="10"/>
      <c r="L954" s="10" t="str">
        <f t="shared" si="89"/>
        <v>Accepted</v>
      </c>
      <c r="M954" s="11">
        <v>0</v>
      </c>
      <c r="N954" s="10" t="s">
        <v>18</v>
      </c>
      <c r="O954" s="42">
        <f t="shared" si="90"/>
        <v>15000</v>
      </c>
      <c r="P954" s="10" t="s">
        <v>19</v>
      </c>
    </row>
    <row r="955" spans="1:16" s="22" customFormat="1" ht="14.25" customHeight="1" x14ac:dyDescent="0.25">
      <c r="A955" s="5" t="s">
        <v>2309</v>
      </c>
      <c r="B955" s="22" t="s">
        <v>716</v>
      </c>
      <c r="C955" s="22" t="s">
        <v>1450</v>
      </c>
      <c r="D955" s="18" t="s">
        <v>2310</v>
      </c>
      <c r="E955" s="24" t="str">
        <f t="shared" si="86"/>
        <v>T0065405P001</v>
      </c>
      <c r="F955" s="13">
        <v>44466</v>
      </c>
      <c r="G955" s="13">
        <v>44469</v>
      </c>
      <c r="H955" s="7">
        <f t="shared" ca="1" si="87"/>
        <v>-634</v>
      </c>
      <c r="I955" s="13">
        <v>44469</v>
      </c>
      <c r="J955" s="9">
        <f t="shared" ca="1" si="88"/>
        <v>0</v>
      </c>
      <c r="K955" s="10"/>
      <c r="L955" s="10" t="str">
        <f t="shared" si="89"/>
        <v>Accepted</v>
      </c>
      <c r="M955" s="11">
        <v>0</v>
      </c>
      <c r="N955" s="10" t="s">
        <v>18</v>
      </c>
      <c r="O955" s="42">
        <f t="shared" si="90"/>
        <v>15000</v>
      </c>
      <c r="P955" s="10" t="s">
        <v>19</v>
      </c>
    </row>
    <row r="956" spans="1:16" s="22" customFormat="1" ht="14.25" customHeight="1" x14ac:dyDescent="0.25">
      <c r="A956" s="5" t="s">
        <v>2311</v>
      </c>
      <c r="B956" s="22" t="s">
        <v>716</v>
      </c>
      <c r="C956" s="22" t="s">
        <v>2470</v>
      </c>
      <c r="D956" s="18" t="s">
        <v>2312</v>
      </c>
      <c r="E956" s="24" t="str">
        <f t="shared" si="86"/>
        <v>T022O901E001</v>
      </c>
      <c r="F956" s="13">
        <v>44466</v>
      </c>
      <c r="G956" s="13">
        <v>44469</v>
      </c>
      <c r="H956" s="7">
        <f t="shared" ca="1" si="87"/>
        <v>-634</v>
      </c>
      <c r="I956" s="13">
        <v>44469</v>
      </c>
      <c r="J956" s="9">
        <f t="shared" ca="1" si="88"/>
        <v>0</v>
      </c>
      <c r="K956" s="10"/>
      <c r="L956" s="10" t="str">
        <f t="shared" si="89"/>
        <v>Accepted</v>
      </c>
      <c r="M956" s="11">
        <v>0</v>
      </c>
      <c r="N956" s="10" t="s">
        <v>18</v>
      </c>
      <c r="O956" s="42">
        <f t="shared" si="90"/>
        <v>15000</v>
      </c>
      <c r="P956" s="10" t="s">
        <v>19</v>
      </c>
    </row>
    <row r="957" spans="1:16" s="22" customFormat="1" ht="14.25" customHeight="1" x14ac:dyDescent="0.25">
      <c r="A957" s="5" t="s">
        <v>1960</v>
      </c>
      <c r="B957" s="22" t="s">
        <v>716</v>
      </c>
      <c r="C957" s="22" t="s">
        <v>2472</v>
      </c>
      <c r="D957" s="18" t="s">
        <v>1961</v>
      </c>
      <c r="E957" s="24" t="str">
        <f t="shared" si="86"/>
        <v>S0541191E001</v>
      </c>
      <c r="F957" s="13">
        <v>44452</v>
      </c>
      <c r="G957" s="13">
        <v>44472</v>
      </c>
      <c r="H957" s="7">
        <f t="shared" ca="1" si="87"/>
        <v>-631</v>
      </c>
      <c r="I957" s="13">
        <v>44472</v>
      </c>
      <c r="J957" s="9">
        <f t="shared" ca="1" si="88"/>
        <v>0</v>
      </c>
      <c r="K957" s="10"/>
      <c r="L957" s="10" t="str">
        <f t="shared" si="89"/>
        <v>Accepted</v>
      </c>
      <c r="M957" s="11">
        <v>0</v>
      </c>
      <c r="N957" s="10" t="s">
        <v>18</v>
      </c>
      <c r="O957" s="42">
        <f t="shared" si="90"/>
        <v>15000</v>
      </c>
      <c r="P957" s="10" t="s">
        <v>19</v>
      </c>
    </row>
    <row r="958" spans="1:16" s="22" customFormat="1" ht="14.25" customHeight="1" x14ac:dyDescent="0.25">
      <c r="A958" s="5" t="s">
        <v>2152</v>
      </c>
      <c r="B958" s="22" t="s">
        <v>716</v>
      </c>
      <c r="C958" s="22" t="s">
        <v>1043</v>
      </c>
      <c r="D958" s="18" t="s">
        <v>2153</v>
      </c>
      <c r="E958" s="24" t="str">
        <f t="shared" si="86"/>
        <v>S0212111E002</v>
      </c>
      <c r="F958" s="13">
        <v>44459</v>
      </c>
      <c r="G958" s="13">
        <v>44472</v>
      </c>
      <c r="H958" s="7">
        <f t="shared" ca="1" si="87"/>
        <v>-631</v>
      </c>
      <c r="I958" s="13">
        <v>44472</v>
      </c>
      <c r="J958" s="9">
        <f t="shared" ca="1" si="88"/>
        <v>0</v>
      </c>
      <c r="K958" s="10"/>
      <c r="L958" s="10" t="str">
        <f t="shared" si="89"/>
        <v>Accepted</v>
      </c>
      <c r="M958" s="11">
        <v>1</v>
      </c>
      <c r="N958" s="10" t="s">
        <v>18</v>
      </c>
      <c r="O958" s="42">
        <f t="shared" si="90"/>
        <v>15000</v>
      </c>
      <c r="P958" s="10" t="s">
        <v>19</v>
      </c>
    </row>
    <row r="959" spans="1:16" s="22" customFormat="1" ht="14.25" customHeight="1" x14ac:dyDescent="0.25">
      <c r="A959" s="5" t="s">
        <v>2223</v>
      </c>
      <c r="B959" s="22" t="s">
        <v>716</v>
      </c>
      <c r="C959" s="22" t="s">
        <v>1694</v>
      </c>
      <c r="D959" s="18" t="s">
        <v>2224</v>
      </c>
      <c r="E959" s="24" t="str">
        <f t="shared" si="86"/>
        <v>T007O801P001</v>
      </c>
      <c r="F959" s="13">
        <v>44463</v>
      </c>
      <c r="G959" s="13">
        <v>44472</v>
      </c>
      <c r="H959" s="7">
        <f t="shared" ca="1" si="87"/>
        <v>-631</v>
      </c>
      <c r="I959" s="13">
        <v>44472</v>
      </c>
      <c r="J959" s="9">
        <f t="shared" ca="1" si="88"/>
        <v>640</v>
      </c>
      <c r="K959" s="10" t="s">
        <v>771</v>
      </c>
      <c r="L959" s="10" t="str">
        <f t="shared" si="89"/>
        <v>Rejected</v>
      </c>
      <c r="M959" s="11">
        <v>1</v>
      </c>
      <c r="N959" s="10" t="s">
        <v>30</v>
      </c>
      <c r="O959" s="42">
        <f t="shared" si="90"/>
        <v>0</v>
      </c>
      <c r="P959" s="10" t="s">
        <v>2485</v>
      </c>
    </row>
    <row r="960" spans="1:16" s="22" customFormat="1" ht="14.25" customHeight="1" x14ac:dyDescent="0.25">
      <c r="A960" s="5" t="s">
        <v>2279</v>
      </c>
      <c r="B960" s="22" t="s">
        <v>716</v>
      </c>
      <c r="C960" s="22" t="s">
        <v>1694</v>
      </c>
      <c r="D960" s="18" t="s">
        <v>2280</v>
      </c>
      <c r="E960" s="24" t="str">
        <f t="shared" si="86"/>
        <v>T007O101P001</v>
      </c>
      <c r="F960" s="13">
        <v>44466</v>
      </c>
      <c r="G960" s="13">
        <v>44472</v>
      </c>
      <c r="H960" s="7">
        <f t="shared" ca="1" si="87"/>
        <v>-631</v>
      </c>
      <c r="I960" s="13">
        <v>44472</v>
      </c>
      <c r="J960" s="9">
        <f t="shared" ca="1" si="88"/>
        <v>637</v>
      </c>
      <c r="K960" s="10" t="s">
        <v>771</v>
      </c>
      <c r="L960" s="10" t="str">
        <f t="shared" si="89"/>
        <v>Rejected</v>
      </c>
      <c r="M960" s="11">
        <v>1</v>
      </c>
      <c r="N960" s="10" t="s">
        <v>18</v>
      </c>
      <c r="O960" s="42">
        <f t="shared" si="90"/>
        <v>0</v>
      </c>
      <c r="P960" s="10" t="s">
        <v>2485</v>
      </c>
    </row>
    <row r="961" spans="1:16" s="22" customFormat="1" ht="14.25" customHeight="1" x14ac:dyDescent="0.25">
      <c r="A961" s="5" t="s">
        <v>2281</v>
      </c>
      <c r="B961" s="22" t="s">
        <v>716</v>
      </c>
      <c r="C961" s="22" t="s">
        <v>735</v>
      </c>
      <c r="D961" s="18" t="s">
        <v>2282</v>
      </c>
      <c r="E961" s="24" t="str">
        <f t="shared" si="86"/>
        <v>T0205001P008</v>
      </c>
      <c r="F961" s="13">
        <v>44466</v>
      </c>
      <c r="G961" s="13">
        <v>44472</v>
      </c>
      <c r="H961" s="7">
        <f t="shared" ca="1" si="87"/>
        <v>-631</v>
      </c>
      <c r="I961" s="13">
        <v>44472</v>
      </c>
      <c r="J961" s="9">
        <f t="shared" ca="1" si="88"/>
        <v>0</v>
      </c>
      <c r="K961" s="10"/>
      <c r="L961" s="10" t="str">
        <f t="shared" si="89"/>
        <v>Accepted</v>
      </c>
      <c r="M961" s="11">
        <v>0</v>
      </c>
      <c r="N961" s="10" t="s">
        <v>18</v>
      </c>
      <c r="O961" s="42">
        <f t="shared" si="90"/>
        <v>15000</v>
      </c>
      <c r="P961" s="10" t="s">
        <v>19</v>
      </c>
    </row>
    <row r="962" spans="1:16" s="22" customFormat="1" ht="14.25" customHeight="1" x14ac:dyDescent="0.25">
      <c r="A962" s="5" t="s">
        <v>2283</v>
      </c>
      <c r="B962" s="22" t="s">
        <v>716</v>
      </c>
      <c r="C962" s="22" t="s">
        <v>2472</v>
      </c>
      <c r="D962" s="18" t="s">
        <v>2284</v>
      </c>
      <c r="E962" s="24" t="str">
        <f t="shared" ref="E962:E1025" si="91">HYPERLINK(D962,A962)</f>
        <v>V0030673E001</v>
      </c>
      <c r="F962" s="13">
        <v>44466</v>
      </c>
      <c r="G962" s="13">
        <v>44472</v>
      </c>
      <c r="H962" s="7">
        <f t="shared" ref="H962:H1025" ca="1" si="92">G962-TODAY()</f>
        <v>-631</v>
      </c>
      <c r="I962" s="13">
        <v>44472</v>
      </c>
      <c r="J962" s="9">
        <f t="shared" ref="J962:J1025" ca="1" si="93">IF(L962="Accepted",0,TODAY()-F962)</f>
        <v>0</v>
      </c>
      <c r="K962" s="10"/>
      <c r="L962" s="10" t="str">
        <f t="shared" ref="L962:L1025" si="94">IF(AND(NOT(ISBLANK(I962)), ISBLANK(K962)),"Accepted", IF(AND(ISBLANK(I962),ISBLANK(K962)),"Not Submitted", "Rejected"))</f>
        <v>Accepted</v>
      </c>
      <c r="M962" s="11">
        <v>0</v>
      </c>
      <c r="N962" s="10" t="s">
        <v>18</v>
      </c>
      <c r="O962" s="42">
        <f t="shared" ref="O962:O1025" si="95">IF(AND(L962="Accepted",B962="SMA",N962="no"),20000,
IF(AND(L962="Accepted",OR(B962="SMP",B962="SD"),N962="no"),15000,
IF(AND(L962="Accepted",B962="SMA",N962="yes"),25000,
IF(AND(L962="Accepted",OR(B962="SMP",B962="SD"),N962="yes"),18000,
0))))</f>
        <v>15000</v>
      </c>
      <c r="P962" s="10" t="s">
        <v>19</v>
      </c>
    </row>
    <row r="963" spans="1:16" s="22" customFormat="1" ht="14.25" customHeight="1" x14ac:dyDescent="0.25">
      <c r="A963" s="5" t="s">
        <v>2289</v>
      </c>
      <c r="B963" s="22" t="s">
        <v>716</v>
      </c>
      <c r="C963" s="22" t="s">
        <v>1450</v>
      </c>
      <c r="D963" s="18" t="s">
        <v>2290</v>
      </c>
      <c r="E963" s="24" t="str">
        <f t="shared" si="91"/>
        <v>T0068801P001</v>
      </c>
      <c r="F963" s="13">
        <v>44466</v>
      </c>
      <c r="G963" s="13">
        <v>44472</v>
      </c>
      <c r="H963" s="7">
        <f t="shared" ca="1" si="92"/>
        <v>-631</v>
      </c>
      <c r="I963" s="13">
        <v>44472</v>
      </c>
      <c r="J963" s="9">
        <f t="shared" ca="1" si="93"/>
        <v>0</v>
      </c>
      <c r="K963" s="10"/>
      <c r="L963" s="10" t="str">
        <f t="shared" si="94"/>
        <v>Accepted</v>
      </c>
      <c r="M963" s="11">
        <v>0</v>
      </c>
      <c r="N963" s="10" t="s">
        <v>18</v>
      </c>
      <c r="O963" s="42">
        <f t="shared" si="95"/>
        <v>15000</v>
      </c>
      <c r="P963" s="10" t="s">
        <v>19</v>
      </c>
    </row>
    <row r="964" spans="1:16" s="22" customFormat="1" ht="14.25" customHeight="1" x14ac:dyDescent="0.25">
      <c r="A964" s="5" t="s">
        <v>2297</v>
      </c>
      <c r="B964" s="22" t="s">
        <v>716</v>
      </c>
      <c r="C964" s="22" t="s">
        <v>735</v>
      </c>
      <c r="D964" s="18" t="s">
        <v>2298</v>
      </c>
      <c r="E964" s="24" t="str">
        <f t="shared" si="91"/>
        <v>T0404518E058</v>
      </c>
      <c r="F964" s="13">
        <v>44466</v>
      </c>
      <c r="G964" s="13">
        <v>44472</v>
      </c>
      <c r="H964" s="7">
        <f t="shared" ca="1" si="92"/>
        <v>-631</v>
      </c>
      <c r="I964" s="13">
        <v>44472</v>
      </c>
      <c r="J964" s="9">
        <f t="shared" ca="1" si="93"/>
        <v>0</v>
      </c>
      <c r="K964" s="10"/>
      <c r="L964" s="10" t="str">
        <f t="shared" si="94"/>
        <v>Accepted</v>
      </c>
      <c r="M964" s="11">
        <v>0</v>
      </c>
      <c r="N964" s="10" t="s">
        <v>18</v>
      </c>
      <c r="O964" s="42">
        <f t="shared" si="95"/>
        <v>15000</v>
      </c>
      <c r="P964" s="10" t="s">
        <v>19</v>
      </c>
    </row>
    <row r="965" spans="1:16" s="22" customFormat="1" ht="14.25" customHeight="1" x14ac:dyDescent="0.25">
      <c r="A965" s="5" t="s">
        <v>2301</v>
      </c>
      <c r="B965" s="22" t="s">
        <v>716</v>
      </c>
      <c r="C965" s="22" t="s">
        <v>2470</v>
      </c>
      <c r="D965" s="18" t="s">
        <v>2302</v>
      </c>
      <c r="E965" s="24" t="str">
        <f t="shared" si="91"/>
        <v>T0389601E002</v>
      </c>
      <c r="F965" s="13">
        <v>44466</v>
      </c>
      <c r="G965" s="13">
        <v>44472</v>
      </c>
      <c r="H965" s="7">
        <f t="shared" ca="1" si="92"/>
        <v>-631</v>
      </c>
      <c r="I965" s="13">
        <v>44472</v>
      </c>
      <c r="J965" s="9">
        <f t="shared" ca="1" si="93"/>
        <v>0</v>
      </c>
      <c r="K965" s="10"/>
      <c r="L965" s="10" t="str">
        <f t="shared" si="94"/>
        <v>Accepted</v>
      </c>
      <c r="M965" s="11">
        <v>0</v>
      </c>
      <c r="N965" s="10" t="s">
        <v>18</v>
      </c>
      <c r="O965" s="42">
        <f t="shared" si="95"/>
        <v>15000</v>
      </c>
      <c r="P965" s="10" t="s">
        <v>19</v>
      </c>
    </row>
    <row r="966" spans="1:16" s="22" customFormat="1" ht="14.25" customHeight="1" x14ac:dyDescent="0.25">
      <c r="A966" s="5" t="s">
        <v>2305</v>
      </c>
      <c r="B966" s="22" t="s">
        <v>716</v>
      </c>
      <c r="C966" s="22" t="s">
        <v>735</v>
      </c>
      <c r="D966" s="18" t="s">
        <v>2306</v>
      </c>
      <c r="E966" s="24" t="str">
        <f t="shared" si="91"/>
        <v>V0220301P002</v>
      </c>
      <c r="F966" s="13">
        <v>44466</v>
      </c>
      <c r="G966" s="13">
        <v>44472</v>
      </c>
      <c r="H966" s="7">
        <f t="shared" ca="1" si="92"/>
        <v>-631</v>
      </c>
      <c r="I966" s="13">
        <v>44472</v>
      </c>
      <c r="J966" s="9">
        <f t="shared" ca="1" si="93"/>
        <v>0</v>
      </c>
      <c r="K966" s="10"/>
      <c r="L966" s="10" t="str">
        <f t="shared" si="94"/>
        <v>Accepted</v>
      </c>
      <c r="M966" s="11">
        <v>0</v>
      </c>
      <c r="N966" s="10" t="s">
        <v>18</v>
      </c>
      <c r="O966" s="42">
        <f t="shared" si="95"/>
        <v>15000</v>
      </c>
      <c r="P966" s="10" t="s">
        <v>19</v>
      </c>
    </row>
    <row r="967" spans="1:16" s="22" customFormat="1" ht="14.25" customHeight="1" x14ac:dyDescent="0.25">
      <c r="A967" s="5" t="s">
        <v>2317</v>
      </c>
      <c r="B967" s="22" t="s">
        <v>716</v>
      </c>
      <c r="C967" s="22" t="s">
        <v>2470</v>
      </c>
      <c r="D967" s="18" t="s">
        <v>2318</v>
      </c>
      <c r="E967" s="24" t="str">
        <f t="shared" si="91"/>
        <v>T0092003E001</v>
      </c>
      <c r="F967" s="13">
        <v>44470</v>
      </c>
      <c r="G967" s="13">
        <v>44472</v>
      </c>
      <c r="H967" s="7">
        <f t="shared" ca="1" si="92"/>
        <v>-631</v>
      </c>
      <c r="I967" s="13">
        <v>44472</v>
      </c>
      <c r="J967" s="9">
        <f t="shared" ca="1" si="93"/>
        <v>0</v>
      </c>
      <c r="K967" s="10"/>
      <c r="L967" s="10" t="str">
        <f t="shared" si="94"/>
        <v>Accepted</v>
      </c>
      <c r="M967" s="11">
        <v>0</v>
      </c>
      <c r="N967" s="10" t="s">
        <v>18</v>
      </c>
      <c r="O967" s="42">
        <f t="shared" si="95"/>
        <v>15000</v>
      </c>
      <c r="P967" s="10" t="s">
        <v>19</v>
      </c>
    </row>
    <row r="968" spans="1:16" s="22" customFormat="1" ht="14.25" customHeight="1" x14ac:dyDescent="0.25">
      <c r="A968" s="5" t="s">
        <v>2319</v>
      </c>
      <c r="B968" s="22" t="s">
        <v>716</v>
      </c>
      <c r="C968" s="22" t="s">
        <v>2505</v>
      </c>
      <c r="D968" s="18" t="s">
        <v>2320</v>
      </c>
      <c r="E968" s="24" t="str">
        <f t="shared" si="91"/>
        <v>S0850981E003</v>
      </c>
      <c r="F968" s="13">
        <v>44470</v>
      </c>
      <c r="G968" s="13">
        <v>44472</v>
      </c>
      <c r="H968" s="7">
        <f t="shared" ca="1" si="92"/>
        <v>-631</v>
      </c>
      <c r="I968" s="13">
        <v>44472</v>
      </c>
      <c r="J968" s="9">
        <f t="shared" ca="1" si="93"/>
        <v>633</v>
      </c>
      <c r="K968" s="10" t="s">
        <v>771</v>
      </c>
      <c r="L968" s="10" t="str">
        <f t="shared" si="94"/>
        <v>Rejected</v>
      </c>
      <c r="M968" s="11">
        <v>1</v>
      </c>
      <c r="N968" s="10" t="s">
        <v>18</v>
      </c>
      <c r="O968" s="42">
        <f t="shared" si="95"/>
        <v>0</v>
      </c>
      <c r="P968" s="10" t="s">
        <v>2485</v>
      </c>
    </row>
    <row r="969" spans="1:16" s="22" customFormat="1" ht="14.25" customHeight="1" x14ac:dyDescent="0.25">
      <c r="A969" s="5" t="s">
        <v>2321</v>
      </c>
      <c r="B969" s="22" t="s">
        <v>716</v>
      </c>
      <c r="C969" s="22" t="s">
        <v>2505</v>
      </c>
      <c r="D969" s="18" t="s">
        <v>2322</v>
      </c>
      <c r="E969" s="24" t="str">
        <f t="shared" si="91"/>
        <v>S0880651P003</v>
      </c>
      <c r="F969" s="13">
        <v>44470</v>
      </c>
      <c r="G969" s="13">
        <v>44472</v>
      </c>
      <c r="H969" s="7">
        <f t="shared" ca="1" si="92"/>
        <v>-631</v>
      </c>
      <c r="I969" s="13">
        <v>44472</v>
      </c>
      <c r="J969" s="9">
        <f t="shared" ca="1" si="93"/>
        <v>633</v>
      </c>
      <c r="K969" s="10" t="s">
        <v>771</v>
      </c>
      <c r="L969" s="10" t="str">
        <f t="shared" si="94"/>
        <v>Rejected</v>
      </c>
      <c r="M969" s="11">
        <v>1</v>
      </c>
      <c r="N969" s="10" t="s">
        <v>18</v>
      </c>
      <c r="O969" s="42">
        <f t="shared" si="95"/>
        <v>0</v>
      </c>
      <c r="P969" s="10" t="s">
        <v>2485</v>
      </c>
    </row>
    <row r="970" spans="1:16" s="22" customFormat="1" ht="14.25" customHeight="1" x14ac:dyDescent="0.25">
      <c r="A970" s="5" t="s">
        <v>2327</v>
      </c>
      <c r="B970" s="22" t="s">
        <v>716</v>
      </c>
      <c r="C970" s="22" t="s">
        <v>932</v>
      </c>
      <c r="D970" s="18" t="s">
        <v>2328</v>
      </c>
      <c r="E970" s="24" t="str">
        <f t="shared" si="91"/>
        <v>U0010291E001</v>
      </c>
      <c r="F970" s="13">
        <v>44470</v>
      </c>
      <c r="G970" s="13">
        <v>44472</v>
      </c>
      <c r="H970" s="7">
        <f t="shared" ca="1" si="92"/>
        <v>-631</v>
      </c>
      <c r="I970" s="13">
        <v>44472</v>
      </c>
      <c r="J970" s="9">
        <f t="shared" ca="1" si="93"/>
        <v>0</v>
      </c>
      <c r="K970" s="10"/>
      <c r="L970" s="10" t="str">
        <f t="shared" si="94"/>
        <v>Accepted</v>
      </c>
      <c r="M970" s="11">
        <v>0</v>
      </c>
      <c r="N970" s="10" t="s">
        <v>18</v>
      </c>
      <c r="O970" s="42">
        <f t="shared" si="95"/>
        <v>15000</v>
      </c>
      <c r="P970" s="10" t="s">
        <v>19</v>
      </c>
    </row>
    <row r="971" spans="1:16" s="22" customFormat="1" ht="14.25" customHeight="1" x14ac:dyDescent="0.25">
      <c r="A971" s="5" t="s">
        <v>2329</v>
      </c>
      <c r="B971" s="22" t="s">
        <v>716</v>
      </c>
      <c r="C971" s="22" t="s">
        <v>787</v>
      </c>
      <c r="D971" s="18" t="s">
        <v>2330</v>
      </c>
      <c r="E971" s="24" t="str">
        <f t="shared" si="91"/>
        <v>T0170454E004</v>
      </c>
      <c r="F971" s="13">
        <v>44470</v>
      </c>
      <c r="G971" s="13">
        <v>44472</v>
      </c>
      <c r="H971" s="7">
        <f t="shared" ca="1" si="92"/>
        <v>-631</v>
      </c>
      <c r="I971" s="13">
        <v>44472</v>
      </c>
      <c r="J971" s="9">
        <f t="shared" ca="1" si="93"/>
        <v>0</v>
      </c>
      <c r="K971" s="10"/>
      <c r="L971" s="10" t="str">
        <f t="shared" si="94"/>
        <v>Accepted</v>
      </c>
      <c r="M971" s="11">
        <v>0</v>
      </c>
      <c r="N971" s="10" t="s">
        <v>18</v>
      </c>
      <c r="O971" s="42">
        <f t="shared" si="95"/>
        <v>15000</v>
      </c>
      <c r="P971" s="10" t="s">
        <v>19</v>
      </c>
    </row>
    <row r="972" spans="1:16" s="22" customFormat="1" ht="14.25" customHeight="1" x14ac:dyDescent="0.25">
      <c r="A972" s="5" t="s">
        <v>2333</v>
      </c>
      <c r="B972" s="22" t="s">
        <v>716</v>
      </c>
      <c r="C972" s="22" t="s">
        <v>787</v>
      </c>
      <c r="D972" s="18" t="s">
        <v>2334</v>
      </c>
      <c r="E972" s="24" t="str">
        <f t="shared" si="91"/>
        <v>U0010761E004</v>
      </c>
      <c r="F972" s="13">
        <v>44470</v>
      </c>
      <c r="G972" s="13">
        <v>44472</v>
      </c>
      <c r="H972" s="7">
        <f t="shared" ca="1" si="92"/>
        <v>-631</v>
      </c>
      <c r="I972" s="13">
        <v>44472</v>
      </c>
      <c r="J972" s="9">
        <f t="shared" ca="1" si="93"/>
        <v>0</v>
      </c>
      <c r="K972" s="10"/>
      <c r="L972" s="10" t="str">
        <f t="shared" si="94"/>
        <v>Accepted</v>
      </c>
      <c r="M972" s="11">
        <v>0</v>
      </c>
      <c r="N972" s="10" t="s">
        <v>18</v>
      </c>
      <c r="O972" s="42">
        <f t="shared" si="95"/>
        <v>15000</v>
      </c>
      <c r="P972" s="10" t="s">
        <v>19</v>
      </c>
    </row>
    <row r="973" spans="1:16" s="22" customFormat="1" ht="14.25" customHeight="1" x14ac:dyDescent="0.25">
      <c r="A973" s="5" t="s">
        <v>2341</v>
      </c>
      <c r="B973" s="22" t="s">
        <v>716</v>
      </c>
      <c r="C973" s="22" t="s">
        <v>2505</v>
      </c>
      <c r="D973" s="18" t="s">
        <v>2342</v>
      </c>
      <c r="E973" s="24" t="str">
        <f t="shared" si="91"/>
        <v>V0213212E004</v>
      </c>
      <c r="F973" s="13">
        <v>44470</v>
      </c>
      <c r="G973" s="13">
        <v>44472</v>
      </c>
      <c r="H973" s="7">
        <f t="shared" ca="1" si="92"/>
        <v>-631</v>
      </c>
      <c r="I973" s="13">
        <v>44472</v>
      </c>
      <c r="J973" s="9">
        <f t="shared" ca="1" si="93"/>
        <v>0</v>
      </c>
      <c r="K973" s="10"/>
      <c r="L973" s="10" t="str">
        <f t="shared" si="94"/>
        <v>Accepted</v>
      </c>
      <c r="M973" s="11">
        <v>0</v>
      </c>
      <c r="N973" s="10" t="s">
        <v>18</v>
      </c>
      <c r="O973" s="42">
        <f t="shared" si="95"/>
        <v>15000</v>
      </c>
      <c r="P973" s="10" t="s">
        <v>19</v>
      </c>
    </row>
    <row r="974" spans="1:16" s="22" customFormat="1" ht="14.25" customHeight="1" x14ac:dyDescent="0.25">
      <c r="A974" s="5" t="s">
        <v>2347</v>
      </c>
      <c r="B974" s="22" t="s">
        <v>716</v>
      </c>
      <c r="C974" s="22" t="s">
        <v>787</v>
      </c>
      <c r="D974" s="18" t="s">
        <v>2348</v>
      </c>
      <c r="E974" s="24" t="str">
        <f t="shared" si="91"/>
        <v>S0900693E001</v>
      </c>
      <c r="F974" s="13">
        <v>44470</v>
      </c>
      <c r="G974" s="13">
        <v>44472</v>
      </c>
      <c r="H974" s="7">
        <f t="shared" ca="1" si="92"/>
        <v>-631</v>
      </c>
      <c r="I974" s="13">
        <v>44472</v>
      </c>
      <c r="J974" s="9">
        <f t="shared" ca="1" si="93"/>
        <v>0</v>
      </c>
      <c r="K974" s="10"/>
      <c r="L974" s="10" t="str">
        <f t="shared" si="94"/>
        <v>Accepted</v>
      </c>
      <c r="M974" s="11">
        <v>0</v>
      </c>
      <c r="N974" s="10" t="s">
        <v>18</v>
      </c>
      <c r="O974" s="42">
        <f t="shared" si="95"/>
        <v>15000</v>
      </c>
      <c r="P974" s="10" t="s">
        <v>19</v>
      </c>
    </row>
    <row r="975" spans="1:16" s="22" customFormat="1" ht="14.25" customHeight="1" x14ac:dyDescent="0.25">
      <c r="A975" s="5" t="s">
        <v>2349</v>
      </c>
      <c r="B975" s="22" t="s">
        <v>716</v>
      </c>
      <c r="C975" s="22" t="s">
        <v>2505</v>
      </c>
      <c r="D975" s="18" t="s">
        <v>2350</v>
      </c>
      <c r="E975" s="24" t="str">
        <f t="shared" si="91"/>
        <v>V0213212E009</v>
      </c>
      <c r="F975" s="13">
        <v>44470</v>
      </c>
      <c r="G975" s="13">
        <v>44472</v>
      </c>
      <c r="H975" s="7">
        <f t="shared" ca="1" si="92"/>
        <v>-631</v>
      </c>
      <c r="I975" s="13">
        <v>44472</v>
      </c>
      <c r="J975" s="9">
        <f t="shared" ca="1" si="93"/>
        <v>0</v>
      </c>
      <c r="K975" s="10"/>
      <c r="L975" s="10" t="str">
        <f t="shared" si="94"/>
        <v>Accepted</v>
      </c>
      <c r="M975" s="11">
        <v>0</v>
      </c>
      <c r="N975" s="10" t="s">
        <v>18</v>
      </c>
      <c r="O975" s="42">
        <f t="shared" si="95"/>
        <v>15000</v>
      </c>
      <c r="P975" s="10" t="s">
        <v>19</v>
      </c>
    </row>
    <row r="976" spans="1:16" s="22" customFormat="1" ht="14.25" customHeight="1" x14ac:dyDescent="0.25">
      <c r="A976" s="5" t="s">
        <v>2173</v>
      </c>
      <c r="B976" s="22" t="s">
        <v>716</v>
      </c>
      <c r="C976" s="22" t="s">
        <v>1694</v>
      </c>
      <c r="D976" s="18" t="s">
        <v>2174</v>
      </c>
      <c r="E976" s="24" t="str">
        <f t="shared" si="91"/>
        <v>T007V302P001</v>
      </c>
      <c r="F976" s="13">
        <v>44461</v>
      </c>
      <c r="G976" s="13">
        <v>44479</v>
      </c>
      <c r="H976" s="7">
        <f t="shared" ca="1" si="92"/>
        <v>-624</v>
      </c>
      <c r="I976" s="13">
        <v>44472</v>
      </c>
      <c r="J976" s="9">
        <f t="shared" ca="1" si="93"/>
        <v>642</v>
      </c>
      <c r="K976" s="10" t="s">
        <v>712</v>
      </c>
      <c r="L976" s="10" t="str">
        <f t="shared" si="94"/>
        <v>Rejected</v>
      </c>
      <c r="M976" s="11">
        <v>1</v>
      </c>
      <c r="N976" s="10" t="s">
        <v>18</v>
      </c>
      <c r="O976" s="42">
        <f t="shared" si="95"/>
        <v>0</v>
      </c>
      <c r="P976" s="10" t="s">
        <v>2485</v>
      </c>
    </row>
    <row r="977" spans="1:16" s="22" customFormat="1" ht="14.25" customHeight="1" x14ac:dyDescent="0.25">
      <c r="A977" s="5" t="s">
        <v>2285</v>
      </c>
      <c r="B977" s="22" t="s">
        <v>716</v>
      </c>
      <c r="C977" s="22" t="s">
        <v>787</v>
      </c>
      <c r="D977" s="18" t="s">
        <v>2286</v>
      </c>
      <c r="E977" s="24" t="str">
        <f t="shared" si="91"/>
        <v>T0300508P014</v>
      </c>
      <c r="F977" s="13">
        <v>44466</v>
      </c>
      <c r="G977" s="13">
        <v>44479</v>
      </c>
      <c r="H977" s="7">
        <f t="shared" ca="1" si="92"/>
        <v>-624</v>
      </c>
      <c r="I977" s="13">
        <v>44475</v>
      </c>
      <c r="J977" s="9">
        <f t="shared" ca="1" si="93"/>
        <v>0</v>
      </c>
      <c r="K977" s="10"/>
      <c r="L977" s="10" t="str">
        <f t="shared" si="94"/>
        <v>Accepted</v>
      </c>
      <c r="M977" s="11">
        <v>0</v>
      </c>
      <c r="N977" s="10" t="s">
        <v>30</v>
      </c>
      <c r="O977" s="42">
        <f t="shared" si="95"/>
        <v>18000</v>
      </c>
      <c r="P977" s="10" t="s">
        <v>19</v>
      </c>
    </row>
    <row r="978" spans="1:16" s="22" customFormat="1" ht="14.25" customHeight="1" x14ac:dyDescent="0.25">
      <c r="A978" s="5" t="s">
        <v>2313</v>
      </c>
      <c r="B978" s="22" t="s">
        <v>716</v>
      </c>
      <c r="C978" s="22" t="s">
        <v>932</v>
      </c>
      <c r="D978" s="18" t="s">
        <v>2314</v>
      </c>
      <c r="E978" s="24" t="str">
        <f t="shared" si="91"/>
        <v>S0150351E002</v>
      </c>
      <c r="F978" s="13">
        <v>44466</v>
      </c>
      <c r="G978" s="13">
        <v>44479</v>
      </c>
      <c r="H978" s="7">
        <f t="shared" ca="1" si="92"/>
        <v>-624</v>
      </c>
      <c r="I978" s="13">
        <v>44475</v>
      </c>
      <c r="J978" s="9">
        <f t="shared" ca="1" si="93"/>
        <v>0</v>
      </c>
      <c r="K978" s="10"/>
      <c r="L978" s="10" t="str">
        <f t="shared" si="94"/>
        <v>Accepted</v>
      </c>
      <c r="M978" s="11">
        <v>0</v>
      </c>
      <c r="N978" s="10" t="s">
        <v>30</v>
      </c>
      <c r="O978" s="42">
        <f t="shared" si="95"/>
        <v>18000</v>
      </c>
      <c r="P978" s="10" t="s">
        <v>19</v>
      </c>
    </row>
    <row r="979" spans="1:16" s="22" customFormat="1" ht="14.25" customHeight="1" x14ac:dyDescent="0.25">
      <c r="A979" s="5" t="s">
        <v>2375</v>
      </c>
      <c r="B979" s="22" t="s">
        <v>716</v>
      </c>
      <c r="C979" s="22" t="s">
        <v>2505</v>
      </c>
      <c r="D979" s="18" t="s">
        <v>2376</v>
      </c>
      <c r="E979" s="24" t="str">
        <f t="shared" si="91"/>
        <v>S0340582E001</v>
      </c>
      <c r="F979" s="13">
        <v>44473</v>
      </c>
      <c r="G979" s="13">
        <v>44479</v>
      </c>
      <c r="H979" s="7">
        <f t="shared" ca="1" si="92"/>
        <v>-624</v>
      </c>
      <c r="I979" s="13">
        <v>44475</v>
      </c>
      <c r="J979" s="9">
        <f t="shared" ca="1" si="93"/>
        <v>0</v>
      </c>
      <c r="K979" s="10"/>
      <c r="L979" s="10" t="str">
        <f t="shared" si="94"/>
        <v>Accepted</v>
      </c>
      <c r="M979" s="11">
        <v>0</v>
      </c>
      <c r="N979" s="10" t="s">
        <v>18</v>
      </c>
      <c r="O979" s="42">
        <f t="shared" si="95"/>
        <v>15000</v>
      </c>
      <c r="P979" s="10" t="s">
        <v>19</v>
      </c>
    </row>
    <row r="980" spans="1:16" s="22" customFormat="1" ht="14.25" customHeight="1" x14ac:dyDescent="0.25">
      <c r="A980" s="5" t="s">
        <v>2383</v>
      </c>
      <c r="B980" s="22" t="s">
        <v>716</v>
      </c>
      <c r="C980" s="22" t="s">
        <v>1694</v>
      </c>
      <c r="D980" s="18" t="s">
        <v>2384</v>
      </c>
      <c r="E980" s="24" t="str">
        <f t="shared" si="91"/>
        <v>S0870962E001</v>
      </c>
      <c r="F980" s="13">
        <v>44473</v>
      </c>
      <c r="G980" s="13">
        <v>44479</v>
      </c>
      <c r="H980" s="7">
        <f t="shared" ca="1" si="92"/>
        <v>-624</v>
      </c>
      <c r="I980" s="13">
        <v>44475</v>
      </c>
      <c r="J980" s="9">
        <f t="shared" ca="1" si="93"/>
        <v>0</v>
      </c>
      <c r="K980" s="10"/>
      <c r="L980" s="10" t="str">
        <f t="shared" si="94"/>
        <v>Accepted</v>
      </c>
      <c r="M980" s="11">
        <v>0</v>
      </c>
      <c r="N980" s="10" t="s">
        <v>18</v>
      </c>
      <c r="O980" s="42">
        <f t="shared" si="95"/>
        <v>15000</v>
      </c>
      <c r="P980" s="10" t="s">
        <v>19</v>
      </c>
    </row>
    <row r="981" spans="1:16" s="22" customFormat="1" ht="14.25" customHeight="1" x14ac:dyDescent="0.25">
      <c r="A981" s="5" t="s">
        <v>2391</v>
      </c>
      <c r="B981" s="22" t="s">
        <v>716</v>
      </c>
      <c r="C981" s="22" t="s">
        <v>787</v>
      </c>
      <c r="D981" s="18" t="s">
        <v>2392</v>
      </c>
      <c r="E981" s="24" t="str">
        <f t="shared" si="91"/>
        <v>S0910511E003</v>
      </c>
      <c r="F981" s="13">
        <v>44473</v>
      </c>
      <c r="G981" s="13">
        <v>44479</v>
      </c>
      <c r="H981" s="7">
        <f t="shared" ca="1" si="92"/>
        <v>-624</v>
      </c>
      <c r="I981" s="13">
        <v>44475</v>
      </c>
      <c r="J981" s="9">
        <f t="shared" ca="1" si="93"/>
        <v>0</v>
      </c>
      <c r="K981" s="10"/>
      <c r="L981" s="10" t="str">
        <f t="shared" si="94"/>
        <v>Accepted</v>
      </c>
      <c r="M981" s="11">
        <v>0</v>
      </c>
      <c r="N981" s="10" t="s">
        <v>18</v>
      </c>
      <c r="O981" s="42">
        <f t="shared" si="95"/>
        <v>15000</v>
      </c>
      <c r="P981" s="10" t="s">
        <v>19</v>
      </c>
    </row>
    <row r="982" spans="1:16" s="22" customFormat="1" ht="14.25" customHeight="1" x14ac:dyDescent="0.25">
      <c r="A982" s="5" t="s">
        <v>2393</v>
      </c>
      <c r="B982" s="22" t="s">
        <v>716</v>
      </c>
      <c r="C982" s="22" t="s">
        <v>1694</v>
      </c>
      <c r="D982" s="18" t="s">
        <v>2394</v>
      </c>
      <c r="E982" s="24" t="str">
        <f t="shared" si="91"/>
        <v>S0880853b001</v>
      </c>
      <c r="F982" s="13">
        <v>44473</v>
      </c>
      <c r="G982" s="13">
        <v>44479</v>
      </c>
      <c r="H982" s="7">
        <f t="shared" ca="1" si="92"/>
        <v>-624</v>
      </c>
      <c r="I982" s="13">
        <v>44475</v>
      </c>
      <c r="J982" s="9">
        <f t="shared" ca="1" si="93"/>
        <v>0</v>
      </c>
      <c r="K982" s="10"/>
      <c r="L982" s="10" t="str">
        <f t="shared" si="94"/>
        <v>Accepted</v>
      </c>
      <c r="M982" s="11">
        <v>0</v>
      </c>
      <c r="N982" s="10" t="s">
        <v>18</v>
      </c>
      <c r="O982" s="42">
        <f t="shared" si="95"/>
        <v>15000</v>
      </c>
      <c r="P982" s="10" t="s">
        <v>19</v>
      </c>
    </row>
    <row r="983" spans="1:16" s="22" customFormat="1" ht="14.25" customHeight="1" x14ac:dyDescent="0.25">
      <c r="A983" s="5" t="s">
        <v>2395</v>
      </c>
      <c r="B983" s="22" t="s">
        <v>716</v>
      </c>
      <c r="C983" s="22" t="s">
        <v>787</v>
      </c>
      <c r="D983" s="18" t="s">
        <v>2396</v>
      </c>
      <c r="E983" s="24" t="str">
        <f t="shared" si="91"/>
        <v>T008G402P001</v>
      </c>
      <c r="F983" s="13">
        <v>44473</v>
      </c>
      <c r="G983" s="13">
        <v>44479</v>
      </c>
      <c r="H983" s="7">
        <f t="shared" ca="1" si="92"/>
        <v>-624</v>
      </c>
      <c r="I983" s="13">
        <v>44475</v>
      </c>
      <c r="J983" s="9">
        <f t="shared" ca="1" si="93"/>
        <v>0</v>
      </c>
      <c r="K983" s="10"/>
      <c r="L983" s="10" t="str">
        <f t="shared" si="94"/>
        <v>Accepted</v>
      </c>
      <c r="M983" s="11">
        <v>0</v>
      </c>
      <c r="N983" s="10" t="s">
        <v>18</v>
      </c>
      <c r="O983" s="42">
        <f t="shared" si="95"/>
        <v>15000</v>
      </c>
      <c r="P983" s="10" t="s">
        <v>19</v>
      </c>
    </row>
    <row r="984" spans="1:16" s="22" customFormat="1" ht="14.25" customHeight="1" x14ac:dyDescent="0.25">
      <c r="A984" s="5" t="s">
        <v>2399</v>
      </c>
      <c r="B984" s="22" t="s">
        <v>716</v>
      </c>
      <c r="C984" s="22" t="s">
        <v>1694</v>
      </c>
      <c r="D984" s="18" t="s">
        <v>2400</v>
      </c>
      <c r="E984" s="24" t="str">
        <f t="shared" si="91"/>
        <v>S0860891E004</v>
      </c>
      <c r="F984" s="13">
        <v>44473</v>
      </c>
      <c r="G984" s="13">
        <v>44479</v>
      </c>
      <c r="H984" s="7">
        <f t="shared" ca="1" si="92"/>
        <v>-624</v>
      </c>
      <c r="I984" s="13">
        <v>44475</v>
      </c>
      <c r="J984" s="9">
        <f t="shared" ca="1" si="93"/>
        <v>0</v>
      </c>
      <c r="K984" s="10"/>
      <c r="L984" s="10" t="str">
        <f t="shared" si="94"/>
        <v>Accepted</v>
      </c>
      <c r="M984" s="11">
        <v>0</v>
      </c>
      <c r="N984" s="10" t="s">
        <v>18</v>
      </c>
      <c r="O984" s="42">
        <f t="shared" si="95"/>
        <v>15000</v>
      </c>
      <c r="P984" s="10" t="s">
        <v>19</v>
      </c>
    </row>
    <row r="985" spans="1:16" s="22" customFormat="1" ht="14.25" customHeight="1" x14ac:dyDescent="0.25">
      <c r="A985" s="5" t="s">
        <v>2411</v>
      </c>
      <c r="B985" s="22" t="s">
        <v>716</v>
      </c>
      <c r="C985" s="22" t="s">
        <v>1694</v>
      </c>
      <c r="D985" s="18" t="s">
        <v>2412</v>
      </c>
      <c r="E985" s="24" t="str">
        <f t="shared" si="91"/>
        <v>S0880332E003</v>
      </c>
      <c r="F985" s="13">
        <v>44473</v>
      </c>
      <c r="G985" s="13">
        <v>44479</v>
      </c>
      <c r="H985" s="7">
        <f t="shared" ca="1" si="92"/>
        <v>-624</v>
      </c>
      <c r="I985" s="13">
        <v>44475</v>
      </c>
      <c r="J985" s="9">
        <f t="shared" ca="1" si="93"/>
        <v>0</v>
      </c>
      <c r="K985" s="10"/>
      <c r="L985" s="10" t="str">
        <f t="shared" si="94"/>
        <v>Accepted</v>
      </c>
      <c r="M985" s="11">
        <v>0</v>
      </c>
      <c r="N985" s="10" t="s">
        <v>18</v>
      </c>
      <c r="O985" s="42">
        <f t="shared" si="95"/>
        <v>15000</v>
      </c>
      <c r="P985" s="10" t="s">
        <v>19</v>
      </c>
    </row>
    <row r="986" spans="1:16" s="22" customFormat="1" ht="14.25" customHeight="1" x14ac:dyDescent="0.25">
      <c r="A986" s="5" t="s">
        <v>2351</v>
      </c>
      <c r="B986" s="22" t="s">
        <v>716</v>
      </c>
      <c r="C986" s="22" t="s">
        <v>2473</v>
      </c>
      <c r="D986" s="18" t="s">
        <v>2352</v>
      </c>
      <c r="E986" s="24" t="str">
        <f t="shared" si="91"/>
        <v>V0191402P010</v>
      </c>
      <c r="F986" s="13">
        <v>44473</v>
      </c>
      <c r="G986" s="13">
        <v>44479</v>
      </c>
      <c r="H986" s="7">
        <f t="shared" ca="1" si="92"/>
        <v>-624</v>
      </c>
      <c r="I986" s="13">
        <v>44477</v>
      </c>
      <c r="J986" s="9">
        <f t="shared" ca="1" si="93"/>
        <v>0</v>
      </c>
      <c r="K986" s="10"/>
      <c r="L986" s="10" t="str">
        <f t="shared" si="94"/>
        <v>Accepted</v>
      </c>
      <c r="M986" s="11">
        <v>0</v>
      </c>
      <c r="N986" s="10" t="s">
        <v>18</v>
      </c>
      <c r="O986" s="42">
        <f t="shared" si="95"/>
        <v>15000</v>
      </c>
      <c r="P986" s="10" t="s">
        <v>19</v>
      </c>
    </row>
    <row r="987" spans="1:16" s="22" customFormat="1" ht="14.25" customHeight="1" x14ac:dyDescent="0.25">
      <c r="A987" s="5" t="s">
        <v>2369</v>
      </c>
      <c r="B987" s="22" t="s">
        <v>716</v>
      </c>
      <c r="C987" s="22" t="s">
        <v>2470</v>
      </c>
      <c r="D987" s="18" t="s">
        <v>2370</v>
      </c>
      <c r="E987" s="24" t="str">
        <f t="shared" si="91"/>
        <v>T038B501E004</v>
      </c>
      <c r="F987" s="13">
        <v>44473</v>
      </c>
      <c r="G987" s="13">
        <v>44479</v>
      </c>
      <c r="H987" s="7">
        <f t="shared" ca="1" si="92"/>
        <v>-624</v>
      </c>
      <c r="I987" s="13">
        <v>44477</v>
      </c>
      <c r="J987" s="9">
        <f t="shared" ca="1" si="93"/>
        <v>0</v>
      </c>
      <c r="K987" s="10"/>
      <c r="L987" s="10" t="str">
        <f t="shared" si="94"/>
        <v>Accepted</v>
      </c>
      <c r="M987" s="11">
        <v>0</v>
      </c>
      <c r="N987" s="10" t="s">
        <v>18</v>
      </c>
      <c r="O987" s="42">
        <f t="shared" si="95"/>
        <v>15000</v>
      </c>
      <c r="P987" s="10" t="s">
        <v>19</v>
      </c>
    </row>
    <row r="988" spans="1:16" s="22" customFormat="1" ht="14.25" customHeight="1" x14ac:dyDescent="0.25">
      <c r="A988" s="5" t="s">
        <v>2373</v>
      </c>
      <c r="B988" s="22" t="s">
        <v>716</v>
      </c>
      <c r="C988" s="22" t="s">
        <v>932</v>
      </c>
      <c r="D988" s="18" t="s">
        <v>2374</v>
      </c>
      <c r="E988" s="24" t="str">
        <f t="shared" si="91"/>
        <v>T0170149P005</v>
      </c>
      <c r="F988" s="13">
        <v>44473</v>
      </c>
      <c r="G988" s="13">
        <v>44479</v>
      </c>
      <c r="H988" s="7">
        <f t="shared" ca="1" si="92"/>
        <v>-624</v>
      </c>
      <c r="I988" s="13">
        <v>44477</v>
      </c>
      <c r="J988" s="9">
        <f t="shared" ca="1" si="93"/>
        <v>0</v>
      </c>
      <c r="K988" s="10"/>
      <c r="L988" s="10" t="str">
        <f t="shared" si="94"/>
        <v>Accepted</v>
      </c>
      <c r="M988" s="11">
        <v>0</v>
      </c>
      <c r="N988" s="10" t="s">
        <v>18</v>
      </c>
      <c r="O988" s="42">
        <f t="shared" si="95"/>
        <v>15000</v>
      </c>
      <c r="P988" s="10" t="s">
        <v>19</v>
      </c>
    </row>
    <row r="989" spans="1:16" s="22" customFormat="1" ht="14.25" customHeight="1" x14ac:dyDescent="0.25">
      <c r="A989" s="5" t="s">
        <v>2377</v>
      </c>
      <c r="B989" s="22" t="s">
        <v>716</v>
      </c>
      <c r="C989" s="22" t="s">
        <v>787</v>
      </c>
      <c r="D989" s="18" t="s">
        <v>2378</v>
      </c>
      <c r="E989" s="24" t="str">
        <f t="shared" si="91"/>
        <v>T008X101P001</v>
      </c>
      <c r="F989" s="13">
        <v>44473</v>
      </c>
      <c r="G989" s="13">
        <v>44479</v>
      </c>
      <c r="H989" s="7">
        <f t="shared" ca="1" si="92"/>
        <v>-624</v>
      </c>
      <c r="I989" s="13">
        <v>44477</v>
      </c>
      <c r="J989" s="9">
        <f t="shared" ca="1" si="93"/>
        <v>0</v>
      </c>
      <c r="K989" s="10"/>
      <c r="L989" s="10" t="str">
        <f t="shared" si="94"/>
        <v>Accepted</v>
      </c>
      <c r="M989" s="11">
        <v>0</v>
      </c>
      <c r="N989" s="10" t="s">
        <v>18</v>
      </c>
      <c r="O989" s="42">
        <f t="shared" si="95"/>
        <v>15000</v>
      </c>
      <c r="P989" s="10" t="s">
        <v>19</v>
      </c>
    </row>
    <row r="990" spans="1:16" s="22" customFormat="1" ht="14.25" customHeight="1" x14ac:dyDescent="0.25">
      <c r="A990" s="5" t="s">
        <v>2379</v>
      </c>
      <c r="B990" s="22" t="s">
        <v>716</v>
      </c>
      <c r="C990" s="22" t="s">
        <v>787</v>
      </c>
      <c r="D990" s="18" t="s">
        <v>2380</v>
      </c>
      <c r="E990" s="24" t="str">
        <f t="shared" si="91"/>
        <v>V0060891E007</v>
      </c>
      <c r="F990" s="13">
        <v>44473</v>
      </c>
      <c r="G990" s="13">
        <v>44479</v>
      </c>
      <c r="H990" s="7">
        <f t="shared" ca="1" si="92"/>
        <v>-624</v>
      </c>
      <c r="I990" s="13">
        <v>44477</v>
      </c>
      <c r="J990" s="9">
        <f t="shared" ca="1" si="93"/>
        <v>0</v>
      </c>
      <c r="K990" s="10"/>
      <c r="L990" s="10" t="str">
        <f t="shared" si="94"/>
        <v>Accepted</v>
      </c>
      <c r="M990" s="11">
        <v>0</v>
      </c>
      <c r="N990" s="10" t="s">
        <v>18</v>
      </c>
      <c r="O990" s="42">
        <f t="shared" si="95"/>
        <v>15000</v>
      </c>
      <c r="P990" s="10" t="s">
        <v>19</v>
      </c>
    </row>
    <row r="991" spans="1:16" s="22" customFormat="1" ht="14.25" customHeight="1" x14ac:dyDescent="0.25">
      <c r="A991" s="5" t="s">
        <v>2381</v>
      </c>
      <c r="B991" s="22" t="s">
        <v>716</v>
      </c>
      <c r="C991" s="22" t="s">
        <v>787</v>
      </c>
      <c r="D991" s="18" t="s">
        <v>2382</v>
      </c>
      <c r="E991" s="24" t="str">
        <f t="shared" si="91"/>
        <v>V0210952E006</v>
      </c>
      <c r="F991" s="13">
        <v>44473</v>
      </c>
      <c r="G991" s="13">
        <v>44479</v>
      </c>
      <c r="H991" s="7">
        <f t="shared" ca="1" si="92"/>
        <v>-624</v>
      </c>
      <c r="I991" s="13">
        <v>44477</v>
      </c>
      <c r="J991" s="9">
        <f t="shared" ca="1" si="93"/>
        <v>0</v>
      </c>
      <c r="K991" s="10"/>
      <c r="L991" s="10" t="str">
        <f t="shared" si="94"/>
        <v>Accepted</v>
      </c>
      <c r="M991" s="11">
        <v>0</v>
      </c>
      <c r="N991" s="10" t="s">
        <v>18</v>
      </c>
      <c r="O991" s="42">
        <f t="shared" si="95"/>
        <v>15000</v>
      </c>
      <c r="P991" s="10" t="s">
        <v>19</v>
      </c>
    </row>
    <row r="992" spans="1:16" s="22" customFormat="1" ht="14.25" customHeight="1" x14ac:dyDescent="0.25">
      <c r="A992" s="5" t="s">
        <v>2385</v>
      </c>
      <c r="B992" s="22" t="s">
        <v>716</v>
      </c>
      <c r="C992" s="22" t="s">
        <v>787</v>
      </c>
      <c r="D992" s="18" t="s">
        <v>2386</v>
      </c>
      <c r="E992" s="24" t="str">
        <f t="shared" si="91"/>
        <v>T0100357E004</v>
      </c>
      <c r="F992" s="13">
        <v>44473</v>
      </c>
      <c r="G992" s="13">
        <v>44479</v>
      </c>
      <c r="H992" s="7">
        <f t="shared" ca="1" si="92"/>
        <v>-624</v>
      </c>
      <c r="I992" s="13">
        <v>44477</v>
      </c>
      <c r="J992" s="9">
        <f t="shared" ca="1" si="93"/>
        <v>0</v>
      </c>
      <c r="K992" s="10"/>
      <c r="L992" s="10" t="str">
        <f t="shared" si="94"/>
        <v>Accepted</v>
      </c>
      <c r="M992" s="11">
        <v>0</v>
      </c>
      <c r="N992" s="10" t="s">
        <v>18</v>
      </c>
      <c r="O992" s="42">
        <f t="shared" si="95"/>
        <v>15000</v>
      </c>
      <c r="P992" s="10" t="s">
        <v>19</v>
      </c>
    </row>
    <row r="993" spans="1:16" s="22" customFormat="1" ht="14.25" customHeight="1" x14ac:dyDescent="0.25">
      <c r="A993" s="5" t="s">
        <v>2389</v>
      </c>
      <c r="B993" s="22" t="s">
        <v>716</v>
      </c>
      <c r="C993" s="22" t="s">
        <v>787</v>
      </c>
      <c r="D993" s="18" t="s">
        <v>2390</v>
      </c>
      <c r="E993" s="24" t="str">
        <f t="shared" si="91"/>
        <v>T0100231P015</v>
      </c>
      <c r="F993" s="13">
        <v>44473</v>
      </c>
      <c r="G993" s="13">
        <v>44479</v>
      </c>
      <c r="H993" s="7">
        <f t="shared" ca="1" si="92"/>
        <v>-624</v>
      </c>
      <c r="I993" s="13">
        <v>44477</v>
      </c>
      <c r="J993" s="9">
        <f t="shared" ca="1" si="93"/>
        <v>0</v>
      </c>
      <c r="K993" s="10"/>
      <c r="L993" s="10" t="str">
        <f t="shared" si="94"/>
        <v>Accepted</v>
      </c>
      <c r="M993" s="11">
        <v>0</v>
      </c>
      <c r="N993" s="10" t="s">
        <v>18</v>
      </c>
      <c r="O993" s="42">
        <f t="shared" si="95"/>
        <v>15000</v>
      </c>
      <c r="P993" s="10" t="s">
        <v>19</v>
      </c>
    </row>
    <row r="994" spans="1:16" s="22" customFormat="1" ht="14.25" customHeight="1" x14ac:dyDescent="0.25">
      <c r="A994" s="5" t="s">
        <v>2397</v>
      </c>
      <c r="B994" s="22" t="s">
        <v>716</v>
      </c>
      <c r="C994" s="22" t="s">
        <v>787</v>
      </c>
      <c r="D994" s="18" t="s">
        <v>2398</v>
      </c>
      <c r="E994" s="24" t="str">
        <f t="shared" si="91"/>
        <v>V0211151P019</v>
      </c>
      <c r="F994" s="13">
        <v>44473</v>
      </c>
      <c r="G994" s="13">
        <v>44479</v>
      </c>
      <c r="H994" s="7">
        <f t="shared" ca="1" si="92"/>
        <v>-624</v>
      </c>
      <c r="I994" s="13">
        <v>44477</v>
      </c>
      <c r="J994" s="9">
        <f t="shared" ca="1" si="93"/>
        <v>0</v>
      </c>
      <c r="K994" s="10"/>
      <c r="L994" s="10" t="str">
        <f t="shared" si="94"/>
        <v>Accepted</v>
      </c>
      <c r="M994" s="11">
        <v>0</v>
      </c>
      <c r="N994" s="10" t="s">
        <v>18</v>
      </c>
      <c r="O994" s="42">
        <f t="shared" si="95"/>
        <v>15000</v>
      </c>
      <c r="P994" s="10" t="s">
        <v>19</v>
      </c>
    </row>
    <row r="995" spans="1:16" s="22" customFormat="1" ht="14.25" customHeight="1" x14ac:dyDescent="0.25">
      <c r="A995" s="5" t="s">
        <v>2405</v>
      </c>
      <c r="B995" s="22" t="s">
        <v>716</v>
      </c>
      <c r="C995" s="22" t="s">
        <v>992</v>
      </c>
      <c r="D995" s="18" t="s">
        <v>2406</v>
      </c>
      <c r="E995" s="24" t="str">
        <f t="shared" si="91"/>
        <v>T0404618E073</v>
      </c>
      <c r="F995" s="13">
        <v>44473</v>
      </c>
      <c r="G995" s="13">
        <v>44479</v>
      </c>
      <c r="H995" s="7">
        <f t="shared" ca="1" si="92"/>
        <v>-624</v>
      </c>
      <c r="I995" s="13">
        <v>44477</v>
      </c>
      <c r="J995" s="9">
        <f t="shared" ca="1" si="93"/>
        <v>0</v>
      </c>
      <c r="K995" s="10"/>
      <c r="L995" s="10" t="str">
        <f t="shared" si="94"/>
        <v>Accepted</v>
      </c>
      <c r="M995" s="11">
        <v>0</v>
      </c>
      <c r="N995" s="10" t="s">
        <v>18</v>
      </c>
      <c r="O995" s="42">
        <f t="shared" si="95"/>
        <v>15000</v>
      </c>
      <c r="P995" s="10" t="s">
        <v>19</v>
      </c>
    </row>
    <row r="996" spans="1:16" s="22" customFormat="1" ht="14.25" customHeight="1" x14ac:dyDescent="0.25">
      <c r="A996" s="5" t="s">
        <v>2407</v>
      </c>
      <c r="B996" s="22" t="s">
        <v>716</v>
      </c>
      <c r="C996" s="22" t="s">
        <v>787</v>
      </c>
      <c r="D996" s="18" t="s">
        <v>2408</v>
      </c>
      <c r="E996" s="24" t="str">
        <f t="shared" si="91"/>
        <v>T0100264P014</v>
      </c>
      <c r="F996" s="13">
        <v>44473</v>
      </c>
      <c r="G996" s="13">
        <v>44479</v>
      </c>
      <c r="H996" s="7">
        <f t="shared" ca="1" si="92"/>
        <v>-624</v>
      </c>
      <c r="I996" s="13">
        <v>44477</v>
      </c>
      <c r="J996" s="9">
        <f t="shared" ca="1" si="93"/>
        <v>0</v>
      </c>
      <c r="K996" s="10"/>
      <c r="L996" s="10" t="str">
        <f t="shared" si="94"/>
        <v>Accepted</v>
      </c>
      <c r="M996" s="11">
        <v>0</v>
      </c>
      <c r="N996" s="10" t="s">
        <v>18</v>
      </c>
      <c r="O996" s="42">
        <f t="shared" si="95"/>
        <v>15000</v>
      </c>
      <c r="P996" s="10" t="s">
        <v>19</v>
      </c>
    </row>
    <row r="997" spans="1:16" s="22" customFormat="1" ht="14.25" customHeight="1" x14ac:dyDescent="0.25">
      <c r="A997" s="5" t="s">
        <v>2409</v>
      </c>
      <c r="B997" s="22" t="s">
        <v>716</v>
      </c>
      <c r="C997" s="22" t="s">
        <v>787</v>
      </c>
      <c r="D997" s="18" t="s">
        <v>2410</v>
      </c>
      <c r="E997" s="24" t="str">
        <f t="shared" si="91"/>
        <v>T0110424E036</v>
      </c>
      <c r="F997" s="13">
        <v>44473</v>
      </c>
      <c r="G997" s="13">
        <v>44479</v>
      </c>
      <c r="H997" s="7">
        <f t="shared" ca="1" si="92"/>
        <v>-624</v>
      </c>
      <c r="I997" s="13">
        <v>44477</v>
      </c>
      <c r="J997" s="9">
        <f t="shared" ca="1" si="93"/>
        <v>0</v>
      </c>
      <c r="K997" s="10"/>
      <c r="L997" s="10" t="str">
        <f t="shared" si="94"/>
        <v>Accepted</v>
      </c>
      <c r="M997" s="11">
        <v>0</v>
      </c>
      <c r="N997" s="10" t="s">
        <v>18</v>
      </c>
      <c r="O997" s="42">
        <f t="shared" si="95"/>
        <v>15000</v>
      </c>
      <c r="P997" s="10" t="s">
        <v>19</v>
      </c>
    </row>
    <row r="998" spans="1:16" s="22" customFormat="1" ht="14.25" customHeight="1" x14ac:dyDescent="0.25">
      <c r="A998" s="5" t="s">
        <v>2413</v>
      </c>
      <c r="B998" s="22" t="s">
        <v>716</v>
      </c>
      <c r="C998" s="22" t="s">
        <v>787</v>
      </c>
      <c r="D998" s="18" t="s">
        <v>2414</v>
      </c>
      <c r="E998" s="24" t="str">
        <f t="shared" si="91"/>
        <v>T0100122P006</v>
      </c>
      <c r="F998" s="13">
        <v>44473</v>
      </c>
      <c r="G998" s="13">
        <v>44479</v>
      </c>
      <c r="H998" s="7">
        <f t="shared" ca="1" si="92"/>
        <v>-624</v>
      </c>
      <c r="I998" s="13">
        <v>44477</v>
      </c>
      <c r="J998" s="9">
        <f t="shared" ca="1" si="93"/>
        <v>0</v>
      </c>
      <c r="K998" s="10"/>
      <c r="L998" s="10" t="str">
        <f t="shared" si="94"/>
        <v>Accepted</v>
      </c>
      <c r="M998" s="11">
        <v>0</v>
      </c>
      <c r="N998" s="10" t="s">
        <v>18</v>
      </c>
      <c r="O998" s="42">
        <f t="shared" si="95"/>
        <v>15000</v>
      </c>
      <c r="P998" s="10" t="s">
        <v>19</v>
      </c>
    </row>
    <row r="999" spans="1:16" s="22" customFormat="1" ht="14.25" customHeight="1" x14ac:dyDescent="0.25">
      <c r="A999" s="5" t="s">
        <v>2415</v>
      </c>
      <c r="B999" s="22" t="s">
        <v>716</v>
      </c>
      <c r="C999" s="22" t="s">
        <v>787</v>
      </c>
      <c r="D999" s="18" t="s">
        <v>2416</v>
      </c>
      <c r="E999" s="24" t="str">
        <f t="shared" si="91"/>
        <v>T01002A1P022</v>
      </c>
      <c r="F999" s="13">
        <v>44473</v>
      </c>
      <c r="G999" s="13">
        <v>44479</v>
      </c>
      <c r="H999" s="7">
        <f t="shared" ca="1" si="92"/>
        <v>-624</v>
      </c>
      <c r="I999" s="13">
        <v>44477</v>
      </c>
      <c r="J999" s="9">
        <f t="shared" ca="1" si="93"/>
        <v>0</v>
      </c>
      <c r="K999" s="10"/>
      <c r="L999" s="10" t="str">
        <f t="shared" si="94"/>
        <v>Accepted</v>
      </c>
      <c r="M999" s="11">
        <v>0</v>
      </c>
      <c r="N999" s="10" t="s">
        <v>18</v>
      </c>
      <c r="O999" s="42">
        <f t="shared" si="95"/>
        <v>15000</v>
      </c>
      <c r="P999" s="10" t="s">
        <v>19</v>
      </c>
    </row>
    <row r="1000" spans="1:16" s="22" customFormat="1" ht="14.25" customHeight="1" x14ac:dyDescent="0.25">
      <c r="A1000" s="5" t="s">
        <v>1854</v>
      </c>
      <c r="B1000" s="22" t="s">
        <v>716</v>
      </c>
      <c r="C1000" s="22" t="s">
        <v>752</v>
      </c>
      <c r="D1000" s="18" t="s">
        <v>1855</v>
      </c>
      <c r="E1000" s="24" t="str">
        <f t="shared" si="91"/>
        <v>S0301711b002</v>
      </c>
      <c r="F1000" s="13">
        <v>44443</v>
      </c>
      <c r="G1000" s="13">
        <v>44479</v>
      </c>
      <c r="H1000" s="7">
        <f t="shared" ca="1" si="92"/>
        <v>-624</v>
      </c>
      <c r="I1000" s="13">
        <v>44478</v>
      </c>
      <c r="J1000" s="9">
        <f t="shared" ca="1" si="93"/>
        <v>0</v>
      </c>
      <c r="K1000" s="10"/>
      <c r="L1000" s="10" t="str">
        <f t="shared" si="94"/>
        <v>Accepted</v>
      </c>
      <c r="M1000" s="11">
        <v>2</v>
      </c>
      <c r="N1000" s="10" t="s">
        <v>18</v>
      </c>
      <c r="O1000" s="42">
        <f t="shared" si="95"/>
        <v>15000</v>
      </c>
      <c r="P1000" s="10" t="s">
        <v>19</v>
      </c>
    </row>
    <row r="1001" spans="1:16" s="22" customFormat="1" ht="14.25" customHeight="1" x14ac:dyDescent="0.25">
      <c r="A1001" s="5" t="s">
        <v>2118</v>
      </c>
      <c r="B1001" s="22" t="s">
        <v>716</v>
      </c>
      <c r="C1001" s="22" t="s">
        <v>932</v>
      </c>
      <c r="D1001" s="18" t="s">
        <v>2119</v>
      </c>
      <c r="E1001" s="24" t="str">
        <f t="shared" si="91"/>
        <v>S0451471E002</v>
      </c>
      <c r="F1001" s="13">
        <v>44459</v>
      </c>
      <c r="G1001" s="13">
        <v>44479</v>
      </c>
      <c r="H1001" s="7">
        <f t="shared" ca="1" si="92"/>
        <v>-624</v>
      </c>
      <c r="I1001" s="13">
        <v>44478</v>
      </c>
      <c r="J1001" s="9">
        <f t="shared" ca="1" si="93"/>
        <v>0</v>
      </c>
      <c r="K1001" s="10"/>
      <c r="L1001" s="10" t="str">
        <f t="shared" si="94"/>
        <v>Accepted</v>
      </c>
      <c r="M1001" s="11">
        <v>1</v>
      </c>
      <c r="N1001" s="10" t="s">
        <v>18</v>
      </c>
      <c r="O1001" s="42">
        <f t="shared" si="95"/>
        <v>15000</v>
      </c>
      <c r="P1001" s="10" t="s">
        <v>19</v>
      </c>
    </row>
    <row r="1002" spans="1:16" s="22" customFormat="1" ht="14.25" customHeight="1" x14ac:dyDescent="0.25">
      <c r="A1002" s="5" t="s">
        <v>2124</v>
      </c>
      <c r="B1002" s="22" t="s">
        <v>716</v>
      </c>
      <c r="C1002" s="22" t="s">
        <v>1694</v>
      </c>
      <c r="D1002" s="18" t="s">
        <v>2125</v>
      </c>
      <c r="E1002" s="24" t="str">
        <f t="shared" si="91"/>
        <v>S0010322E001</v>
      </c>
      <c r="F1002" s="13">
        <v>44459</v>
      </c>
      <c r="G1002" s="13">
        <v>44479</v>
      </c>
      <c r="H1002" s="7">
        <f t="shared" ca="1" si="92"/>
        <v>-624</v>
      </c>
      <c r="I1002" s="13">
        <v>44478</v>
      </c>
      <c r="J1002" s="9">
        <f t="shared" ca="1" si="93"/>
        <v>0</v>
      </c>
      <c r="K1002" s="10"/>
      <c r="L1002" s="10" t="str">
        <f t="shared" si="94"/>
        <v>Accepted</v>
      </c>
      <c r="M1002" s="11">
        <v>1</v>
      </c>
      <c r="N1002" s="10" t="s">
        <v>30</v>
      </c>
      <c r="O1002" s="42">
        <f t="shared" si="95"/>
        <v>18000</v>
      </c>
      <c r="P1002" s="10" t="s">
        <v>19</v>
      </c>
    </row>
    <row r="1003" spans="1:16" s="22" customFormat="1" ht="14.25" customHeight="1" x14ac:dyDescent="0.25">
      <c r="A1003" s="5" t="s">
        <v>2136</v>
      </c>
      <c r="B1003" s="22" t="s">
        <v>716</v>
      </c>
      <c r="C1003" s="22" t="s">
        <v>1694</v>
      </c>
      <c r="D1003" s="18" t="s">
        <v>2137</v>
      </c>
      <c r="E1003" s="24" t="str">
        <f t="shared" si="91"/>
        <v>S0100432E011</v>
      </c>
      <c r="F1003" s="13">
        <v>44459</v>
      </c>
      <c r="G1003" s="13">
        <v>44479</v>
      </c>
      <c r="H1003" s="7">
        <f t="shared" ca="1" si="92"/>
        <v>-624</v>
      </c>
      <c r="I1003" s="13">
        <v>44478</v>
      </c>
      <c r="J1003" s="9">
        <f t="shared" ca="1" si="93"/>
        <v>0</v>
      </c>
      <c r="K1003" s="10"/>
      <c r="L1003" s="10" t="str">
        <f t="shared" si="94"/>
        <v>Accepted</v>
      </c>
      <c r="M1003" s="11">
        <v>1</v>
      </c>
      <c r="N1003" s="10" t="s">
        <v>18</v>
      </c>
      <c r="O1003" s="42">
        <f t="shared" si="95"/>
        <v>15000</v>
      </c>
      <c r="P1003" s="10" t="s">
        <v>19</v>
      </c>
    </row>
    <row r="1004" spans="1:16" s="22" customFormat="1" ht="14.25" customHeight="1" x14ac:dyDescent="0.25">
      <c r="A1004" s="5" t="s">
        <v>2157</v>
      </c>
      <c r="B1004" s="22" t="s">
        <v>716</v>
      </c>
      <c r="C1004" s="22" t="s">
        <v>1694</v>
      </c>
      <c r="D1004" s="18" t="s">
        <v>2158</v>
      </c>
      <c r="E1004" s="24" t="str">
        <f t="shared" si="91"/>
        <v>S0110411E002</v>
      </c>
      <c r="F1004" s="13">
        <v>44459</v>
      </c>
      <c r="G1004" s="13">
        <v>44479</v>
      </c>
      <c r="H1004" s="7">
        <f t="shared" ca="1" si="92"/>
        <v>-624</v>
      </c>
      <c r="I1004" s="13">
        <v>44478</v>
      </c>
      <c r="J1004" s="9">
        <f t="shared" ca="1" si="93"/>
        <v>0</v>
      </c>
      <c r="K1004" s="10"/>
      <c r="L1004" s="10" t="str">
        <f t="shared" si="94"/>
        <v>Accepted</v>
      </c>
      <c r="M1004" s="11">
        <v>1</v>
      </c>
      <c r="N1004" s="10" t="s">
        <v>18</v>
      </c>
      <c r="O1004" s="42">
        <f t="shared" si="95"/>
        <v>15000</v>
      </c>
      <c r="P1004" s="10" t="s">
        <v>19</v>
      </c>
    </row>
    <row r="1005" spans="1:16" s="22" customFormat="1" ht="14.25" customHeight="1" x14ac:dyDescent="0.25">
      <c r="A1005" s="5" t="s">
        <v>2353</v>
      </c>
      <c r="B1005" s="22" t="s">
        <v>716</v>
      </c>
      <c r="C1005" s="22" t="s">
        <v>992</v>
      </c>
      <c r="D1005" s="18" t="s">
        <v>2354</v>
      </c>
      <c r="E1005" s="24" t="str">
        <f t="shared" si="91"/>
        <v>S0261641E005</v>
      </c>
      <c r="F1005" s="13">
        <v>44473</v>
      </c>
      <c r="G1005" s="13">
        <v>44479</v>
      </c>
      <c r="H1005" s="7">
        <f t="shared" ca="1" si="92"/>
        <v>-624</v>
      </c>
      <c r="I1005" s="13">
        <v>44478</v>
      </c>
      <c r="J1005" s="9">
        <f t="shared" ca="1" si="93"/>
        <v>0</v>
      </c>
      <c r="K1005" s="10"/>
      <c r="L1005" s="10" t="str">
        <f t="shared" si="94"/>
        <v>Accepted</v>
      </c>
      <c r="M1005" s="11">
        <v>1</v>
      </c>
      <c r="N1005" s="10" t="s">
        <v>18</v>
      </c>
      <c r="O1005" s="42">
        <f t="shared" si="95"/>
        <v>15000</v>
      </c>
      <c r="P1005" s="10" t="s">
        <v>19</v>
      </c>
    </row>
    <row r="1006" spans="1:16" s="22" customFormat="1" ht="14.25" customHeight="1" x14ac:dyDescent="0.25">
      <c r="A1006" s="5" t="s">
        <v>2355</v>
      </c>
      <c r="B1006" s="22" t="s">
        <v>716</v>
      </c>
      <c r="C1006" s="22" t="s">
        <v>1694</v>
      </c>
      <c r="D1006" s="18" t="s">
        <v>2356</v>
      </c>
      <c r="E1006" s="24" t="str">
        <f t="shared" si="91"/>
        <v>S0100562E001</v>
      </c>
      <c r="F1006" s="13">
        <v>44473</v>
      </c>
      <c r="G1006" s="13">
        <v>44479</v>
      </c>
      <c r="H1006" s="7">
        <f t="shared" ca="1" si="92"/>
        <v>-624</v>
      </c>
      <c r="I1006" s="13">
        <v>44478</v>
      </c>
      <c r="J1006" s="9">
        <f t="shared" ca="1" si="93"/>
        <v>0</v>
      </c>
      <c r="K1006" s="10"/>
      <c r="L1006" s="10" t="str">
        <f t="shared" si="94"/>
        <v>Accepted</v>
      </c>
      <c r="M1006" s="11">
        <v>1</v>
      </c>
      <c r="N1006" s="10" t="s">
        <v>18</v>
      </c>
      <c r="O1006" s="42">
        <f t="shared" si="95"/>
        <v>15000</v>
      </c>
      <c r="P1006" s="10" t="s">
        <v>19</v>
      </c>
    </row>
    <row r="1007" spans="1:16" s="22" customFormat="1" ht="14.25" customHeight="1" x14ac:dyDescent="0.25">
      <c r="A1007" s="5" t="s">
        <v>2359</v>
      </c>
      <c r="B1007" s="22" t="s">
        <v>716</v>
      </c>
      <c r="C1007" s="22" t="s">
        <v>2061</v>
      </c>
      <c r="D1007" s="18" t="s">
        <v>2360</v>
      </c>
      <c r="E1007" s="24" t="str">
        <f t="shared" si="91"/>
        <v>S0442341P029</v>
      </c>
      <c r="F1007" s="13">
        <v>44473</v>
      </c>
      <c r="G1007" s="13">
        <v>44479</v>
      </c>
      <c r="H1007" s="7">
        <f t="shared" ca="1" si="92"/>
        <v>-624</v>
      </c>
      <c r="I1007" s="13">
        <v>44478</v>
      </c>
      <c r="J1007" s="9">
        <f t="shared" ca="1" si="93"/>
        <v>0</v>
      </c>
      <c r="K1007" s="10"/>
      <c r="L1007" s="10" t="str">
        <f t="shared" si="94"/>
        <v>Accepted</v>
      </c>
      <c r="M1007" s="11">
        <v>1</v>
      </c>
      <c r="N1007" s="10" t="s">
        <v>18</v>
      </c>
      <c r="O1007" s="42">
        <f t="shared" si="95"/>
        <v>15000</v>
      </c>
      <c r="P1007" s="10" t="s">
        <v>19</v>
      </c>
    </row>
    <row r="1008" spans="1:16" s="22" customFormat="1" ht="14.25" customHeight="1" x14ac:dyDescent="0.25">
      <c r="A1008" s="5" t="s">
        <v>2403</v>
      </c>
      <c r="B1008" s="22" t="s">
        <v>716</v>
      </c>
      <c r="C1008" s="22" t="s">
        <v>787</v>
      </c>
      <c r="D1008" s="18" t="s">
        <v>2404</v>
      </c>
      <c r="E1008" s="24" t="str">
        <f t="shared" si="91"/>
        <v>S0910541E001</v>
      </c>
      <c r="F1008" s="13">
        <v>44473</v>
      </c>
      <c r="G1008" s="13">
        <v>44479</v>
      </c>
      <c r="H1008" s="7">
        <f t="shared" ca="1" si="92"/>
        <v>-624</v>
      </c>
      <c r="I1008" s="13">
        <v>44478</v>
      </c>
      <c r="J1008" s="9">
        <f t="shared" ca="1" si="93"/>
        <v>0</v>
      </c>
      <c r="K1008" s="10"/>
      <c r="L1008" s="10" t="str">
        <f t="shared" si="94"/>
        <v>Accepted</v>
      </c>
      <c r="M1008" s="11">
        <v>0</v>
      </c>
      <c r="N1008" s="10" t="s">
        <v>30</v>
      </c>
      <c r="O1008" s="42">
        <f t="shared" si="95"/>
        <v>18000</v>
      </c>
      <c r="P1008" s="10" t="s">
        <v>19</v>
      </c>
    </row>
    <row r="1009" spans="1:16" s="22" customFormat="1" ht="14.25" customHeight="1" x14ac:dyDescent="0.25">
      <c r="A1009" s="5" t="s">
        <v>2165</v>
      </c>
      <c r="B1009" s="22" t="s">
        <v>716</v>
      </c>
      <c r="C1009" s="22" t="s">
        <v>2472</v>
      </c>
      <c r="D1009" s="18" t="s">
        <v>2166</v>
      </c>
      <c r="E1009" s="24" t="str">
        <f t="shared" si="91"/>
        <v>S0581921E004</v>
      </c>
      <c r="F1009" s="13">
        <v>44459</v>
      </c>
      <c r="G1009" s="13">
        <v>44479</v>
      </c>
      <c r="H1009" s="7">
        <f t="shared" ca="1" si="92"/>
        <v>-624</v>
      </c>
      <c r="I1009" s="13">
        <v>44479</v>
      </c>
      <c r="J1009" s="9">
        <f t="shared" ca="1" si="93"/>
        <v>0</v>
      </c>
      <c r="K1009" s="10"/>
      <c r="L1009" s="10" t="str">
        <f t="shared" si="94"/>
        <v>Accepted</v>
      </c>
      <c r="M1009" s="11">
        <v>1</v>
      </c>
      <c r="N1009" s="10" t="s">
        <v>30</v>
      </c>
      <c r="O1009" s="42">
        <f t="shared" si="95"/>
        <v>18000</v>
      </c>
      <c r="P1009" s="10" t="s">
        <v>19</v>
      </c>
    </row>
    <row r="1010" spans="1:16" s="22" customFormat="1" ht="14.25" customHeight="1" x14ac:dyDescent="0.25">
      <c r="A1010" s="5" t="s">
        <v>2249</v>
      </c>
      <c r="B1010" s="22" t="s">
        <v>716</v>
      </c>
      <c r="C1010" s="22" t="s">
        <v>1450</v>
      </c>
      <c r="D1010" s="18" t="s">
        <v>2250</v>
      </c>
      <c r="E1010" s="24" t="str">
        <f t="shared" si="91"/>
        <v>T0230558P020</v>
      </c>
      <c r="F1010" s="13">
        <v>44463</v>
      </c>
      <c r="G1010" s="13">
        <v>44479</v>
      </c>
      <c r="H1010" s="7">
        <f t="shared" ca="1" si="92"/>
        <v>-624</v>
      </c>
      <c r="I1010" s="13">
        <v>44479</v>
      </c>
      <c r="J1010" s="9">
        <f t="shared" ca="1" si="93"/>
        <v>0</v>
      </c>
      <c r="K1010" s="10"/>
      <c r="L1010" s="10" t="str">
        <f t="shared" si="94"/>
        <v>Accepted</v>
      </c>
      <c r="M1010" s="11">
        <v>1</v>
      </c>
      <c r="N1010" s="10" t="s">
        <v>18</v>
      </c>
      <c r="O1010" s="42">
        <f t="shared" si="95"/>
        <v>15000</v>
      </c>
      <c r="P1010" s="10" t="s">
        <v>19</v>
      </c>
    </row>
    <row r="1011" spans="1:16" s="22" customFormat="1" ht="14.25" customHeight="1" x14ac:dyDescent="0.25">
      <c r="A1011" s="5" t="s">
        <v>2263</v>
      </c>
      <c r="B1011" s="22" t="s">
        <v>716</v>
      </c>
      <c r="C1011" s="22" t="s">
        <v>932</v>
      </c>
      <c r="D1011" s="18" t="s">
        <v>2264</v>
      </c>
      <c r="E1011" s="24" t="str">
        <f t="shared" si="91"/>
        <v>S0840091b001</v>
      </c>
      <c r="F1011" s="13">
        <v>44463</v>
      </c>
      <c r="G1011" s="13">
        <v>44479</v>
      </c>
      <c r="H1011" s="7">
        <f t="shared" ca="1" si="92"/>
        <v>-624</v>
      </c>
      <c r="I1011" s="13">
        <v>44479</v>
      </c>
      <c r="J1011" s="9">
        <f t="shared" ca="1" si="93"/>
        <v>0</v>
      </c>
      <c r="K1011" s="10"/>
      <c r="L1011" s="10" t="str">
        <f t="shared" si="94"/>
        <v>Accepted</v>
      </c>
      <c r="M1011" s="11">
        <v>1</v>
      </c>
      <c r="N1011" s="10" t="s">
        <v>18</v>
      </c>
      <c r="O1011" s="42">
        <f t="shared" si="95"/>
        <v>15000</v>
      </c>
      <c r="P1011" s="10" t="s">
        <v>19</v>
      </c>
    </row>
    <row r="1012" spans="1:16" s="22" customFormat="1" ht="14.25" customHeight="1" x14ac:dyDescent="0.25">
      <c r="A1012" s="5" t="s">
        <v>2387</v>
      </c>
      <c r="B1012" s="22" t="s">
        <v>716</v>
      </c>
      <c r="C1012" s="22" t="s">
        <v>787</v>
      </c>
      <c r="D1012" s="18" t="s">
        <v>2388</v>
      </c>
      <c r="E1012" s="24" t="str">
        <f t="shared" si="91"/>
        <v>T0100333E002</v>
      </c>
      <c r="F1012" s="13">
        <v>44473</v>
      </c>
      <c r="G1012" s="13">
        <v>44479</v>
      </c>
      <c r="H1012" s="7">
        <f t="shared" ca="1" si="92"/>
        <v>-624</v>
      </c>
      <c r="I1012" s="13">
        <v>44479</v>
      </c>
      <c r="J1012" s="9">
        <f t="shared" ca="1" si="93"/>
        <v>0</v>
      </c>
      <c r="K1012" s="10"/>
      <c r="L1012" s="10" t="str">
        <f t="shared" si="94"/>
        <v>Accepted</v>
      </c>
      <c r="M1012" s="11">
        <v>0</v>
      </c>
      <c r="N1012" s="10" t="s">
        <v>18</v>
      </c>
      <c r="O1012" s="42">
        <f t="shared" si="95"/>
        <v>15000</v>
      </c>
      <c r="P1012" s="10" t="s">
        <v>19</v>
      </c>
    </row>
    <row r="1013" spans="1:16" s="22" customFormat="1" ht="14.25" customHeight="1" x14ac:dyDescent="0.25">
      <c r="A1013" s="5" t="s">
        <v>2291</v>
      </c>
      <c r="B1013" s="22" t="s">
        <v>716</v>
      </c>
      <c r="C1013" s="22" t="s">
        <v>1450</v>
      </c>
      <c r="D1013" s="18" t="s">
        <v>2292</v>
      </c>
      <c r="E1013" s="24" t="str">
        <f t="shared" si="91"/>
        <v>T0100180P006</v>
      </c>
      <c r="F1013" s="13">
        <v>44466</v>
      </c>
      <c r="G1013" s="13">
        <v>44483</v>
      </c>
      <c r="H1013" s="7">
        <f t="shared" ca="1" si="92"/>
        <v>-620</v>
      </c>
      <c r="I1013" s="13">
        <v>44479</v>
      </c>
      <c r="J1013" s="9">
        <f t="shared" ca="1" si="93"/>
        <v>0</v>
      </c>
      <c r="K1013" s="10"/>
      <c r="L1013" s="10" t="str">
        <f t="shared" si="94"/>
        <v>Accepted</v>
      </c>
      <c r="M1013" s="11">
        <v>1</v>
      </c>
      <c r="N1013" s="10" t="s">
        <v>18</v>
      </c>
      <c r="O1013" s="42">
        <f t="shared" si="95"/>
        <v>15000</v>
      </c>
      <c r="P1013" s="10" t="s">
        <v>19</v>
      </c>
    </row>
    <row r="1014" spans="1:16" s="22" customFormat="1" ht="14.25" customHeight="1" x14ac:dyDescent="0.25">
      <c r="A1014" s="5" t="s">
        <v>2299</v>
      </c>
      <c r="B1014" s="22" t="s">
        <v>716</v>
      </c>
      <c r="C1014" s="22" t="s">
        <v>1450</v>
      </c>
      <c r="D1014" s="18" t="s">
        <v>2300</v>
      </c>
      <c r="E1014" s="24" t="str">
        <f t="shared" si="91"/>
        <v>S0830382E001</v>
      </c>
      <c r="F1014" s="13">
        <v>44466</v>
      </c>
      <c r="G1014" s="13">
        <v>44483</v>
      </c>
      <c r="H1014" s="7">
        <f t="shared" ca="1" si="92"/>
        <v>-620</v>
      </c>
      <c r="I1014" s="13">
        <v>44479</v>
      </c>
      <c r="J1014" s="9">
        <f t="shared" ca="1" si="93"/>
        <v>0</v>
      </c>
      <c r="K1014" s="10"/>
      <c r="L1014" s="10" t="str">
        <f t="shared" si="94"/>
        <v>Accepted</v>
      </c>
      <c r="M1014" s="11">
        <v>1</v>
      </c>
      <c r="N1014" s="10" t="s">
        <v>18</v>
      </c>
      <c r="O1014" s="42">
        <f t="shared" si="95"/>
        <v>15000</v>
      </c>
      <c r="P1014" s="10" t="s">
        <v>19</v>
      </c>
    </row>
    <row r="1015" spans="1:16" s="22" customFormat="1" ht="14.25" customHeight="1" x14ac:dyDescent="0.25">
      <c r="A1015" s="5" t="s">
        <v>2431</v>
      </c>
      <c r="B1015" s="22" t="s">
        <v>716</v>
      </c>
      <c r="C1015" s="22" t="s">
        <v>1043</v>
      </c>
      <c r="D1015" s="18" t="s">
        <v>2432</v>
      </c>
      <c r="E1015" s="24" t="str">
        <f t="shared" si="91"/>
        <v>T006B203P001</v>
      </c>
      <c r="F1015" s="13">
        <v>44480</v>
      </c>
      <c r="G1015" s="13">
        <v>44486</v>
      </c>
      <c r="H1015" s="7">
        <f t="shared" ca="1" si="92"/>
        <v>-617</v>
      </c>
      <c r="I1015" s="13">
        <v>44482</v>
      </c>
      <c r="J1015" s="9">
        <f t="shared" ca="1" si="93"/>
        <v>623</v>
      </c>
      <c r="K1015" s="10" t="s">
        <v>712</v>
      </c>
      <c r="L1015" s="10" t="str">
        <f t="shared" si="94"/>
        <v>Rejected</v>
      </c>
      <c r="M1015" s="11">
        <v>1</v>
      </c>
      <c r="N1015" s="10" t="s">
        <v>18</v>
      </c>
      <c r="O1015" s="42">
        <f t="shared" si="95"/>
        <v>0</v>
      </c>
      <c r="P1015" s="10" t="s">
        <v>2485</v>
      </c>
    </row>
    <row r="1016" spans="1:16" s="22" customFormat="1" ht="14.25" customHeight="1" x14ac:dyDescent="0.25">
      <c r="A1016" s="5" t="s">
        <v>1990</v>
      </c>
      <c r="B1016" s="22" t="s">
        <v>716</v>
      </c>
      <c r="C1016" s="22" t="s">
        <v>2472</v>
      </c>
      <c r="D1016" s="18" t="s">
        <v>1991</v>
      </c>
      <c r="E1016" s="24" t="str">
        <f t="shared" si="91"/>
        <v>S0541321E009</v>
      </c>
      <c r="F1016" s="13">
        <v>44452</v>
      </c>
      <c r="G1016" s="13">
        <v>44486</v>
      </c>
      <c r="H1016" s="7">
        <f t="shared" ca="1" si="92"/>
        <v>-617</v>
      </c>
      <c r="I1016" s="13">
        <v>44485</v>
      </c>
      <c r="J1016" s="9">
        <f t="shared" ca="1" si="93"/>
        <v>0</v>
      </c>
      <c r="K1016" s="10"/>
      <c r="L1016" s="10" t="str">
        <f t="shared" si="94"/>
        <v>Accepted</v>
      </c>
      <c r="M1016" s="11">
        <v>0</v>
      </c>
      <c r="N1016" s="10" t="s">
        <v>30</v>
      </c>
      <c r="O1016" s="42">
        <f t="shared" si="95"/>
        <v>18000</v>
      </c>
      <c r="P1016" s="10" t="s">
        <v>19</v>
      </c>
    </row>
    <row r="1017" spans="1:16" s="22" customFormat="1" ht="14.25" customHeight="1" x14ac:dyDescent="0.25">
      <c r="A1017" s="5" t="s">
        <v>2367</v>
      </c>
      <c r="B1017" s="22" t="s">
        <v>716</v>
      </c>
      <c r="C1017" s="22" t="s">
        <v>787</v>
      </c>
      <c r="D1017" s="18" t="s">
        <v>2368</v>
      </c>
      <c r="E1017" s="24" t="str">
        <f t="shared" si="91"/>
        <v>T0300421E005</v>
      </c>
      <c r="F1017" s="13">
        <v>44473</v>
      </c>
      <c r="G1017" s="13">
        <v>44486</v>
      </c>
      <c r="H1017" s="7">
        <f t="shared" ca="1" si="92"/>
        <v>-617</v>
      </c>
      <c r="I1017" s="13">
        <v>44485</v>
      </c>
      <c r="J1017" s="9">
        <f t="shared" ca="1" si="93"/>
        <v>0</v>
      </c>
      <c r="K1017" s="10"/>
      <c r="L1017" s="10" t="str">
        <f t="shared" si="94"/>
        <v>Accepted</v>
      </c>
      <c r="M1017" s="11">
        <v>0</v>
      </c>
      <c r="N1017" s="10" t="s">
        <v>30</v>
      </c>
      <c r="O1017" s="42">
        <f t="shared" si="95"/>
        <v>18000</v>
      </c>
      <c r="P1017" s="10" t="s">
        <v>19</v>
      </c>
    </row>
    <row r="1018" spans="1:16" s="22" customFormat="1" ht="14.25" customHeight="1" x14ac:dyDescent="0.25">
      <c r="A1018" s="5" t="s">
        <v>2371</v>
      </c>
      <c r="B1018" s="22" t="s">
        <v>716</v>
      </c>
      <c r="C1018" s="22" t="s">
        <v>735</v>
      </c>
      <c r="D1018" s="18" t="s">
        <v>2372</v>
      </c>
      <c r="E1018" s="24" t="str">
        <f t="shared" si="91"/>
        <v>V0220301P001</v>
      </c>
      <c r="F1018" s="13">
        <v>44473</v>
      </c>
      <c r="G1018" s="13">
        <v>44486</v>
      </c>
      <c r="H1018" s="7">
        <f t="shared" ca="1" si="92"/>
        <v>-617</v>
      </c>
      <c r="I1018" s="13">
        <v>44485</v>
      </c>
      <c r="J1018" s="9">
        <f t="shared" ca="1" si="93"/>
        <v>0</v>
      </c>
      <c r="K1018" s="10"/>
      <c r="L1018" s="10" t="str">
        <f t="shared" si="94"/>
        <v>Accepted</v>
      </c>
      <c r="M1018" s="11">
        <v>0</v>
      </c>
      <c r="N1018" s="10" t="s">
        <v>30</v>
      </c>
      <c r="O1018" s="42">
        <f t="shared" si="95"/>
        <v>18000</v>
      </c>
      <c r="P1018" s="10" t="s">
        <v>19</v>
      </c>
    </row>
    <row r="1019" spans="1:16" s="22" customFormat="1" ht="14.25" customHeight="1" x14ac:dyDescent="0.25">
      <c r="A1019" s="5" t="s">
        <v>2423</v>
      </c>
      <c r="B1019" s="22" t="s">
        <v>716</v>
      </c>
      <c r="C1019" s="22" t="s">
        <v>2472</v>
      </c>
      <c r="D1019" s="18" t="s">
        <v>2424</v>
      </c>
      <c r="E1019" s="24" t="str">
        <f t="shared" si="91"/>
        <v>S0581911E001</v>
      </c>
      <c r="F1019" s="13">
        <v>44480</v>
      </c>
      <c r="G1019" s="13">
        <v>44486</v>
      </c>
      <c r="H1019" s="7">
        <f t="shared" ca="1" si="92"/>
        <v>-617</v>
      </c>
      <c r="I1019" s="13">
        <v>44485</v>
      </c>
      <c r="J1019" s="9">
        <f t="shared" ca="1" si="93"/>
        <v>623</v>
      </c>
      <c r="K1019" s="10" t="s">
        <v>2489</v>
      </c>
      <c r="L1019" s="10" t="str">
        <f t="shared" si="94"/>
        <v>Rejected</v>
      </c>
      <c r="M1019" s="11">
        <v>1</v>
      </c>
      <c r="N1019" s="10" t="s">
        <v>18</v>
      </c>
      <c r="O1019" s="42">
        <f t="shared" si="95"/>
        <v>0</v>
      </c>
      <c r="P1019" s="10" t="s">
        <v>2485</v>
      </c>
    </row>
    <row r="1020" spans="1:16" s="22" customFormat="1" ht="14.25" customHeight="1" x14ac:dyDescent="0.25">
      <c r="A1020" s="5" t="s">
        <v>2427</v>
      </c>
      <c r="B1020" s="22" t="s">
        <v>716</v>
      </c>
      <c r="C1020" s="22" t="s">
        <v>2473</v>
      </c>
      <c r="D1020" s="18" t="s">
        <v>2428</v>
      </c>
      <c r="E1020" s="24" t="str">
        <f t="shared" si="91"/>
        <v>S0840911b002</v>
      </c>
      <c r="F1020" s="13">
        <v>44480</v>
      </c>
      <c r="G1020" s="13">
        <v>44486</v>
      </c>
      <c r="H1020" s="7">
        <f t="shared" ca="1" si="92"/>
        <v>-617</v>
      </c>
      <c r="I1020" s="13">
        <v>44485</v>
      </c>
      <c r="J1020" s="9">
        <f t="shared" ca="1" si="93"/>
        <v>0</v>
      </c>
      <c r="K1020" s="10"/>
      <c r="L1020" s="10" t="str">
        <f t="shared" si="94"/>
        <v>Accepted</v>
      </c>
      <c r="M1020" s="11">
        <v>0</v>
      </c>
      <c r="N1020" s="10" t="s">
        <v>18</v>
      </c>
      <c r="O1020" s="42">
        <f t="shared" si="95"/>
        <v>15000</v>
      </c>
      <c r="P1020" s="10" t="s">
        <v>2485</v>
      </c>
    </row>
    <row r="1021" spans="1:16" s="22" customFormat="1" ht="14.25" customHeight="1" x14ac:dyDescent="0.25">
      <c r="A1021" s="5" t="s">
        <v>2429</v>
      </c>
      <c r="B1021" s="22" t="s">
        <v>716</v>
      </c>
      <c r="C1021" s="22" t="s">
        <v>1694</v>
      </c>
      <c r="D1021" s="18" t="s">
        <v>2430</v>
      </c>
      <c r="E1021" s="24" t="str">
        <f t="shared" si="91"/>
        <v>T007M002P001</v>
      </c>
      <c r="F1021" s="13">
        <v>44480</v>
      </c>
      <c r="G1021" s="13">
        <v>44486</v>
      </c>
      <c r="H1021" s="7">
        <f t="shared" ca="1" si="92"/>
        <v>-617</v>
      </c>
      <c r="I1021" s="13">
        <v>44485</v>
      </c>
      <c r="J1021" s="9">
        <f t="shared" ca="1" si="93"/>
        <v>0</v>
      </c>
      <c r="K1021" s="10"/>
      <c r="L1021" s="10" t="str">
        <f t="shared" si="94"/>
        <v>Accepted</v>
      </c>
      <c r="M1021" s="11">
        <v>0</v>
      </c>
      <c r="N1021" s="10" t="s">
        <v>18</v>
      </c>
      <c r="O1021" s="42">
        <f t="shared" si="95"/>
        <v>15000</v>
      </c>
      <c r="P1021" s="10" t="s">
        <v>2485</v>
      </c>
    </row>
    <row r="1022" spans="1:16" s="22" customFormat="1" ht="14.25" customHeight="1" x14ac:dyDescent="0.25">
      <c r="A1022" s="5" t="s">
        <v>2433</v>
      </c>
      <c r="B1022" s="22" t="s">
        <v>716</v>
      </c>
      <c r="C1022" s="22" t="s">
        <v>1450</v>
      </c>
      <c r="D1022" s="18" t="s">
        <v>2434</v>
      </c>
      <c r="E1022" s="24" t="str">
        <f t="shared" si="91"/>
        <v>T0230151P002</v>
      </c>
      <c r="F1022" s="13">
        <v>44480</v>
      </c>
      <c r="G1022" s="13">
        <v>44486</v>
      </c>
      <c r="H1022" s="7">
        <f t="shared" ca="1" si="92"/>
        <v>-617</v>
      </c>
      <c r="I1022" s="13">
        <v>44485</v>
      </c>
      <c r="J1022" s="9">
        <f t="shared" ca="1" si="93"/>
        <v>0</v>
      </c>
      <c r="K1022" s="10"/>
      <c r="L1022" s="10" t="str">
        <f t="shared" si="94"/>
        <v>Accepted</v>
      </c>
      <c r="M1022" s="11">
        <v>0</v>
      </c>
      <c r="N1022" s="10" t="s">
        <v>18</v>
      </c>
      <c r="O1022" s="42">
        <f t="shared" si="95"/>
        <v>15000</v>
      </c>
      <c r="P1022" s="10" t="s">
        <v>2485</v>
      </c>
    </row>
    <row r="1023" spans="1:16" s="22" customFormat="1" ht="14.25" customHeight="1" x14ac:dyDescent="0.25">
      <c r="A1023" s="5" t="s">
        <v>2439</v>
      </c>
      <c r="B1023" s="22" t="s">
        <v>716</v>
      </c>
      <c r="C1023" s="22" t="s">
        <v>787</v>
      </c>
      <c r="D1023" s="18" t="s">
        <v>2440</v>
      </c>
      <c r="E1023" s="24" t="str">
        <f t="shared" si="91"/>
        <v>T0300120P004</v>
      </c>
      <c r="F1023" s="13">
        <v>44480</v>
      </c>
      <c r="G1023" s="13">
        <v>44486</v>
      </c>
      <c r="H1023" s="7">
        <f t="shared" ca="1" si="92"/>
        <v>-617</v>
      </c>
      <c r="I1023" s="13">
        <v>44485</v>
      </c>
      <c r="J1023" s="9">
        <f t="shared" ca="1" si="93"/>
        <v>0</v>
      </c>
      <c r="K1023" s="10"/>
      <c r="L1023" s="10" t="str">
        <f t="shared" si="94"/>
        <v>Accepted</v>
      </c>
      <c r="M1023" s="11">
        <v>0</v>
      </c>
      <c r="N1023" s="10" t="s">
        <v>18</v>
      </c>
      <c r="O1023" s="42">
        <f t="shared" si="95"/>
        <v>15000</v>
      </c>
      <c r="P1023" s="10" t="s">
        <v>2485</v>
      </c>
    </row>
    <row r="1024" spans="1:16" s="22" customFormat="1" ht="14.25" customHeight="1" x14ac:dyDescent="0.25">
      <c r="A1024" s="5" t="s">
        <v>2441</v>
      </c>
      <c r="B1024" s="22" t="s">
        <v>716</v>
      </c>
      <c r="C1024" s="22" t="s">
        <v>2470</v>
      </c>
      <c r="D1024" s="18" t="s">
        <v>2442</v>
      </c>
      <c r="E1024" s="24" t="str">
        <f t="shared" si="91"/>
        <v>T0403012E013</v>
      </c>
      <c r="F1024" s="13">
        <v>44480</v>
      </c>
      <c r="G1024" s="13">
        <v>44486</v>
      </c>
      <c r="H1024" s="7">
        <f t="shared" ca="1" si="92"/>
        <v>-617</v>
      </c>
      <c r="I1024" s="13">
        <v>44485</v>
      </c>
      <c r="J1024" s="9">
        <f t="shared" ca="1" si="93"/>
        <v>0</v>
      </c>
      <c r="K1024" s="10"/>
      <c r="L1024" s="10" t="str">
        <f t="shared" si="94"/>
        <v>Accepted</v>
      </c>
      <c r="M1024" s="11">
        <v>0</v>
      </c>
      <c r="N1024" s="10" t="s">
        <v>18</v>
      </c>
      <c r="O1024" s="42">
        <f t="shared" si="95"/>
        <v>15000</v>
      </c>
      <c r="P1024" s="10" t="s">
        <v>2485</v>
      </c>
    </row>
    <row r="1025" spans="1:16" s="22" customFormat="1" ht="14.25" customHeight="1" x14ac:dyDescent="0.25">
      <c r="A1025" s="5" t="s">
        <v>2451</v>
      </c>
      <c r="B1025" s="22" t="s">
        <v>716</v>
      </c>
      <c r="C1025" s="22" t="s">
        <v>735</v>
      </c>
      <c r="D1025" s="18" t="s">
        <v>2452</v>
      </c>
      <c r="E1025" s="24" t="str">
        <f t="shared" si="91"/>
        <v>T01003A4P032</v>
      </c>
      <c r="F1025" s="13">
        <v>44480</v>
      </c>
      <c r="G1025" s="13">
        <v>44486</v>
      </c>
      <c r="H1025" s="7">
        <f t="shared" ca="1" si="92"/>
        <v>-617</v>
      </c>
      <c r="I1025" s="13">
        <v>44485</v>
      </c>
      <c r="J1025" s="9">
        <f t="shared" ca="1" si="93"/>
        <v>0</v>
      </c>
      <c r="K1025" s="10"/>
      <c r="L1025" s="10" t="str">
        <f t="shared" si="94"/>
        <v>Accepted</v>
      </c>
      <c r="M1025" s="11">
        <v>0</v>
      </c>
      <c r="N1025" s="10" t="s">
        <v>18</v>
      </c>
      <c r="O1025" s="42">
        <f t="shared" si="95"/>
        <v>15000</v>
      </c>
      <c r="P1025" s="10" t="s">
        <v>2485</v>
      </c>
    </row>
    <row r="1026" spans="1:16" s="22" customFormat="1" ht="14.25" customHeight="1" x14ac:dyDescent="0.25">
      <c r="A1026" s="5" t="s">
        <v>2453</v>
      </c>
      <c r="B1026" s="22" t="s">
        <v>716</v>
      </c>
      <c r="C1026" s="22" t="s">
        <v>2470</v>
      </c>
      <c r="D1026" s="18" t="s">
        <v>2454</v>
      </c>
      <c r="E1026" s="24" t="str">
        <f t="shared" ref="E1026:E1089" si="96">HYPERLINK(D1026,A1026)</f>
        <v>T0080401P001</v>
      </c>
      <c r="F1026" s="13">
        <v>44480</v>
      </c>
      <c r="G1026" s="13">
        <v>44486</v>
      </c>
      <c r="H1026" s="7">
        <f t="shared" ref="H1026:H1089" ca="1" si="97">G1026-TODAY()</f>
        <v>-617</v>
      </c>
      <c r="I1026" s="13">
        <v>44485</v>
      </c>
      <c r="J1026" s="9">
        <f t="shared" ref="J1026:J1089" ca="1" si="98">IF(L1026="Accepted",0,TODAY()-F1026)</f>
        <v>0</v>
      </c>
      <c r="K1026" s="10"/>
      <c r="L1026" s="10" t="str">
        <f t="shared" ref="L1026:L1089" si="99">IF(AND(NOT(ISBLANK(I1026)), ISBLANK(K1026)),"Accepted", IF(AND(ISBLANK(I1026),ISBLANK(K1026)),"Not Submitted", "Rejected"))</f>
        <v>Accepted</v>
      </c>
      <c r="M1026" s="11">
        <v>0</v>
      </c>
      <c r="N1026" s="10" t="s">
        <v>18</v>
      </c>
      <c r="O1026" s="42">
        <f t="shared" ref="O1026:O1089" si="100">IF(AND(L1026="Accepted",B1026="SMA",N1026="no"),20000,
IF(AND(L1026="Accepted",OR(B1026="SMP",B1026="SD"),N1026="no"),15000,
IF(AND(L1026="Accepted",B1026="SMA",N1026="yes"),25000,
IF(AND(L1026="Accepted",OR(B1026="SMP",B1026="SD"),N1026="yes"),18000,
0))))</f>
        <v>15000</v>
      </c>
      <c r="P1026" s="10" t="s">
        <v>2485</v>
      </c>
    </row>
    <row r="1027" spans="1:16" s="22" customFormat="1" ht="14.25" customHeight="1" x14ac:dyDescent="0.25">
      <c r="A1027" s="5" t="s">
        <v>2295</v>
      </c>
      <c r="B1027" s="22" t="s">
        <v>716</v>
      </c>
      <c r="C1027" s="22" t="s">
        <v>735</v>
      </c>
      <c r="D1027" s="18" t="s">
        <v>2296</v>
      </c>
      <c r="E1027" s="24" t="str">
        <f t="shared" si="96"/>
        <v>T0290321E005</v>
      </c>
      <c r="F1027" s="13">
        <v>44466</v>
      </c>
      <c r="G1027" s="13">
        <v>44493</v>
      </c>
      <c r="H1027" s="7">
        <f t="shared" ca="1" si="97"/>
        <v>-610</v>
      </c>
      <c r="I1027" s="13">
        <v>44493</v>
      </c>
      <c r="J1027" s="9">
        <f t="shared" ca="1" si="98"/>
        <v>637</v>
      </c>
      <c r="K1027" s="10" t="s">
        <v>2489</v>
      </c>
      <c r="L1027" s="10" t="str">
        <f t="shared" si="99"/>
        <v>Rejected</v>
      </c>
      <c r="M1027" s="11">
        <v>2</v>
      </c>
      <c r="N1027" s="10" t="s">
        <v>18</v>
      </c>
      <c r="O1027" s="42">
        <f t="shared" si="100"/>
        <v>0</v>
      </c>
      <c r="P1027" s="10" t="s">
        <v>2485</v>
      </c>
    </row>
    <row r="1028" spans="1:16" s="22" customFormat="1" ht="14.25" customHeight="1" x14ac:dyDescent="0.25">
      <c r="A1028" s="5" t="s">
        <v>2365</v>
      </c>
      <c r="B1028" s="22" t="s">
        <v>716</v>
      </c>
      <c r="C1028" s="22" t="s">
        <v>2472</v>
      </c>
      <c r="D1028" s="18" t="s">
        <v>2366</v>
      </c>
      <c r="E1028" s="24" t="str">
        <f t="shared" si="96"/>
        <v>S0411222E003</v>
      </c>
      <c r="F1028" s="13">
        <v>44473</v>
      </c>
      <c r="G1028" s="13">
        <v>44493</v>
      </c>
      <c r="H1028" s="7">
        <f t="shared" ca="1" si="97"/>
        <v>-610</v>
      </c>
      <c r="I1028" s="13">
        <v>44493</v>
      </c>
      <c r="J1028" s="9">
        <f t="shared" ca="1" si="98"/>
        <v>630</v>
      </c>
      <c r="K1028" s="10" t="s">
        <v>2489</v>
      </c>
      <c r="L1028" s="10" t="str">
        <f t="shared" si="99"/>
        <v>Rejected</v>
      </c>
      <c r="M1028" s="11">
        <v>1</v>
      </c>
      <c r="N1028" s="10" t="s">
        <v>30</v>
      </c>
      <c r="O1028" s="42">
        <f t="shared" si="100"/>
        <v>0</v>
      </c>
      <c r="P1028" s="10" t="s">
        <v>2485</v>
      </c>
    </row>
    <row r="1029" spans="1:16" s="22" customFormat="1" ht="14.25" customHeight="1" x14ac:dyDescent="0.25">
      <c r="A1029" s="5" t="s">
        <v>2401</v>
      </c>
      <c r="B1029" s="22" t="s">
        <v>716</v>
      </c>
      <c r="C1029" s="22" t="s">
        <v>787</v>
      </c>
      <c r="D1029" s="18" t="s">
        <v>2402</v>
      </c>
      <c r="E1029" s="24" t="str">
        <f t="shared" si="96"/>
        <v>S0780151P001</v>
      </c>
      <c r="F1029" s="13">
        <v>44473</v>
      </c>
      <c r="G1029" s="13">
        <v>44493</v>
      </c>
      <c r="H1029" s="7">
        <f t="shared" ca="1" si="97"/>
        <v>-610</v>
      </c>
      <c r="I1029" s="13">
        <v>44493</v>
      </c>
      <c r="J1029" s="9">
        <f t="shared" ca="1" si="98"/>
        <v>630</v>
      </c>
      <c r="K1029" s="10" t="s">
        <v>2489</v>
      </c>
      <c r="L1029" s="10" t="str">
        <f t="shared" si="99"/>
        <v>Rejected</v>
      </c>
      <c r="M1029" s="11">
        <v>1</v>
      </c>
      <c r="N1029" s="10" t="s">
        <v>18</v>
      </c>
      <c r="O1029" s="42">
        <f t="shared" si="100"/>
        <v>0</v>
      </c>
      <c r="P1029" s="10" t="s">
        <v>2485</v>
      </c>
    </row>
    <row r="1030" spans="1:16" s="22" customFormat="1" ht="14.25" customHeight="1" x14ac:dyDescent="0.25">
      <c r="A1030" s="5" t="s">
        <v>2417</v>
      </c>
      <c r="B1030" s="22" t="s">
        <v>716</v>
      </c>
      <c r="C1030" s="22" t="s">
        <v>1694</v>
      </c>
      <c r="D1030" s="18" t="s">
        <v>2418</v>
      </c>
      <c r="E1030" s="24" t="str">
        <f t="shared" si="96"/>
        <v>S0841541E011</v>
      </c>
      <c r="F1030" s="13">
        <v>44473</v>
      </c>
      <c r="G1030" s="13">
        <v>44493</v>
      </c>
      <c r="H1030" s="7">
        <f t="shared" ca="1" si="97"/>
        <v>-610</v>
      </c>
      <c r="I1030" s="13">
        <v>44493</v>
      </c>
      <c r="J1030" s="9">
        <f t="shared" ca="1" si="98"/>
        <v>630</v>
      </c>
      <c r="K1030" s="10" t="s">
        <v>2489</v>
      </c>
      <c r="L1030" s="10" t="str">
        <f t="shared" si="99"/>
        <v>Rejected</v>
      </c>
      <c r="M1030" s="11">
        <v>1</v>
      </c>
      <c r="N1030" s="10" t="s">
        <v>18</v>
      </c>
      <c r="O1030" s="42">
        <f t="shared" si="100"/>
        <v>0</v>
      </c>
      <c r="P1030" s="10" t="s">
        <v>2485</v>
      </c>
    </row>
    <row r="1031" spans="1:16" s="22" customFormat="1" ht="14.25" customHeight="1" x14ac:dyDescent="0.25">
      <c r="A1031" s="5" t="s">
        <v>2435</v>
      </c>
      <c r="B1031" s="22" t="s">
        <v>716</v>
      </c>
      <c r="C1031" s="22" t="s">
        <v>932</v>
      </c>
      <c r="D1031" s="18" t="s">
        <v>2436</v>
      </c>
      <c r="E1031" s="24" t="str">
        <f t="shared" si="96"/>
        <v>S0840081E001</v>
      </c>
      <c r="F1031" s="13">
        <v>44480</v>
      </c>
      <c r="G1031" s="13">
        <v>44493</v>
      </c>
      <c r="H1031" s="7">
        <f t="shared" ca="1" si="97"/>
        <v>-610</v>
      </c>
      <c r="I1031" s="13">
        <v>44493</v>
      </c>
      <c r="J1031" s="9">
        <f t="shared" ca="1" si="98"/>
        <v>623</v>
      </c>
      <c r="K1031" s="10" t="s">
        <v>2489</v>
      </c>
      <c r="L1031" s="10" t="str">
        <f t="shared" si="99"/>
        <v>Rejected</v>
      </c>
      <c r="M1031" s="11">
        <v>1</v>
      </c>
      <c r="N1031" s="10" t="s">
        <v>30</v>
      </c>
      <c r="O1031" s="42">
        <f t="shared" si="100"/>
        <v>0</v>
      </c>
      <c r="P1031" s="10" t="s">
        <v>2485</v>
      </c>
    </row>
    <row r="1032" spans="1:16" s="22" customFormat="1" ht="14.25" customHeight="1" x14ac:dyDescent="0.25">
      <c r="A1032" s="5" t="s">
        <v>2437</v>
      </c>
      <c r="B1032" s="22" t="s">
        <v>716</v>
      </c>
      <c r="C1032" s="22" t="s">
        <v>2472</v>
      </c>
      <c r="D1032" s="18" t="s">
        <v>2438</v>
      </c>
      <c r="E1032" s="24" t="str">
        <f t="shared" si="96"/>
        <v>S0490781E004</v>
      </c>
      <c r="F1032" s="13">
        <v>44480</v>
      </c>
      <c r="G1032" s="13">
        <v>44493</v>
      </c>
      <c r="H1032" s="7">
        <f t="shared" ca="1" si="97"/>
        <v>-610</v>
      </c>
      <c r="I1032" s="13">
        <v>44493</v>
      </c>
      <c r="J1032" s="9">
        <f t="shared" ca="1" si="98"/>
        <v>0</v>
      </c>
      <c r="K1032" s="10"/>
      <c r="L1032" s="10" t="str">
        <f t="shared" si="99"/>
        <v>Accepted</v>
      </c>
      <c r="M1032" s="11">
        <v>1</v>
      </c>
      <c r="N1032" s="10" t="s">
        <v>30</v>
      </c>
      <c r="O1032" s="42">
        <f t="shared" si="100"/>
        <v>18000</v>
      </c>
      <c r="P1032" s="10" t="s">
        <v>2485</v>
      </c>
    </row>
    <row r="1033" spans="1:16" s="22" customFormat="1" ht="14.25" customHeight="1" x14ac:dyDescent="0.25">
      <c r="A1033" s="14" t="s">
        <v>52</v>
      </c>
      <c r="B1033" s="22" t="s">
        <v>15</v>
      </c>
      <c r="C1033" s="22" t="s">
        <v>53</v>
      </c>
      <c r="D1033" s="23" t="s">
        <v>54</v>
      </c>
      <c r="E1033" s="24" t="str">
        <f t="shared" si="96"/>
        <v>M2400881E001</v>
      </c>
      <c r="F1033" s="6">
        <v>44113</v>
      </c>
      <c r="G1033" s="13">
        <f t="shared" ref="G1033:G1043" si="101">F1033+7</f>
        <v>44120</v>
      </c>
      <c r="H1033" s="7">
        <f t="shared" ca="1" si="97"/>
        <v>-983</v>
      </c>
      <c r="I1033" s="13"/>
      <c r="J1033" s="9">
        <f t="shared" ca="1" si="98"/>
        <v>990</v>
      </c>
      <c r="K1033" s="10"/>
      <c r="L1033" s="10" t="str">
        <f t="shared" si="99"/>
        <v>Not Submitted</v>
      </c>
      <c r="M1033" s="11">
        <v>0</v>
      </c>
      <c r="N1033" s="10" t="s">
        <v>30</v>
      </c>
      <c r="O1033" s="42">
        <f t="shared" si="100"/>
        <v>0</v>
      </c>
      <c r="P1033" s="10" t="s">
        <v>2485</v>
      </c>
    </row>
    <row r="1034" spans="1:16" s="22" customFormat="1" ht="14.25" customHeight="1" x14ac:dyDescent="0.25">
      <c r="A1034" s="27" t="s">
        <v>2480</v>
      </c>
      <c r="B1034" s="22" t="s">
        <v>15</v>
      </c>
      <c r="C1034" s="22" t="s">
        <v>53</v>
      </c>
      <c r="D1034" s="23" t="s">
        <v>56</v>
      </c>
      <c r="E1034" s="24" t="str">
        <f t="shared" si="96"/>
        <v>B0035541E002</v>
      </c>
      <c r="F1034" s="6">
        <v>44124</v>
      </c>
      <c r="G1034" s="13">
        <f t="shared" si="101"/>
        <v>44131</v>
      </c>
      <c r="H1034" s="7">
        <f t="shared" ca="1" si="97"/>
        <v>-972</v>
      </c>
      <c r="I1034" s="13"/>
      <c r="J1034" s="9">
        <f t="shared" ca="1" si="98"/>
        <v>979</v>
      </c>
      <c r="K1034" s="23"/>
      <c r="L1034" s="10" t="str">
        <f t="shared" si="99"/>
        <v>Not Submitted</v>
      </c>
      <c r="M1034" s="11">
        <v>0</v>
      </c>
      <c r="N1034" s="10" t="s">
        <v>18</v>
      </c>
      <c r="O1034" s="42">
        <f t="shared" si="100"/>
        <v>0</v>
      </c>
      <c r="P1034" s="10" t="s">
        <v>2485</v>
      </c>
    </row>
    <row r="1035" spans="1:16" s="22" customFormat="1" ht="14.25" customHeight="1" x14ac:dyDescent="0.25">
      <c r="A1035" s="27" t="s">
        <v>63</v>
      </c>
      <c r="B1035" s="22" t="s">
        <v>15</v>
      </c>
      <c r="C1035" s="22" t="s">
        <v>16</v>
      </c>
      <c r="D1035" s="23" t="s">
        <v>64</v>
      </c>
      <c r="E1035" s="24" t="str">
        <f t="shared" si="96"/>
        <v>C0040011P002</v>
      </c>
      <c r="F1035" s="6">
        <v>44124</v>
      </c>
      <c r="G1035" s="13">
        <f t="shared" si="101"/>
        <v>44131</v>
      </c>
      <c r="H1035" s="7">
        <f t="shared" ca="1" si="97"/>
        <v>-972</v>
      </c>
      <c r="I1035" s="13"/>
      <c r="J1035" s="9">
        <f t="shared" ca="1" si="98"/>
        <v>979</v>
      </c>
      <c r="K1035" s="23"/>
      <c r="L1035" s="10" t="str">
        <f t="shared" si="99"/>
        <v>Not Submitted</v>
      </c>
      <c r="M1035" s="11">
        <v>0</v>
      </c>
      <c r="N1035" s="10" t="s">
        <v>18</v>
      </c>
      <c r="O1035" s="42">
        <f t="shared" si="100"/>
        <v>0</v>
      </c>
      <c r="P1035" s="10" t="s">
        <v>2485</v>
      </c>
    </row>
    <row r="1036" spans="1:16" s="22" customFormat="1" ht="14.25" customHeight="1" x14ac:dyDescent="0.25">
      <c r="A1036" s="27" t="s">
        <v>59</v>
      </c>
      <c r="B1036" s="22" t="s">
        <v>15</v>
      </c>
      <c r="C1036" s="22" t="s">
        <v>16</v>
      </c>
      <c r="D1036" s="23" t="s">
        <v>60</v>
      </c>
      <c r="E1036" s="24" t="str">
        <f t="shared" si="96"/>
        <v>C0040011P005</v>
      </c>
      <c r="F1036" s="6">
        <v>44124</v>
      </c>
      <c r="G1036" s="13">
        <f t="shared" si="101"/>
        <v>44131</v>
      </c>
      <c r="H1036" s="7">
        <f t="shared" ca="1" si="97"/>
        <v>-972</v>
      </c>
      <c r="I1036" s="13"/>
      <c r="J1036" s="9">
        <f t="shared" ca="1" si="98"/>
        <v>979</v>
      </c>
      <c r="K1036" s="23"/>
      <c r="L1036" s="10" t="str">
        <f t="shared" si="99"/>
        <v>Not Submitted</v>
      </c>
      <c r="M1036" s="11">
        <v>1</v>
      </c>
      <c r="N1036" s="10" t="s">
        <v>18</v>
      </c>
      <c r="O1036" s="42">
        <f t="shared" si="100"/>
        <v>0</v>
      </c>
      <c r="P1036" s="10" t="s">
        <v>2485</v>
      </c>
    </row>
    <row r="1037" spans="1:16" s="22" customFormat="1" ht="14.25" customHeight="1" x14ac:dyDescent="0.25">
      <c r="A1037" s="27" t="s">
        <v>57</v>
      </c>
      <c r="B1037" s="22" t="s">
        <v>15</v>
      </c>
      <c r="C1037" s="22" t="s">
        <v>16</v>
      </c>
      <c r="D1037" s="23" t="s">
        <v>58</v>
      </c>
      <c r="E1037" s="24" t="str">
        <f t="shared" si="96"/>
        <v>C0040021P006</v>
      </c>
      <c r="F1037" s="6">
        <v>44124</v>
      </c>
      <c r="G1037" s="13">
        <f t="shared" si="101"/>
        <v>44131</v>
      </c>
      <c r="H1037" s="7">
        <f t="shared" ca="1" si="97"/>
        <v>-972</v>
      </c>
      <c r="I1037" s="13"/>
      <c r="J1037" s="9">
        <f t="shared" ca="1" si="98"/>
        <v>979</v>
      </c>
      <c r="K1037" s="23"/>
      <c r="L1037" s="10" t="str">
        <f t="shared" si="99"/>
        <v>Not Submitted</v>
      </c>
      <c r="M1037" s="11">
        <v>0</v>
      </c>
      <c r="N1037" s="10" t="s">
        <v>18</v>
      </c>
      <c r="O1037" s="42">
        <f t="shared" si="100"/>
        <v>0</v>
      </c>
      <c r="P1037" s="10" t="s">
        <v>2485</v>
      </c>
    </row>
    <row r="1038" spans="1:16" s="22" customFormat="1" ht="14.25" customHeight="1" x14ac:dyDescent="0.25">
      <c r="A1038" s="27" t="s">
        <v>61</v>
      </c>
      <c r="B1038" s="22" t="s">
        <v>15</v>
      </c>
      <c r="C1038" s="22" t="s">
        <v>16</v>
      </c>
      <c r="D1038" s="23" t="s">
        <v>62</v>
      </c>
      <c r="E1038" s="24" t="str">
        <f t="shared" si="96"/>
        <v>C0040021P007</v>
      </c>
      <c r="F1038" s="6">
        <v>44124</v>
      </c>
      <c r="G1038" s="13">
        <f t="shared" si="101"/>
        <v>44131</v>
      </c>
      <c r="H1038" s="7">
        <f t="shared" ca="1" si="97"/>
        <v>-972</v>
      </c>
      <c r="I1038" s="13"/>
      <c r="J1038" s="9">
        <f t="shared" ca="1" si="98"/>
        <v>979</v>
      </c>
      <c r="K1038" s="23"/>
      <c r="L1038" s="10" t="str">
        <f t="shared" si="99"/>
        <v>Not Submitted</v>
      </c>
      <c r="M1038" s="11">
        <v>0</v>
      </c>
      <c r="N1038" s="10" t="s">
        <v>30</v>
      </c>
      <c r="O1038" s="42">
        <f t="shared" si="100"/>
        <v>0</v>
      </c>
      <c r="P1038" s="10" t="s">
        <v>2485</v>
      </c>
    </row>
    <row r="1039" spans="1:16" s="22" customFormat="1" ht="14.25" customHeight="1" x14ac:dyDescent="0.25">
      <c r="A1039" s="5" t="s">
        <v>190</v>
      </c>
      <c r="B1039" s="22" t="s">
        <v>15</v>
      </c>
      <c r="C1039" s="22" t="s">
        <v>191</v>
      </c>
      <c r="D1039" s="23" t="s">
        <v>192</v>
      </c>
      <c r="E1039" s="24" t="str">
        <f t="shared" si="96"/>
        <v>M1872382E002</v>
      </c>
      <c r="F1039" s="13">
        <v>44172</v>
      </c>
      <c r="G1039" s="13">
        <f t="shared" si="101"/>
        <v>44179</v>
      </c>
      <c r="H1039" s="7">
        <f t="shared" ca="1" si="97"/>
        <v>-924</v>
      </c>
      <c r="I1039" s="8"/>
      <c r="J1039" s="9">
        <f t="shared" ca="1" si="98"/>
        <v>931</v>
      </c>
      <c r="K1039" s="12"/>
      <c r="L1039" s="10" t="str">
        <f t="shared" si="99"/>
        <v>Not Submitted</v>
      </c>
      <c r="M1039" s="11">
        <v>0</v>
      </c>
      <c r="N1039" s="10" t="s">
        <v>18</v>
      </c>
      <c r="O1039" s="42">
        <f t="shared" si="100"/>
        <v>0</v>
      </c>
      <c r="P1039" s="10" t="s">
        <v>2485</v>
      </c>
    </row>
    <row r="1040" spans="1:16" s="22" customFormat="1" ht="14.25" customHeight="1" x14ac:dyDescent="0.25">
      <c r="A1040" s="5" t="s">
        <v>193</v>
      </c>
      <c r="B1040" s="22" t="s">
        <v>15</v>
      </c>
      <c r="C1040" s="22" t="s">
        <v>21</v>
      </c>
      <c r="D1040" s="23" t="s">
        <v>194</v>
      </c>
      <c r="E1040" s="24" t="str">
        <f t="shared" si="96"/>
        <v>M1800764E002</v>
      </c>
      <c r="F1040" s="13">
        <v>44183</v>
      </c>
      <c r="G1040" s="13">
        <f t="shared" si="101"/>
        <v>44190</v>
      </c>
      <c r="H1040" s="7">
        <f t="shared" ca="1" si="97"/>
        <v>-913</v>
      </c>
      <c r="I1040" s="8"/>
      <c r="J1040" s="9">
        <f t="shared" ca="1" si="98"/>
        <v>920</v>
      </c>
      <c r="K1040" s="12"/>
      <c r="L1040" s="10" t="str">
        <f t="shared" si="99"/>
        <v>Not Submitted</v>
      </c>
      <c r="M1040" s="11">
        <v>1</v>
      </c>
      <c r="N1040" s="10" t="s">
        <v>18</v>
      </c>
      <c r="O1040" s="42">
        <f t="shared" si="100"/>
        <v>0</v>
      </c>
      <c r="P1040" s="10" t="s">
        <v>2485</v>
      </c>
    </row>
    <row r="1041" spans="1:16" s="22" customFormat="1" ht="14.25" customHeight="1" x14ac:dyDescent="0.25">
      <c r="A1041" s="16" t="s">
        <v>502</v>
      </c>
      <c r="B1041" s="22" t="s">
        <v>15</v>
      </c>
      <c r="C1041" s="22" t="s">
        <v>503</v>
      </c>
      <c r="D1041" s="23" t="s">
        <v>504</v>
      </c>
      <c r="E1041" s="24" t="str">
        <f t="shared" si="96"/>
        <v>B0056903E004</v>
      </c>
      <c r="F1041" s="13">
        <v>44264</v>
      </c>
      <c r="G1041" s="13">
        <f t="shared" si="101"/>
        <v>44271</v>
      </c>
      <c r="H1041" s="7">
        <f t="shared" ca="1" si="97"/>
        <v>-832</v>
      </c>
      <c r="I1041" s="8"/>
      <c r="J1041" s="9">
        <f t="shared" ca="1" si="98"/>
        <v>839</v>
      </c>
      <c r="K1041" s="10"/>
      <c r="L1041" s="10" t="str">
        <f t="shared" si="99"/>
        <v>Not Submitted</v>
      </c>
      <c r="M1041" s="11">
        <v>0</v>
      </c>
      <c r="N1041" s="10" t="s">
        <v>30</v>
      </c>
      <c r="O1041" s="42">
        <f t="shared" si="100"/>
        <v>0</v>
      </c>
      <c r="P1041" s="10" t="s">
        <v>2485</v>
      </c>
    </row>
    <row r="1042" spans="1:16" s="22" customFormat="1" ht="14.25" customHeight="1" x14ac:dyDescent="0.25">
      <c r="A1042" s="5" t="s">
        <v>710</v>
      </c>
      <c r="B1042" s="22" t="s">
        <v>15</v>
      </c>
      <c r="C1042" s="22" t="s">
        <v>238</v>
      </c>
      <c r="D1042" s="23" t="s">
        <v>711</v>
      </c>
      <c r="E1042" s="24" t="str">
        <f t="shared" si="96"/>
        <v>B0098041E002</v>
      </c>
      <c r="F1042" s="13">
        <v>44326</v>
      </c>
      <c r="G1042" s="13">
        <f t="shared" si="101"/>
        <v>44333</v>
      </c>
      <c r="H1042" s="7">
        <f t="shared" ca="1" si="97"/>
        <v>-770</v>
      </c>
      <c r="I1042" s="8"/>
      <c r="J1042" s="9">
        <f t="shared" ca="1" si="98"/>
        <v>777</v>
      </c>
      <c r="K1042" s="10" t="s">
        <v>712</v>
      </c>
      <c r="L1042" s="10" t="str">
        <f t="shared" si="99"/>
        <v>Rejected</v>
      </c>
      <c r="M1042" s="11">
        <v>1</v>
      </c>
      <c r="N1042" s="10" t="s">
        <v>18</v>
      </c>
      <c r="O1042" s="42">
        <f t="shared" si="100"/>
        <v>0</v>
      </c>
      <c r="P1042" s="10" t="s">
        <v>2485</v>
      </c>
    </row>
    <row r="1043" spans="1:16" s="22" customFormat="1" ht="14.25" customHeight="1" x14ac:dyDescent="0.25">
      <c r="A1043" s="5" t="s">
        <v>713</v>
      </c>
      <c r="B1043" s="22" t="s">
        <v>15</v>
      </c>
      <c r="C1043" s="22" t="s">
        <v>238</v>
      </c>
      <c r="D1043" s="23" t="s">
        <v>714</v>
      </c>
      <c r="E1043" s="24" t="str">
        <f t="shared" si="96"/>
        <v>B0098251E002</v>
      </c>
      <c r="F1043" s="13">
        <v>44326</v>
      </c>
      <c r="G1043" s="13">
        <f t="shared" si="101"/>
        <v>44333</v>
      </c>
      <c r="H1043" s="7">
        <f t="shared" ca="1" si="97"/>
        <v>-770</v>
      </c>
      <c r="I1043" s="8"/>
      <c r="J1043" s="9">
        <f t="shared" ca="1" si="98"/>
        <v>777</v>
      </c>
      <c r="K1043" s="10"/>
      <c r="L1043" s="10" t="str">
        <f t="shared" si="99"/>
        <v>Not Submitted</v>
      </c>
      <c r="M1043" s="11">
        <v>0</v>
      </c>
      <c r="N1043" s="10" t="s">
        <v>18</v>
      </c>
      <c r="O1043" s="42">
        <f t="shared" si="100"/>
        <v>0</v>
      </c>
      <c r="P1043" s="10" t="s">
        <v>2485</v>
      </c>
    </row>
    <row r="1044" spans="1:16" s="22" customFormat="1" ht="14.25" customHeight="1" x14ac:dyDescent="0.25">
      <c r="A1044" s="5" t="s">
        <v>769</v>
      </c>
      <c r="B1044" s="22" t="s">
        <v>716</v>
      </c>
      <c r="C1044" s="22" t="s">
        <v>752</v>
      </c>
      <c r="D1044" s="18" t="s">
        <v>770</v>
      </c>
      <c r="E1044" s="24" t="str">
        <f t="shared" si="96"/>
        <v>S0041382E003</v>
      </c>
      <c r="F1044" s="13">
        <v>44365</v>
      </c>
      <c r="G1044" s="13">
        <f t="shared" ref="G1044:G1075" si="102">F1044+6</f>
        <v>44371</v>
      </c>
      <c r="H1044" s="7">
        <f t="shared" ca="1" si="97"/>
        <v>-732</v>
      </c>
      <c r="I1044" s="13"/>
      <c r="J1044" s="9">
        <f t="shared" ca="1" si="98"/>
        <v>738</v>
      </c>
      <c r="K1044" s="10" t="s">
        <v>771</v>
      </c>
      <c r="L1044" s="10" t="str">
        <f t="shared" si="99"/>
        <v>Rejected</v>
      </c>
      <c r="M1044" s="11">
        <v>1</v>
      </c>
      <c r="N1044" s="10" t="s">
        <v>18</v>
      </c>
      <c r="O1044" s="42">
        <f t="shared" si="100"/>
        <v>0</v>
      </c>
      <c r="P1044" s="10" t="s">
        <v>2485</v>
      </c>
    </row>
    <row r="1045" spans="1:16" s="22" customFormat="1" ht="14.25" customHeight="1" x14ac:dyDescent="0.25">
      <c r="A1045" s="5" t="s">
        <v>772</v>
      </c>
      <c r="B1045" s="22" t="s">
        <v>716</v>
      </c>
      <c r="C1045" s="22" t="s">
        <v>2471</v>
      </c>
      <c r="D1045" s="18" t="s">
        <v>773</v>
      </c>
      <c r="E1045" s="24" t="str">
        <f t="shared" si="96"/>
        <v>S0401451E002</v>
      </c>
      <c r="F1045" s="13">
        <v>44365</v>
      </c>
      <c r="G1045" s="13">
        <f t="shared" si="102"/>
        <v>44371</v>
      </c>
      <c r="H1045" s="7">
        <f t="shared" ca="1" si="97"/>
        <v>-732</v>
      </c>
      <c r="I1045" s="13"/>
      <c r="J1045" s="9">
        <f t="shared" ca="1" si="98"/>
        <v>738</v>
      </c>
      <c r="K1045" s="10" t="s">
        <v>771</v>
      </c>
      <c r="L1045" s="10" t="str">
        <f t="shared" si="99"/>
        <v>Rejected</v>
      </c>
      <c r="M1045" s="11">
        <v>1</v>
      </c>
      <c r="N1045" s="10" t="s">
        <v>18</v>
      </c>
      <c r="O1045" s="42">
        <f t="shared" si="100"/>
        <v>0</v>
      </c>
      <c r="P1045" s="10" t="s">
        <v>2485</v>
      </c>
    </row>
    <row r="1046" spans="1:16" s="22" customFormat="1" ht="14.25" customHeight="1" x14ac:dyDescent="0.25">
      <c r="A1046" s="5" t="s">
        <v>1075</v>
      </c>
      <c r="B1046" s="22" t="s">
        <v>716</v>
      </c>
      <c r="C1046" s="22" t="s">
        <v>985</v>
      </c>
      <c r="D1046" s="18" t="s">
        <v>1076</v>
      </c>
      <c r="E1046" s="24" t="str">
        <f t="shared" si="96"/>
        <v>S0041211P014</v>
      </c>
      <c r="F1046" s="13">
        <v>44382</v>
      </c>
      <c r="G1046" s="13">
        <f t="shared" si="102"/>
        <v>44388</v>
      </c>
      <c r="H1046" s="7">
        <f t="shared" ca="1" si="97"/>
        <v>-715</v>
      </c>
      <c r="I1046" s="13"/>
      <c r="J1046" s="9">
        <f t="shared" ca="1" si="98"/>
        <v>721</v>
      </c>
      <c r="K1046" s="10"/>
      <c r="L1046" s="10" t="str">
        <f t="shared" si="99"/>
        <v>Not Submitted</v>
      </c>
      <c r="M1046" s="11">
        <v>0</v>
      </c>
      <c r="N1046" s="10" t="s">
        <v>18</v>
      </c>
      <c r="O1046" s="42">
        <f t="shared" si="100"/>
        <v>0</v>
      </c>
      <c r="P1046" s="10" t="s">
        <v>2485</v>
      </c>
    </row>
    <row r="1047" spans="1:16" s="22" customFormat="1" ht="14.25" customHeight="1" x14ac:dyDescent="0.25">
      <c r="A1047" s="5" t="s">
        <v>1077</v>
      </c>
      <c r="B1047" s="22" t="s">
        <v>716</v>
      </c>
      <c r="C1047" s="22" t="s">
        <v>985</v>
      </c>
      <c r="D1047" s="18" t="s">
        <v>1078</v>
      </c>
      <c r="E1047" s="24" t="str">
        <f t="shared" si="96"/>
        <v>S0041211P015</v>
      </c>
      <c r="F1047" s="13">
        <v>44382</v>
      </c>
      <c r="G1047" s="13">
        <f t="shared" si="102"/>
        <v>44388</v>
      </c>
      <c r="H1047" s="7">
        <f t="shared" ca="1" si="97"/>
        <v>-715</v>
      </c>
      <c r="I1047" s="13"/>
      <c r="J1047" s="9">
        <f t="shared" ca="1" si="98"/>
        <v>721</v>
      </c>
      <c r="K1047" s="10"/>
      <c r="L1047" s="10" t="str">
        <f t="shared" si="99"/>
        <v>Not Submitted</v>
      </c>
      <c r="M1047" s="11">
        <v>0</v>
      </c>
      <c r="N1047" s="10" t="s">
        <v>18</v>
      </c>
      <c r="O1047" s="42">
        <f t="shared" si="100"/>
        <v>0</v>
      </c>
      <c r="P1047" s="10" t="s">
        <v>2485</v>
      </c>
    </row>
    <row r="1048" spans="1:16" s="22" customFormat="1" ht="14.25" customHeight="1" x14ac:dyDescent="0.25">
      <c r="A1048" s="5" t="s">
        <v>1079</v>
      </c>
      <c r="B1048" s="22" t="s">
        <v>716</v>
      </c>
      <c r="C1048" s="22" t="s">
        <v>985</v>
      </c>
      <c r="D1048" s="18" t="s">
        <v>1080</v>
      </c>
      <c r="E1048" s="24" t="str">
        <f t="shared" si="96"/>
        <v>S0081061E001</v>
      </c>
      <c r="F1048" s="13">
        <v>44382</v>
      </c>
      <c r="G1048" s="13">
        <f t="shared" si="102"/>
        <v>44388</v>
      </c>
      <c r="H1048" s="7">
        <f t="shared" ca="1" si="97"/>
        <v>-715</v>
      </c>
      <c r="I1048" s="13"/>
      <c r="J1048" s="9">
        <f t="shared" ca="1" si="98"/>
        <v>721</v>
      </c>
      <c r="K1048" s="10"/>
      <c r="L1048" s="10" t="str">
        <f t="shared" si="99"/>
        <v>Not Submitted</v>
      </c>
      <c r="M1048" s="11">
        <v>0</v>
      </c>
      <c r="N1048" s="10" t="s">
        <v>18</v>
      </c>
      <c r="O1048" s="42">
        <f t="shared" si="100"/>
        <v>0</v>
      </c>
      <c r="P1048" s="10" t="s">
        <v>2485</v>
      </c>
    </row>
    <row r="1049" spans="1:16" s="22" customFormat="1" ht="14.25" customHeight="1" x14ac:dyDescent="0.25">
      <c r="A1049" s="5" t="s">
        <v>1081</v>
      </c>
      <c r="B1049" s="22" t="s">
        <v>716</v>
      </c>
      <c r="C1049" s="22" t="s">
        <v>992</v>
      </c>
      <c r="D1049" s="18" t="s">
        <v>1082</v>
      </c>
      <c r="E1049" s="24" t="str">
        <f t="shared" si="96"/>
        <v>S0510741E001</v>
      </c>
      <c r="F1049" s="13">
        <v>44382</v>
      </c>
      <c r="G1049" s="13">
        <f t="shared" si="102"/>
        <v>44388</v>
      </c>
      <c r="H1049" s="7">
        <f t="shared" ca="1" si="97"/>
        <v>-715</v>
      </c>
      <c r="I1049" s="13"/>
      <c r="J1049" s="9">
        <f t="shared" ca="1" si="98"/>
        <v>721</v>
      </c>
      <c r="K1049" s="10"/>
      <c r="L1049" s="10" t="str">
        <f t="shared" si="99"/>
        <v>Not Submitted</v>
      </c>
      <c r="M1049" s="11">
        <v>0</v>
      </c>
      <c r="N1049" s="10" t="s">
        <v>18</v>
      </c>
      <c r="O1049" s="42">
        <f t="shared" si="100"/>
        <v>0</v>
      </c>
      <c r="P1049" s="10" t="s">
        <v>2485</v>
      </c>
    </row>
    <row r="1050" spans="1:16" s="22" customFormat="1" ht="14.25" customHeight="1" x14ac:dyDescent="0.25">
      <c r="A1050" s="5" t="s">
        <v>1083</v>
      </c>
      <c r="B1050" s="22" t="s">
        <v>716</v>
      </c>
      <c r="C1050" s="22" t="s">
        <v>992</v>
      </c>
      <c r="D1050" s="18" t="s">
        <v>1084</v>
      </c>
      <c r="E1050" s="24" t="str">
        <f t="shared" si="96"/>
        <v>S0510741E002</v>
      </c>
      <c r="F1050" s="13">
        <v>44382</v>
      </c>
      <c r="G1050" s="13">
        <f t="shared" si="102"/>
        <v>44388</v>
      </c>
      <c r="H1050" s="7">
        <f t="shared" ca="1" si="97"/>
        <v>-715</v>
      </c>
      <c r="I1050" s="13"/>
      <c r="J1050" s="9">
        <f t="shared" ca="1" si="98"/>
        <v>721</v>
      </c>
      <c r="K1050" s="10"/>
      <c r="L1050" s="10" t="str">
        <f t="shared" si="99"/>
        <v>Not Submitted</v>
      </c>
      <c r="M1050" s="11">
        <v>0</v>
      </c>
      <c r="N1050" s="10" t="s">
        <v>18</v>
      </c>
      <c r="O1050" s="42">
        <f t="shared" si="100"/>
        <v>0</v>
      </c>
      <c r="P1050" s="10" t="s">
        <v>2485</v>
      </c>
    </row>
    <row r="1051" spans="1:16" s="22" customFormat="1" ht="14.25" customHeight="1" x14ac:dyDescent="0.25">
      <c r="A1051" s="5" t="s">
        <v>1085</v>
      </c>
      <c r="B1051" s="22" t="s">
        <v>716</v>
      </c>
      <c r="C1051" s="22" t="s">
        <v>992</v>
      </c>
      <c r="D1051" s="18" t="s">
        <v>1086</v>
      </c>
      <c r="E1051" s="24" t="str">
        <f t="shared" si="96"/>
        <v>S0501221E029</v>
      </c>
      <c r="F1051" s="13">
        <v>44382</v>
      </c>
      <c r="G1051" s="13">
        <f t="shared" si="102"/>
        <v>44388</v>
      </c>
      <c r="H1051" s="7">
        <f t="shared" ca="1" si="97"/>
        <v>-715</v>
      </c>
      <c r="I1051" s="13"/>
      <c r="J1051" s="9">
        <f t="shared" ca="1" si="98"/>
        <v>721</v>
      </c>
      <c r="K1051" s="10"/>
      <c r="L1051" s="10" t="str">
        <f t="shared" si="99"/>
        <v>Not Submitted</v>
      </c>
      <c r="M1051" s="11">
        <v>0</v>
      </c>
      <c r="N1051" s="10" t="s">
        <v>18</v>
      </c>
      <c r="O1051" s="42">
        <f t="shared" si="100"/>
        <v>0</v>
      </c>
      <c r="P1051" s="10" t="s">
        <v>2485</v>
      </c>
    </row>
    <row r="1052" spans="1:16" s="22" customFormat="1" ht="14.25" customHeight="1" x14ac:dyDescent="0.25">
      <c r="A1052" s="5" t="s">
        <v>1087</v>
      </c>
      <c r="B1052" s="22" t="s">
        <v>716</v>
      </c>
      <c r="C1052" s="22" t="s">
        <v>1043</v>
      </c>
      <c r="D1052" s="18" t="s">
        <v>1088</v>
      </c>
      <c r="E1052" s="24" t="str">
        <f t="shared" si="96"/>
        <v>S0510981E020</v>
      </c>
      <c r="F1052" s="13">
        <v>44382</v>
      </c>
      <c r="G1052" s="13">
        <f t="shared" si="102"/>
        <v>44388</v>
      </c>
      <c r="H1052" s="7">
        <f t="shared" ca="1" si="97"/>
        <v>-715</v>
      </c>
      <c r="I1052" s="13"/>
      <c r="J1052" s="9">
        <f t="shared" ca="1" si="98"/>
        <v>721</v>
      </c>
      <c r="K1052" s="10"/>
      <c r="L1052" s="10" t="str">
        <f t="shared" si="99"/>
        <v>Not Submitted</v>
      </c>
      <c r="M1052" s="11">
        <v>0</v>
      </c>
      <c r="N1052" s="10" t="s">
        <v>18</v>
      </c>
      <c r="O1052" s="42">
        <f t="shared" si="100"/>
        <v>0</v>
      </c>
      <c r="P1052" s="10" t="s">
        <v>2485</v>
      </c>
    </row>
    <row r="1053" spans="1:16" s="22" customFormat="1" ht="14.25" customHeight="1" x14ac:dyDescent="0.25">
      <c r="A1053" s="5" t="s">
        <v>1089</v>
      </c>
      <c r="B1053" s="22" t="s">
        <v>716</v>
      </c>
      <c r="C1053" s="22" t="s">
        <v>1043</v>
      </c>
      <c r="D1053" s="18" t="s">
        <v>1090</v>
      </c>
      <c r="E1053" s="24" t="str">
        <f t="shared" si="96"/>
        <v>S0511001E015</v>
      </c>
      <c r="F1053" s="13">
        <v>44382</v>
      </c>
      <c r="G1053" s="13">
        <f t="shared" si="102"/>
        <v>44388</v>
      </c>
      <c r="H1053" s="7">
        <f t="shared" ca="1" si="97"/>
        <v>-715</v>
      </c>
      <c r="I1053" s="13"/>
      <c r="J1053" s="9">
        <f t="shared" ca="1" si="98"/>
        <v>721</v>
      </c>
      <c r="K1053" s="10"/>
      <c r="L1053" s="10" t="str">
        <f t="shared" si="99"/>
        <v>Not Submitted</v>
      </c>
      <c r="M1053" s="11">
        <v>0</v>
      </c>
      <c r="N1053" s="10" t="s">
        <v>18</v>
      </c>
      <c r="O1053" s="42">
        <f t="shared" si="100"/>
        <v>0</v>
      </c>
      <c r="P1053" s="10" t="s">
        <v>2485</v>
      </c>
    </row>
    <row r="1054" spans="1:16" s="22" customFormat="1" ht="14.25" customHeight="1" x14ac:dyDescent="0.25">
      <c r="A1054" s="5" t="s">
        <v>1091</v>
      </c>
      <c r="B1054" s="22" t="s">
        <v>716</v>
      </c>
      <c r="C1054" s="22" t="s">
        <v>1043</v>
      </c>
      <c r="D1054" s="18" t="s">
        <v>1092</v>
      </c>
      <c r="E1054" s="24" t="str">
        <f t="shared" si="96"/>
        <v>S0511022E042</v>
      </c>
      <c r="F1054" s="13">
        <v>44382</v>
      </c>
      <c r="G1054" s="13">
        <f t="shared" si="102"/>
        <v>44388</v>
      </c>
      <c r="H1054" s="7">
        <f t="shared" ca="1" si="97"/>
        <v>-715</v>
      </c>
      <c r="I1054" s="13"/>
      <c r="J1054" s="9">
        <f t="shared" ca="1" si="98"/>
        <v>721</v>
      </c>
      <c r="K1054" s="10"/>
      <c r="L1054" s="10" t="str">
        <f t="shared" si="99"/>
        <v>Not Submitted</v>
      </c>
      <c r="M1054" s="11">
        <v>0</v>
      </c>
      <c r="N1054" s="10" t="s">
        <v>18</v>
      </c>
      <c r="O1054" s="42">
        <f t="shared" si="100"/>
        <v>0</v>
      </c>
      <c r="P1054" s="10" t="s">
        <v>2485</v>
      </c>
    </row>
    <row r="1055" spans="1:16" s="22" customFormat="1" ht="14.25" customHeight="1" x14ac:dyDescent="0.25">
      <c r="A1055" s="5" t="s">
        <v>1093</v>
      </c>
      <c r="B1055" s="22" t="s">
        <v>716</v>
      </c>
      <c r="C1055" s="22" t="s">
        <v>1043</v>
      </c>
      <c r="D1055" s="18" t="s">
        <v>1094</v>
      </c>
      <c r="E1055" s="24" t="str">
        <f t="shared" si="96"/>
        <v>S0501131E002</v>
      </c>
      <c r="F1055" s="13">
        <v>44382</v>
      </c>
      <c r="G1055" s="13">
        <f t="shared" si="102"/>
        <v>44388</v>
      </c>
      <c r="H1055" s="7">
        <f t="shared" ca="1" si="97"/>
        <v>-715</v>
      </c>
      <c r="I1055" s="13"/>
      <c r="J1055" s="9">
        <f t="shared" ca="1" si="98"/>
        <v>721</v>
      </c>
      <c r="K1055" s="10"/>
      <c r="L1055" s="10" t="str">
        <f t="shared" si="99"/>
        <v>Not Submitted</v>
      </c>
      <c r="M1055" s="11">
        <v>0</v>
      </c>
      <c r="N1055" s="10" t="s">
        <v>18</v>
      </c>
      <c r="O1055" s="42">
        <f t="shared" si="100"/>
        <v>0</v>
      </c>
      <c r="P1055" s="10" t="s">
        <v>2485</v>
      </c>
    </row>
    <row r="1056" spans="1:16" s="22" customFormat="1" ht="14.25" customHeight="1" x14ac:dyDescent="0.25">
      <c r="A1056" s="5" t="s">
        <v>1095</v>
      </c>
      <c r="B1056" s="22" t="s">
        <v>716</v>
      </c>
      <c r="C1056" s="22" t="s">
        <v>1043</v>
      </c>
      <c r="D1056" s="18" t="s">
        <v>1096</v>
      </c>
      <c r="E1056" s="24" t="str">
        <f t="shared" si="96"/>
        <v>S0501211E022</v>
      </c>
      <c r="F1056" s="13">
        <v>44382</v>
      </c>
      <c r="G1056" s="13">
        <f t="shared" si="102"/>
        <v>44388</v>
      </c>
      <c r="H1056" s="7">
        <f t="shared" ca="1" si="97"/>
        <v>-715</v>
      </c>
      <c r="I1056" s="13"/>
      <c r="J1056" s="9">
        <f t="shared" ca="1" si="98"/>
        <v>721</v>
      </c>
      <c r="K1056" s="10"/>
      <c r="L1056" s="10" t="str">
        <f t="shared" si="99"/>
        <v>Not Submitted</v>
      </c>
      <c r="M1056" s="11">
        <v>0</v>
      </c>
      <c r="N1056" s="10" t="s">
        <v>18</v>
      </c>
      <c r="O1056" s="42">
        <f t="shared" si="100"/>
        <v>0</v>
      </c>
      <c r="P1056" s="10" t="s">
        <v>2485</v>
      </c>
    </row>
    <row r="1057" spans="1:16" s="22" customFormat="1" ht="14.25" customHeight="1" x14ac:dyDescent="0.25">
      <c r="A1057" s="5" t="s">
        <v>1097</v>
      </c>
      <c r="B1057" s="22" t="s">
        <v>716</v>
      </c>
      <c r="C1057" s="22" t="s">
        <v>1043</v>
      </c>
      <c r="D1057" s="18" t="s">
        <v>1098</v>
      </c>
      <c r="E1057" s="24" t="str">
        <f t="shared" si="96"/>
        <v>S0501221E030</v>
      </c>
      <c r="F1057" s="13">
        <v>44382</v>
      </c>
      <c r="G1057" s="13">
        <f t="shared" si="102"/>
        <v>44388</v>
      </c>
      <c r="H1057" s="7">
        <f t="shared" ca="1" si="97"/>
        <v>-715</v>
      </c>
      <c r="I1057" s="13"/>
      <c r="J1057" s="9">
        <f t="shared" ca="1" si="98"/>
        <v>721</v>
      </c>
      <c r="K1057" s="10"/>
      <c r="L1057" s="10" t="str">
        <f t="shared" si="99"/>
        <v>Not Submitted</v>
      </c>
      <c r="M1057" s="11">
        <v>0</v>
      </c>
      <c r="N1057" s="10" t="s">
        <v>18</v>
      </c>
      <c r="O1057" s="42">
        <f t="shared" si="100"/>
        <v>0</v>
      </c>
      <c r="P1057" s="10" t="s">
        <v>2485</v>
      </c>
    </row>
    <row r="1058" spans="1:16" s="22" customFormat="1" ht="14.25" customHeight="1" x14ac:dyDescent="0.25">
      <c r="A1058" s="5" t="s">
        <v>1099</v>
      </c>
      <c r="B1058" s="22" t="s">
        <v>716</v>
      </c>
      <c r="C1058" s="22" t="s">
        <v>1043</v>
      </c>
      <c r="D1058" s="18" t="s">
        <v>1100</v>
      </c>
      <c r="E1058" s="24" t="str">
        <f t="shared" si="96"/>
        <v>S0501221E031</v>
      </c>
      <c r="F1058" s="13">
        <v>44382</v>
      </c>
      <c r="G1058" s="13">
        <f t="shared" si="102"/>
        <v>44388</v>
      </c>
      <c r="H1058" s="7">
        <f t="shared" ca="1" si="97"/>
        <v>-715</v>
      </c>
      <c r="I1058" s="13"/>
      <c r="J1058" s="9">
        <f t="shared" ca="1" si="98"/>
        <v>721</v>
      </c>
      <c r="K1058" s="10"/>
      <c r="L1058" s="10" t="str">
        <f t="shared" si="99"/>
        <v>Not Submitted</v>
      </c>
      <c r="M1058" s="11">
        <v>0</v>
      </c>
      <c r="N1058" s="10" t="s">
        <v>18</v>
      </c>
      <c r="O1058" s="42">
        <f t="shared" si="100"/>
        <v>0</v>
      </c>
      <c r="P1058" s="10" t="s">
        <v>2485</v>
      </c>
    </row>
    <row r="1059" spans="1:16" s="22" customFormat="1" ht="14.25" customHeight="1" x14ac:dyDescent="0.25">
      <c r="A1059" s="5" t="s">
        <v>1101</v>
      </c>
      <c r="B1059" s="22" t="s">
        <v>716</v>
      </c>
      <c r="C1059" s="22" t="s">
        <v>1043</v>
      </c>
      <c r="D1059" s="18" t="s">
        <v>1102</v>
      </c>
      <c r="E1059" s="24" t="str">
        <f t="shared" si="96"/>
        <v>S0501231E032</v>
      </c>
      <c r="F1059" s="13">
        <v>44382</v>
      </c>
      <c r="G1059" s="13">
        <f t="shared" si="102"/>
        <v>44388</v>
      </c>
      <c r="H1059" s="7">
        <f t="shared" ca="1" si="97"/>
        <v>-715</v>
      </c>
      <c r="I1059" s="13"/>
      <c r="J1059" s="9">
        <f t="shared" ca="1" si="98"/>
        <v>721</v>
      </c>
      <c r="K1059" s="10"/>
      <c r="L1059" s="10" t="str">
        <f t="shared" si="99"/>
        <v>Not Submitted</v>
      </c>
      <c r="M1059" s="11">
        <v>0</v>
      </c>
      <c r="N1059" s="10" t="s">
        <v>18</v>
      </c>
      <c r="O1059" s="42">
        <f t="shared" si="100"/>
        <v>0</v>
      </c>
      <c r="P1059" s="10" t="s">
        <v>2485</v>
      </c>
    </row>
    <row r="1060" spans="1:16" s="22" customFormat="1" ht="14.25" customHeight="1" x14ac:dyDescent="0.25">
      <c r="A1060" s="5" t="s">
        <v>1180</v>
      </c>
      <c r="B1060" s="22" t="s">
        <v>716</v>
      </c>
      <c r="C1060" s="22" t="s">
        <v>1043</v>
      </c>
      <c r="D1060" s="18" t="s">
        <v>1181</v>
      </c>
      <c r="E1060" s="24" t="str">
        <f t="shared" si="96"/>
        <v>S0061541E001</v>
      </c>
      <c r="F1060" s="13">
        <v>44389</v>
      </c>
      <c r="G1060" s="13">
        <f t="shared" si="102"/>
        <v>44395</v>
      </c>
      <c r="H1060" s="7">
        <f t="shared" ca="1" si="97"/>
        <v>-708</v>
      </c>
      <c r="I1060" s="13"/>
      <c r="J1060" s="9">
        <f t="shared" ca="1" si="98"/>
        <v>714</v>
      </c>
      <c r="K1060" s="10"/>
      <c r="L1060" s="10" t="str">
        <f t="shared" si="99"/>
        <v>Not Submitted</v>
      </c>
      <c r="M1060" s="11">
        <v>0</v>
      </c>
      <c r="N1060" s="10" t="s">
        <v>18</v>
      </c>
      <c r="O1060" s="42">
        <f t="shared" si="100"/>
        <v>0</v>
      </c>
      <c r="P1060" s="10" t="s">
        <v>2485</v>
      </c>
    </row>
    <row r="1061" spans="1:16" s="22" customFormat="1" ht="14.25" customHeight="1" x14ac:dyDescent="0.25">
      <c r="A1061" s="5" t="s">
        <v>1182</v>
      </c>
      <c r="B1061" s="22" t="s">
        <v>716</v>
      </c>
      <c r="C1061" s="22" t="s">
        <v>1138</v>
      </c>
      <c r="D1061" s="18" t="s">
        <v>1183</v>
      </c>
      <c r="E1061" s="24" t="str">
        <f t="shared" si="96"/>
        <v>S0070961E005</v>
      </c>
      <c r="F1061" s="13">
        <v>44389</v>
      </c>
      <c r="G1061" s="13">
        <f t="shared" si="102"/>
        <v>44395</v>
      </c>
      <c r="H1061" s="7">
        <f t="shared" ca="1" si="97"/>
        <v>-708</v>
      </c>
      <c r="I1061" s="13"/>
      <c r="J1061" s="9">
        <f t="shared" ca="1" si="98"/>
        <v>714</v>
      </c>
      <c r="K1061" s="10"/>
      <c r="L1061" s="10" t="str">
        <f t="shared" si="99"/>
        <v>Not Submitted</v>
      </c>
      <c r="M1061" s="11">
        <v>0</v>
      </c>
      <c r="N1061" s="10" t="s">
        <v>18</v>
      </c>
      <c r="O1061" s="42">
        <f t="shared" si="100"/>
        <v>0</v>
      </c>
      <c r="P1061" s="10" t="s">
        <v>2485</v>
      </c>
    </row>
    <row r="1062" spans="1:16" s="22" customFormat="1" ht="14.25" customHeight="1" x14ac:dyDescent="0.25">
      <c r="A1062" s="5" t="s">
        <v>1184</v>
      </c>
      <c r="B1062" s="22" t="s">
        <v>716</v>
      </c>
      <c r="C1062" s="22" t="s">
        <v>1138</v>
      </c>
      <c r="D1062" s="18" t="s">
        <v>1185</v>
      </c>
      <c r="E1062" s="24" t="str">
        <f t="shared" si="96"/>
        <v>S0040843E005</v>
      </c>
      <c r="F1062" s="13">
        <v>44389</v>
      </c>
      <c r="G1062" s="13">
        <f t="shared" si="102"/>
        <v>44395</v>
      </c>
      <c r="H1062" s="7">
        <f t="shared" ca="1" si="97"/>
        <v>-708</v>
      </c>
      <c r="I1062" s="13"/>
      <c r="J1062" s="9">
        <f t="shared" ca="1" si="98"/>
        <v>714</v>
      </c>
      <c r="K1062" s="10"/>
      <c r="L1062" s="10" t="str">
        <f t="shared" si="99"/>
        <v>Not Submitted</v>
      </c>
      <c r="M1062" s="11">
        <v>0</v>
      </c>
      <c r="N1062" s="10" t="s">
        <v>18</v>
      </c>
      <c r="O1062" s="42">
        <f t="shared" si="100"/>
        <v>0</v>
      </c>
      <c r="P1062" s="10" t="s">
        <v>2485</v>
      </c>
    </row>
    <row r="1063" spans="1:16" s="22" customFormat="1" ht="14.25" customHeight="1" x14ac:dyDescent="0.25">
      <c r="A1063" s="5" t="s">
        <v>1186</v>
      </c>
      <c r="B1063" s="22" t="s">
        <v>716</v>
      </c>
      <c r="C1063" s="22" t="s">
        <v>1138</v>
      </c>
      <c r="D1063" s="18" t="s">
        <v>1187</v>
      </c>
      <c r="E1063" s="24" t="str">
        <f t="shared" si="96"/>
        <v>S0040841E002</v>
      </c>
      <c r="F1063" s="13">
        <v>44389</v>
      </c>
      <c r="G1063" s="13">
        <f t="shared" si="102"/>
        <v>44395</v>
      </c>
      <c r="H1063" s="7">
        <f t="shared" ca="1" si="97"/>
        <v>-708</v>
      </c>
      <c r="I1063" s="13"/>
      <c r="J1063" s="9">
        <f t="shared" ca="1" si="98"/>
        <v>714</v>
      </c>
      <c r="K1063" s="10"/>
      <c r="L1063" s="10" t="str">
        <f t="shared" si="99"/>
        <v>Not Submitted</v>
      </c>
      <c r="M1063" s="11">
        <v>0</v>
      </c>
      <c r="N1063" s="10" t="s">
        <v>18</v>
      </c>
      <c r="O1063" s="42">
        <f t="shared" si="100"/>
        <v>0</v>
      </c>
      <c r="P1063" s="10" t="s">
        <v>2485</v>
      </c>
    </row>
    <row r="1064" spans="1:16" s="22" customFormat="1" ht="14.25" customHeight="1" x14ac:dyDescent="0.25">
      <c r="A1064" s="5" t="s">
        <v>1188</v>
      </c>
      <c r="B1064" s="22" t="s">
        <v>716</v>
      </c>
      <c r="C1064" s="22" t="s">
        <v>787</v>
      </c>
      <c r="D1064" s="18" t="s">
        <v>1189</v>
      </c>
      <c r="E1064" s="24" t="str">
        <f t="shared" si="96"/>
        <v>S0060831E003</v>
      </c>
      <c r="F1064" s="13">
        <v>44389</v>
      </c>
      <c r="G1064" s="13">
        <f t="shared" si="102"/>
        <v>44395</v>
      </c>
      <c r="H1064" s="7">
        <f t="shared" ca="1" si="97"/>
        <v>-708</v>
      </c>
      <c r="I1064" s="13"/>
      <c r="J1064" s="9">
        <f t="shared" ca="1" si="98"/>
        <v>714</v>
      </c>
      <c r="K1064" s="10"/>
      <c r="L1064" s="10" t="str">
        <f t="shared" si="99"/>
        <v>Not Submitted</v>
      </c>
      <c r="M1064" s="11">
        <v>0</v>
      </c>
      <c r="N1064" s="10" t="s">
        <v>18</v>
      </c>
      <c r="O1064" s="42">
        <f t="shared" si="100"/>
        <v>0</v>
      </c>
      <c r="P1064" s="10" t="s">
        <v>2485</v>
      </c>
    </row>
    <row r="1065" spans="1:16" s="22" customFormat="1" ht="14.25" customHeight="1" x14ac:dyDescent="0.25">
      <c r="A1065" s="5" t="s">
        <v>1190</v>
      </c>
      <c r="B1065" s="22" t="s">
        <v>716</v>
      </c>
      <c r="C1065" s="22" t="s">
        <v>2470</v>
      </c>
      <c r="D1065" s="18" t="s">
        <v>1191</v>
      </c>
      <c r="E1065" s="24" t="str">
        <f t="shared" si="96"/>
        <v>S0101211E003</v>
      </c>
      <c r="F1065" s="13">
        <v>44389</v>
      </c>
      <c r="G1065" s="13">
        <f t="shared" si="102"/>
        <v>44395</v>
      </c>
      <c r="H1065" s="7">
        <f t="shared" ca="1" si="97"/>
        <v>-708</v>
      </c>
      <c r="I1065" s="13"/>
      <c r="J1065" s="9">
        <f t="shared" ca="1" si="98"/>
        <v>714</v>
      </c>
      <c r="K1065" s="10"/>
      <c r="L1065" s="10" t="str">
        <f t="shared" si="99"/>
        <v>Not Submitted</v>
      </c>
      <c r="M1065" s="11">
        <v>0</v>
      </c>
      <c r="N1065" s="10" t="s">
        <v>18</v>
      </c>
      <c r="O1065" s="42">
        <f t="shared" si="100"/>
        <v>0</v>
      </c>
      <c r="P1065" s="10" t="s">
        <v>2485</v>
      </c>
    </row>
    <row r="1066" spans="1:16" s="22" customFormat="1" ht="14.25" customHeight="1" x14ac:dyDescent="0.25">
      <c r="A1066" s="5" t="s">
        <v>1192</v>
      </c>
      <c r="B1066" s="22" t="s">
        <v>716</v>
      </c>
      <c r="C1066" s="22" t="s">
        <v>2470</v>
      </c>
      <c r="D1066" s="18" t="s">
        <v>1193</v>
      </c>
      <c r="E1066" s="24" t="str">
        <f t="shared" si="96"/>
        <v>S0140331E001</v>
      </c>
      <c r="F1066" s="13">
        <v>44389</v>
      </c>
      <c r="G1066" s="13">
        <f t="shared" si="102"/>
        <v>44395</v>
      </c>
      <c r="H1066" s="7">
        <f t="shared" ca="1" si="97"/>
        <v>-708</v>
      </c>
      <c r="I1066" s="13"/>
      <c r="J1066" s="9">
        <f t="shared" ca="1" si="98"/>
        <v>714</v>
      </c>
      <c r="K1066" s="10"/>
      <c r="L1066" s="10" t="str">
        <f t="shared" si="99"/>
        <v>Not Submitted</v>
      </c>
      <c r="M1066" s="11">
        <v>0</v>
      </c>
      <c r="N1066" s="10" t="s">
        <v>18</v>
      </c>
      <c r="O1066" s="42">
        <f t="shared" si="100"/>
        <v>0</v>
      </c>
      <c r="P1066" s="10" t="s">
        <v>2485</v>
      </c>
    </row>
    <row r="1067" spans="1:16" s="22" customFormat="1" ht="14.25" customHeight="1" x14ac:dyDescent="0.25">
      <c r="A1067" s="5" t="s">
        <v>1194</v>
      </c>
      <c r="B1067" s="22" t="s">
        <v>716</v>
      </c>
      <c r="C1067" s="22" t="s">
        <v>2505</v>
      </c>
      <c r="D1067" s="18" t="s">
        <v>1195</v>
      </c>
      <c r="E1067" s="24" t="str">
        <f t="shared" si="96"/>
        <v>S0130662E004</v>
      </c>
      <c r="F1067" s="13">
        <v>44389</v>
      </c>
      <c r="G1067" s="13">
        <f t="shared" si="102"/>
        <v>44395</v>
      </c>
      <c r="H1067" s="7">
        <f t="shared" ca="1" si="97"/>
        <v>-708</v>
      </c>
      <c r="I1067" s="13"/>
      <c r="J1067" s="9">
        <f t="shared" ca="1" si="98"/>
        <v>714</v>
      </c>
      <c r="K1067" s="10"/>
      <c r="L1067" s="10" t="str">
        <f t="shared" si="99"/>
        <v>Not Submitted</v>
      </c>
      <c r="M1067" s="11">
        <v>0</v>
      </c>
      <c r="N1067" s="10" t="s">
        <v>18</v>
      </c>
      <c r="O1067" s="42">
        <f t="shared" si="100"/>
        <v>0</v>
      </c>
      <c r="P1067" s="10" t="s">
        <v>2485</v>
      </c>
    </row>
    <row r="1068" spans="1:16" s="22" customFormat="1" ht="14.25" customHeight="1" x14ac:dyDescent="0.25">
      <c r="A1068" s="5" t="s">
        <v>1196</v>
      </c>
      <c r="B1068" s="22" t="s">
        <v>716</v>
      </c>
      <c r="C1068" s="22" t="s">
        <v>2505</v>
      </c>
      <c r="D1068" s="18" t="s">
        <v>1197</v>
      </c>
      <c r="E1068" s="24" t="str">
        <f t="shared" si="96"/>
        <v>S0130662E003</v>
      </c>
      <c r="F1068" s="13">
        <v>44389</v>
      </c>
      <c r="G1068" s="13">
        <f t="shared" si="102"/>
        <v>44395</v>
      </c>
      <c r="H1068" s="7">
        <f t="shared" ca="1" si="97"/>
        <v>-708</v>
      </c>
      <c r="I1068" s="13"/>
      <c r="J1068" s="9">
        <f t="shared" ca="1" si="98"/>
        <v>714</v>
      </c>
      <c r="K1068" s="10"/>
      <c r="L1068" s="10" t="str">
        <f t="shared" si="99"/>
        <v>Not Submitted</v>
      </c>
      <c r="M1068" s="11">
        <v>0</v>
      </c>
      <c r="N1068" s="10" t="s">
        <v>18</v>
      </c>
      <c r="O1068" s="42">
        <f t="shared" si="100"/>
        <v>0</v>
      </c>
      <c r="P1068" s="10" t="s">
        <v>2485</v>
      </c>
    </row>
    <row r="1069" spans="1:16" s="22" customFormat="1" ht="14.25" customHeight="1" x14ac:dyDescent="0.25">
      <c r="A1069" s="5" t="s">
        <v>1198</v>
      </c>
      <c r="B1069" s="22" t="s">
        <v>716</v>
      </c>
      <c r="C1069" s="22" t="s">
        <v>2505</v>
      </c>
      <c r="D1069" s="18" t="s">
        <v>1199</v>
      </c>
      <c r="E1069" s="24" t="str">
        <f t="shared" si="96"/>
        <v>S0130721E002</v>
      </c>
      <c r="F1069" s="13">
        <v>44389</v>
      </c>
      <c r="G1069" s="13">
        <f t="shared" si="102"/>
        <v>44395</v>
      </c>
      <c r="H1069" s="7">
        <f t="shared" ca="1" si="97"/>
        <v>-708</v>
      </c>
      <c r="I1069" s="13"/>
      <c r="J1069" s="9">
        <f t="shared" ca="1" si="98"/>
        <v>714</v>
      </c>
      <c r="K1069" s="10"/>
      <c r="L1069" s="10" t="str">
        <f t="shared" si="99"/>
        <v>Not Submitted</v>
      </c>
      <c r="M1069" s="11">
        <v>0</v>
      </c>
      <c r="N1069" s="10" t="s">
        <v>18</v>
      </c>
      <c r="O1069" s="42">
        <f t="shared" si="100"/>
        <v>0</v>
      </c>
      <c r="P1069" s="10" t="s">
        <v>2485</v>
      </c>
    </row>
    <row r="1070" spans="1:16" s="22" customFormat="1" ht="14.25" customHeight="1" x14ac:dyDescent="0.25">
      <c r="A1070" s="5" t="s">
        <v>1200</v>
      </c>
      <c r="B1070" s="22" t="s">
        <v>716</v>
      </c>
      <c r="C1070" s="22" t="s">
        <v>2505</v>
      </c>
      <c r="D1070" s="18" t="s">
        <v>1201</v>
      </c>
      <c r="E1070" s="24" t="str">
        <f t="shared" si="96"/>
        <v>S0130732E005</v>
      </c>
      <c r="F1070" s="13">
        <v>44389</v>
      </c>
      <c r="G1070" s="13">
        <f t="shared" si="102"/>
        <v>44395</v>
      </c>
      <c r="H1070" s="7">
        <f t="shared" ca="1" si="97"/>
        <v>-708</v>
      </c>
      <c r="I1070" s="13"/>
      <c r="J1070" s="9">
        <f t="shared" ca="1" si="98"/>
        <v>714</v>
      </c>
      <c r="K1070" s="10"/>
      <c r="L1070" s="10" t="str">
        <f t="shared" si="99"/>
        <v>Not Submitted</v>
      </c>
      <c r="M1070" s="11">
        <v>0</v>
      </c>
      <c r="N1070" s="10" t="s">
        <v>18</v>
      </c>
      <c r="O1070" s="42">
        <f t="shared" si="100"/>
        <v>0</v>
      </c>
      <c r="P1070" s="10" t="s">
        <v>2485</v>
      </c>
    </row>
    <row r="1071" spans="1:16" s="22" customFormat="1" ht="14.25" customHeight="1" x14ac:dyDescent="0.25">
      <c r="A1071" s="5" t="s">
        <v>1202</v>
      </c>
      <c r="B1071" s="22" t="s">
        <v>716</v>
      </c>
      <c r="C1071" s="22" t="s">
        <v>2505</v>
      </c>
      <c r="D1071" s="18" t="s">
        <v>1203</v>
      </c>
      <c r="E1071" s="24" t="str">
        <f t="shared" si="96"/>
        <v>S0130744E002</v>
      </c>
      <c r="F1071" s="13">
        <v>44389</v>
      </c>
      <c r="G1071" s="13">
        <f t="shared" si="102"/>
        <v>44395</v>
      </c>
      <c r="H1071" s="7">
        <f t="shared" ca="1" si="97"/>
        <v>-708</v>
      </c>
      <c r="I1071" s="13"/>
      <c r="J1071" s="9">
        <f t="shared" ca="1" si="98"/>
        <v>714</v>
      </c>
      <c r="K1071" s="10"/>
      <c r="L1071" s="10" t="str">
        <f t="shared" si="99"/>
        <v>Not Submitted</v>
      </c>
      <c r="M1071" s="11">
        <v>0</v>
      </c>
      <c r="N1071" s="10" t="s">
        <v>18</v>
      </c>
      <c r="O1071" s="42">
        <f t="shared" si="100"/>
        <v>0</v>
      </c>
      <c r="P1071" s="10" t="s">
        <v>2485</v>
      </c>
    </row>
    <row r="1072" spans="1:16" s="22" customFormat="1" ht="14.25" customHeight="1" x14ac:dyDescent="0.25">
      <c r="A1072" s="5" t="s">
        <v>1204</v>
      </c>
      <c r="B1072" s="22" t="s">
        <v>716</v>
      </c>
      <c r="C1072" s="22" t="s">
        <v>2505</v>
      </c>
      <c r="D1072" s="18" t="s">
        <v>1205</v>
      </c>
      <c r="E1072" s="24" t="str">
        <f t="shared" si="96"/>
        <v>S0370412E001</v>
      </c>
      <c r="F1072" s="13">
        <v>44389</v>
      </c>
      <c r="G1072" s="13">
        <f t="shared" si="102"/>
        <v>44395</v>
      </c>
      <c r="H1072" s="7">
        <f t="shared" ca="1" si="97"/>
        <v>-708</v>
      </c>
      <c r="I1072" s="13"/>
      <c r="J1072" s="9">
        <f t="shared" ca="1" si="98"/>
        <v>714</v>
      </c>
      <c r="K1072" s="10"/>
      <c r="L1072" s="10" t="str">
        <f t="shared" si="99"/>
        <v>Not Submitted</v>
      </c>
      <c r="M1072" s="11">
        <v>0</v>
      </c>
      <c r="N1072" s="10" t="s">
        <v>18</v>
      </c>
      <c r="O1072" s="42">
        <f t="shared" si="100"/>
        <v>0</v>
      </c>
      <c r="P1072" s="10" t="s">
        <v>2485</v>
      </c>
    </row>
    <row r="1073" spans="1:16" s="22" customFormat="1" ht="14.25" customHeight="1" x14ac:dyDescent="0.25">
      <c r="A1073" s="5" t="s">
        <v>1206</v>
      </c>
      <c r="B1073" s="22" t="s">
        <v>716</v>
      </c>
      <c r="C1073" s="22" t="s">
        <v>2505</v>
      </c>
      <c r="D1073" s="18" t="s">
        <v>1207</v>
      </c>
      <c r="E1073" s="24" t="str">
        <f t="shared" si="96"/>
        <v>S0370412E002</v>
      </c>
      <c r="F1073" s="13">
        <v>44389</v>
      </c>
      <c r="G1073" s="13">
        <f t="shared" si="102"/>
        <v>44395</v>
      </c>
      <c r="H1073" s="7">
        <f t="shared" ca="1" si="97"/>
        <v>-708</v>
      </c>
      <c r="I1073" s="13"/>
      <c r="J1073" s="9">
        <f t="shared" ca="1" si="98"/>
        <v>714</v>
      </c>
      <c r="K1073" s="10"/>
      <c r="L1073" s="10" t="str">
        <f t="shared" si="99"/>
        <v>Not Submitted</v>
      </c>
      <c r="M1073" s="11">
        <v>0</v>
      </c>
      <c r="N1073" s="10" t="s">
        <v>18</v>
      </c>
      <c r="O1073" s="42">
        <f t="shared" si="100"/>
        <v>0</v>
      </c>
      <c r="P1073" s="10" t="s">
        <v>2485</v>
      </c>
    </row>
    <row r="1074" spans="1:16" s="22" customFormat="1" ht="14.25" customHeight="1" x14ac:dyDescent="0.25">
      <c r="A1074" s="5" t="s">
        <v>1208</v>
      </c>
      <c r="B1074" s="22" t="s">
        <v>716</v>
      </c>
      <c r="C1074" s="22" t="s">
        <v>2470</v>
      </c>
      <c r="D1074" s="18" t="s">
        <v>1209</v>
      </c>
      <c r="E1074" s="24" t="str">
        <f t="shared" si="96"/>
        <v>S0220212E009</v>
      </c>
      <c r="F1074" s="13">
        <v>44389</v>
      </c>
      <c r="G1074" s="13">
        <f t="shared" si="102"/>
        <v>44395</v>
      </c>
      <c r="H1074" s="7">
        <f t="shared" ca="1" si="97"/>
        <v>-708</v>
      </c>
      <c r="I1074" s="13"/>
      <c r="J1074" s="9">
        <f t="shared" ca="1" si="98"/>
        <v>714</v>
      </c>
      <c r="K1074" s="10"/>
      <c r="L1074" s="10" t="str">
        <f t="shared" si="99"/>
        <v>Not Submitted</v>
      </c>
      <c r="M1074" s="11">
        <v>0</v>
      </c>
      <c r="N1074" s="10" t="s">
        <v>18</v>
      </c>
      <c r="O1074" s="42">
        <f t="shared" si="100"/>
        <v>0</v>
      </c>
      <c r="P1074" s="10" t="s">
        <v>2485</v>
      </c>
    </row>
    <row r="1075" spans="1:16" s="22" customFormat="1" ht="14.25" customHeight="1" x14ac:dyDescent="0.25">
      <c r="A1075" s="5" t="s">
        <v>1210</v>
      </c>
      <c r="B1075" s="22" t="s">
        <v>716</v>
      </c>
      <c r="C1075" s="22" t="s">
        <v>2470</v>
      </c>
      <c r="D1075" s="18" t="s">
        <v>1211</v>
      </c>
      <c r="E1075" s="24" t="str">
        <f t="shared" si="96"/>
        <v>S0220231c003</v>
      </c>
      <c r="F1075" s="13">
        <v>44389</v>
      </c>
      <c r="G1075" s="13">
        <f t="shared" si="102"/>
        <v>44395</v>
      </c>
      <c r="H1075" s="7">
        <f t="shared" ca="1" si="97"/>
        <v>-708</v>
      </c>
      <c r="I1075" s="13"/>
      <c r="J1075" s="9">
        <f t="shared" ca="1" si="98"/>
        <v>714</v>
      </c>
      <c r="K1075" s="10"/>
      <c r="L1075" s="10" t="str">
        <f t="shared" si="99"/>
        <v>Not Submitted</v>
      </c>
      <c r="M1075" s="11">
        <v>0</v>
      </c>
      <c r="N1075" s="10" t="s">
        <v>18</v>
      </c>
      <c r="O1075" s="42">
        <f t="shared" si="100"/>
        <v>0</v>
      </c>
      <c r="P1075" s="10" t="s">
        <v>2485</v>
      </c>
    </row>
    <row r="1076" spans="1:16" s="22" customFormat="1" ht="14.25" customHeight="1" x14ac:dyDescent="0.25">
      <c r="A1076" s="5" t="s">
        <v>1212</v>
      </c>
      <c r="B1076" s="22" t="s">
        <v>716</v>
      </c>
      <c r="C1076" s="22" t="s">
        <v>2505</v>
      </c>
      <c r="D1076" s="18" t="s">
        <v>1213</v>
      </c>
      <c r="E1076" s="24" t="str">
        <f t="shared" si="96"/>
        <v>S0130731P002</v>
      </c>
      <c r="F1076" s="13">
        <v>44389</v>
      </c>
      <c r="G1076" s="13">
        <f t="shared" ref="G1076:G1107" si="103">F1076+6</f>
        <v>44395</v>
      </c>
      <c r="H1076" s="7">
        <f t="shared" ca="1" si="97"/>
        <v>-708</v>
      </c>
      <c r="I1076" s="13"/>
      <c r="J1076" s="9">
        <f t="shared" ca="1" si="98"/>
        <v>714</v>
      </c>
      <c r="K1076" s="10"/>
      <c r="L1076" s="10" t="str">
        <f t="shared" si="99"/>
        <v>Not Submitted</v>
      </c>
      <c r="M1076" s="11">
        <v>0</v>
      </c>
      <c r="N1076" s="10" t="s">
        <v>18</v>
      </c>
      <c r="O1076" s="42">
        <f t="shared" si="100"/>
        <v>0</v>
      </c>
      <c r="P1076" s="10" t="s">
        <v>2485</v>
      </c>
    </row>
    <row r="1077" spans="1:16" s="22" customFormat="1" ht="14.25" customHeight="1" x14ac:dyDescent="0.25">
      <c r="A1077" s="5" t="s">
        <v>1214</v>
      </c>
      <c r="B1077" s="22" t="s">
        <v>716</v>
      </c>
      <c r="C1077" s="22" t="s">
        <v>2505</v>
      </c>
      <c r="D1077" s="18" t="s">
        <v>1215</v>
      </c>
      <c r="E1077" s="24" t="str">
        <f t="shared" si="96"/>
        <v>S0171423E002</v>
      </c>
      <c r="F1077" s="13">
        <v>44389</v>
      </c>
      <c r="G1077" s="13">
        <f t="shared" si="103"/>
        <v>44395</v>
      </c>
      <c r="H1077" s="7">
        <f t="shared" ca="1" si="97"/>
        <v>-708</v>
      </c>
      <c r="I1077" s="13"/>
      <c r="J1077" s="9">
        <f t="shared" ca="1" si="98"/>
        <v>714</v>
      </c>
      <c r="K1077" s="10"/>
      <c r="L1077" s="10" t="str">
        <f t="shared" si="99"/>
        <v>Not Submitted</v>
      </c>
      <c r="M1077" s="11">
        <v>0</v>
      </c>
      <c r="N1077" s="10" t="s">
        <v>18</v>
      </c>
      <c r="O1077" s="42">
        <f t="shared" si="100"/>
        <v>0</v>
      </c>
      <c r="P1077" s="10" t="s">
        <v>2485</v>
      </c>
    </row>
    <row r="1078" spans="1:16" s="22" customFormat="1" ht="14.25" customHeight="1" x14ac:dyDescent="0.25">
      <c r="A1078" s="5" t="s">
        <v>1216</v>
      </c>
      <c r="B1078" s="22" t="s">
        <v>716</v>
      </c>
      <c r="C1078" s="22" t="s">
        <v>2505</v>
      </c>
      <c r="D1078" s="18" t="s">
        <v>1217</v>
      </c>
      <c r="E1078" s="24" t="str">
        <f t="shared" si="96"/>
        <v>S0130691E005</v>
      </c>
      <c r="F1078" s="13">
        <v>44389</v>
      </c>
      <c r="G1078" s="13">
        <f t="shared" si="103"/>
        <v>44395</v>
      </c>
      <c r="H1078" s="7">
        <f t="shared" ca="1" si="97"/>
        <v>-708</v>
      </c>
      <c r="I1078" s="13"/>
      <c r="J1078" s="9">
        <f t="shared" ca="1" si="98"/>
        <v>714</v>
      </c>
      <c r="K1078" s="10"/>
      <c r="L1078" s="10" t="str">
        <f t="shared" si="99"/>
        <v>Not Submitted</v>
      </c>
      <c r="M1078" s="11">
        <v>0</v>
      </c>
      <c r="N1078" s="10" t="s">
        <v>18</v>
      </c>
      <c r="O1078" s="42">
        <f t="shared" si="100"/>
        <v>0</v>
      </c>
      <c r="P1078" s="10" t="s">
        <v>2485</v>
      </c>
    </row>
    <row r="1079" spans="1:16" s="22" customFormat="1" ht="14.25" customHeight="1" x14ac:dyDescent="0.25">
      <c r="A1079" s="5" t="s">
        <v>1250</v>
      </c>
      <c r="B1079" s="22" t="s">
        <v>716</v>
      </c>
      <c r="C1079" s="22" t="s">
        <v>2470</v>
      </c>
      <c r="D1079" s="18" t="s">
        <v>1251</v>
      </c>
      <c r="E1079" s="24" t="str">
        <f t="shared" si="96"/>
        <v>S0140321E004</v>
      </c>
      <c r="F1079" s="13">
        <v>44396</v>
      </c>
      <c r="G1079" s="13">
        <f t="shared" si="103"/>
        <v>44402</v>
      </c>
      <c r="H1079" s="7">
        <f t="shared" ca="1" si="97"/>
        <v>-701</v>
      </c>
      <c r="I1079" s="13"/>
      <c r="J1079" s="9">
        <f t="shared" ca="1" si="98"/>
        <v>707</v>
      </c>
      <c r="K1079" s="10" t="s">
        <v>663</v>
      </c>
      <c r="L1079" s="10" t="str">
        <f t="shared" si="99"/>
        <v>Rejected</v>
      </c>
      <c r="M1079" s="11">
        <v>1</v>
      </c>
      <c r="N1079" s="10" t="s">
        <v>18</v>
      </c>
      <c r="O1079" s="42">
        <f t="shared" si="100"/>
        <v>0</v>
      </c>
      <c r="P1079" s="10" t="s">
        <v>2485</v>
      </c>
    </row>
    <row r="1080" spans="1:16" s="22" customFormat="1" ht="14.25" customHeight="1" x14ac:dyDescent="0.25">
      <c r="A1080" s="5" t="s">
        <v>1252</v>
      </c>
      <c r="B1080" s="22" t="s">
        <v>716</v>
      </c>
      <c r="C1080" s="22" t="s">
        <v>932</v>
      </c>
      <c r="D1080" s="18" t="s">
        <v>1253</v>
      </c>
      <c r="E1080" s="24" t="str">
        <f t="shared" si="96"/>
        <v>S0380861E002</v>
      </c>
      <c r="F1080" s="13">
        <v>44396</v>
      </c>
      <c r="G1080" s="13">
        <f t="shared" si="103"/>
        <v>44402</v>
      </c>
      <c r="H1080" s="7">
        <f t="shared" ca="1" si="97"/>
        <v>-701</v>
      </c>
      <c r="I1080" s="13"/>
      <c r="J1080" s="9">
        <f t="shared" ca="1" si="98"/>
        <v>707</v>
      </c>
      <c r="K1080" s="10"/>
      <c r="L1080" s="10" t="str">
        <f t="shared" si="99"/>
        <v>Not Submitted</v>
      </c>
      <c r="M1080" s="11">
        <v>0</v>
      </c>
      <c r="N1080" s="10" t="s">
        <v>18</v>
      </c>
      <c r="O1080" s="42">
        <f t="shared" si="100"/>
        <v>0</v>
      </c>
      <c r="P1080" s="10" t="s">
        <v>2485</v>
      </c>
    </row>
    <row r="1081" spans="1:16" s="22" customFormat="1" ht="14.25" customHeight="1" x14ac:dyDescent="0.25">
      <c r="A1081" s="5" t="s">
        <v>1254</v>
      </c>
      <c r="B1081" s="22" t="s">
        <v>716</v>
      </c>
      <c r="C1081" s="22" t="s">
        <v>932</v>
      </c>
      <c r="D1081" s="18" t="s">
        <v>1255</v>
      </c>
      <c r="E1081" s="24" t="str">
        <f t="shared" si="96"/>
        <v>S0380861E003</v>
      </c>
      <c r="F1081" s="13">
        <v>44396</v>
      </c>
      <c r="G1081" s="13">
        <f t="shared" si="103"/>
        <v>44402</v>
      </c>
      <c r="H1081" s="7">
        <f t="shared" ca="1" si="97"/>
        <v>-701</v>
      </c>
      <c r="I1081" s="13"/>
      <c r="J1081" s="9">
        <f t="shared" ca="1" si="98"/>
        <v>707</v>
      </c>
      <c r="K1081" s="10"/>
      <c r="L1081" s="10" t="str">
        <f t="shared" si="99"/>
        <v>Not Submitted</v>
      </c>
      <c r="M1081" s="11">
        <v>0</v>
      </c>
      <c r="N1081" s="10" t="s">
        <v>18</v>
      </c>
      <c r="O1081" s="42">
        <f t="shared" si="100"/>
        <v>0</v>
      </c>
      <c r="P1081" s="10" t="s">
        <v>2485</v>
      </c>
    </row>
    <row r="1082" spans="1:16" s="22" customFormat="1" ht="14.25" customHeight="1" x14ac:dyDescent="0.25">
      <c r="A1082" s="5" t="s">
        <v>1256</v>
      </c>
      <c r="B1082" s="22" t="s">
        <v>716</v>
      </c>
      <c r="C1082" s="22" t="s">
        <v>932</v>
      </c>
      <c r="D1082" s="18" t="s">
        <v>1257</v>
      </c>
      <c r="E1082" s="24" t="str">
        <f t="shared" si="96"/>
        <v>S0380861E004</v>
      </c>
      <c r="F1082" s="13">
        <v>44396</v>
      </c>
      <c r="G1082" s="13">
        <f t="shared" si="103"/>
        <v>44402</v>
      </c>
      <c r="H1082" s="7">
        <f t="shared" ca="1" si="97"/>
        <v>-701</v>
      </c>
      <c r="I1082" s="13"/>
      <c r="J1082" s="9">
        <f t="shared" ca="1" si="98"/>
        <v>707</v>
      </c>
      <c r="K1082" s="10"/>
      <c r="L1082" s="10" t="str">
        <f t="shared" si="99"/>
        <v>Not Submitted</v>
      </c>
      <c r="M1082" s="11">
        <v>0</v>
      </c>
      <c r="N1082" s="10" t="s">
        <v>18</v>
      </c>
      <c r="O1082" s="42">
        <f t="shared" si="100"/>
        <v>0</v>
      </c>
      <c r="P1082" s="10" t="s">
        <v>2485</v>
      </c>
    </row>
    <row r="1083" spans="1:16" s="22" customFormat="1" ht="14.25" customHeight="1" x14ac:dyDescent="0.25">
      <c r="A1083" s="5" t="s">
        <v>1258</v>
      </c>
      <c r="B1083" s="22" t="s">
        <v>716</v>
      </c>
      <c r="C1083" s="22" t="s">
        <v>932</v>
      </c>
      <c r="D1083" s="18" t="s">
        <v>1259</v>
      </c>
      <c r="E1083" s="24" t="str">
        <f t="shared" si="96"/>
        <v>S0380861E007</v>
      </c>
      <c r="F1083" s="13">
        <v>44396</v>
      </c>
      <c r="G1083" s="13">
        <f t="shared" si="103"/>
        <v>44402</v>
      </c>
      <c r="H1083" s="7">
        <f t="shared" ca="1" si="97"/>
        <v>-701</v>
      </c>
      <c r="I1083" s="13"/>
      <c r="J1083" s="9">
        <f t="shared" ca="1" si="98"/>
        <v>707</v>
      </c>
      <c r="K1083" s="10"/>
      <c r="L1083" s="10" t="str">
        <f t="shared" si="99"/>
        <v>Not Submitted</v>
      </c>
      <c r="M1083" s="11">
        <v>0</v>
      </c>
      <c r="N1083" s="10" t="s">
        <v>18</v>
      </c>
      <c r="O1083" s="42">
        <f t="shared" si="100"/>
        <v>0</v>
      </c>
      <c r="P1083" s="10" t="s">
        <v>2485</v>
      </c>
    </row>
    <row r="1084" spans="1:16" s="22" customFormat="1" ht="14.25" customHeight="1" x14ac:dyDescent="0.25">
      <c r="A1084" s="5" t="s">
        <v>1260</v>
      </c>
      <c r="B1084" s="22" t="s">
        <v>716</v>
      </c>
      <c r="C1084" s="22" t="s">
        <v>932</v>
      </c>
      <c r="D1084" s="18" t="s">
        <v>1261</v>
      </c>
      <c r="E1084" s="24" t="str">
        <f t="shared" si="96"/>
        <v>S0380881E001</v>
      </c>
      <c r="F1084" s="13">
        <v>44396</v>
      </c>
      <c r="G1084" s="13">
        <f t="shared" si="103"/>
        <v>44402</v>
      </c>
      <c r="H1084" s="7">
        <f t="shared" ca="1" si="97"/>
        <v>-701</v>
      </c>
      <c r="I1084" s="13"/>
      <c r="J1084" s="9">
        <f t="shared" ca="1" si="98"/>
        <v>707</v>
      </c>
      <c r="K1084" s="10"/>
      <c r="L1084" s="10" t="str">
        <f t="shared" si="99"/>
        <v>Not Submitted</v>
      </c>
      <c r="M1084" s="11">
        <v>0</v>
      </c>
      <c r="N1084" s="10" t="s">
        <v>18</v>
      </c>
      <c r="O1084" s="42">
        <f t="shared" si="100"/>
        <v>0</v>
      </c>
      <c r="P1084" s="10" t="s">
        <v>2485</v>
      </c>
    </row>
    <row r="1085" spans="1:16" s="22" customFormat="1" ht="14.25" customHeight="1" x14ac:dyDescent="0.25">
      <c r="A1085" s="5" t="s">
        <v>1270</v>
      </c>
      <c r="B1085" s="22" t="s">
        <v>716</v>
      </c>
      <c r="C1085" s="22" t="s">
        <v>932</v>
      </c>
      <c r="D1085" s="18" t="s">
        <v>1271</v>
      </c>
      <c r="E1085" s="24" t="str">
        <f t="shared" si="96"/>
        <v>S0380881E005</v>
      </c>
      <c r="F1085" s="13">
        <v>44396</v>
      </c>
      <c r="G1085" s="13">
        <f t="shared" si="103"/>
        <v>44402</v>
      </c>
      <c r="H1085" s="7">
        <f t="shared" ca="1" si="97"/>
        <v>-701</v>
      </c>
      <c r="I1085" s="13"/>
      <c r="J1085" s="9">
        <f t="shared" ca="1" si="98"/>
        <v>707</v>
      </c>
      <c r="K1085" s="10"/>
      <c r="L1085" s="10" t="str">
        <f t="shared" si="99"/>
        <v>Not Submitted</v>
      </c>
      <c r="M1085" s="11">
        <v>0</v>
      </c>
      <c r="N1085" s="10" t="s">
        <v>18</v>
      </c>
      <c r="O1085" s="42">
        <f t="shared" si="100"/>
        <v>0</v>
      </c>
      <c r="P1085" s="10" t="s">
        <v>2485</v>
      </c>
    </row>
    <row r="1086" spans="1:16" s="22" customFormat="1" ht="14.25" customHeight="1" x14ac:dyDescent="0.25">
      <c r="A1086" s="5" t="s">
        <v>1276</v>
      </c>
      <c r="B1086" s="22" t="s">
        <v>716</v>
      </c>
      <c r="C1086" s="22" t="s">
        <v>787</v>
      </c>
      <c r="D1086" s="18" t="s">
        <v>1277</v>
      </c>
      <c r="E1086" s="24" t="str">
        <f t="shared" si="96"/>
        <v>S0380971E002</v>
      </c>
      <c r="F1086" s="13">
        <v>44396</v>
      </c>
      <c r="G1086" s="13">
        <f t="shared" si="103"/>
        <v>44402</v>
      </c>
      <c r="H1086" s="7">
        <f t="shared" ca="1" si="97"/>
        <v>-701</v>
      </c>
      <c r="I1086" s="13"/>
      <c r="J1086" s="9">
        <f t="shared" ca="1" si="98"/>
        <v>707</v>
      </c>
      <c r="K1086" s="10"/>
      <c r="L1086" s="10" t="str">
        <f t="shared" si="99"/>
        <v>Not Submitted</v>
      </c>
      <c r="M1086" s="11">
        <v>0</v>
      </c>
      <c r="N1086" s="10" t="s">
        <v>18</v>
      </c>
      <c r="O1086" s="42">
        <f t="shared" si="100"/>
        <v>0</v>
      </c>
      <c r="P1086" s="10" t="s">
        <v>2485</v>
      </c>
    </row>
    <row r="1087" spans="1:16" s="22" customFormat="1" ht="14.25" customHeight="1" x14ac:dyDescent="0.25">
      <c r="A1087" s="5" t="s">
        <v>1286</v>
      </c>
      <c r="B1087" s="22" t="s">
        <v>716</v>
      </c>
      <c r="C1087" s="22" t="s">
        <v>787</v>
      </c>
      <c r="D1087" s="18" t="s">
        <v>1287</v>
      </c>
      <c r="E1087" s="24" t="str">
        <f t="shared" si="96"/>
        <v>S0380991E004</v>
      </c>
      <c r="F1087" s="13">
        <v>44396</v>
      </c>
      <c r="G1087" s="13">
        <f t="shared" si="103"/>
        <v>44402</v>
      </c>
      <c r="H1087" s="7">
        <f t="shared" ca="1" si="97"/>
        <v>-701</v>
      </c>
      <c r="I1087" s="13"/>
      <c r="J1087" s="9">
        <f t="shared" ca="1" si="98"/>
        <v>707</v>
      </c>
      <c r="K1087" s="10"/>
      <c r="L1087" s="10" t="str">
        <f t="shared" si="99"/>
        <v>Not Submitted</v>
      </c>
      <c r="M1087" s="11">
        <v>0</v>
      </c>
      <c r="N1087" s="10" t="s">
        <v>18</v>
      </c>
      <c r="O1087" s="42">
        <f t="shared" si="100"/>
        <v>0</v>
      </c>
      <c r="P1087" s="10" t="s">
        <v>2485</v>
      </c>
    </row>
    <row r="1088" spans="1:16" s="22" customFormat="1" ht="14.25" customHeight="1" x14ac:dyDescent="0.25">
      <c r="A1088" s="5" t="s">
        <v>1288</v>
      </c>
      <c r="B1088" s="22" t="s">
        <v>716</v>
      </c>
      <c r="C1088" s="22" t="s">
        <v>787</v>
      </c>
      <c r="D1088" s="18" t="s">
        <v>1289</v>
      </c>
      <c r="E1088" s="24" t="str">
        <f t="shared" si="96"/>
        <v>S0380992E002</v>
      </c>
      <c r="F1088" s="13">
        <v>44396</v>
      </c>
      <c r="G1088" s="13">
        <f t="shared" si="103"/>
        <v>44402</v>
      </c>
      <c r="H1088" s="7">
        <f t="shared" ca="1" si="97"/>
        <v>-701</v>
      </c>
      <c r="I1088" s="13"/>
      <c r="J1088" s="9">
        <f t="shared" ca="1" si="98"/>
        <v>707</v>
      </c>
      <c r="K1088" s="10"/>
      <c r="L1088" s="10" t="str">
        <f t="shared" si="99"/>
        <v>Not Submitted</v>
      </c>
      <c r="M1088" s="11">
        <v>0</v>
      </c>
      <c r="N1088" s="10" t="s">
        <v>18</v>
      </c>
      <c r="O1088" s="42">
        <f t="shared" si="100"/>
        <v>0</v>
      </c>
      <c r="P1088" s="10" t="s">
        <v>2485</v>
      </c>
    </row>
    <row r="1089" spans="1:16" s="22" customFormat="1" ht="14.25" customHeight="1" x14ac:dyDescent="0.25">
      <c r="A1089" s="5" t="s">
        <v>1290</v>
      </c>
      <c r="B1089" s="22" t="s">
        <v>716</v>
      </c>
      <c r="C1089" s="22" t="s">
        <v>787</v>
      </c>
      <c r="D1089" s="18" t="s">
        <v>1291</v>
      </c>
      <c r="E1089" s="24" t="str">
        <f t="shared" si="96"/>
        <v>S0381001E001</v>
      </c>
      <c r="F1089" s="13">
        <v>44396</v>
      </c>
      <c r="G1089" s="13">
        <f t="shared" si="103"/>
        <v>44402</v>
      </c>
      <c r="H1089" s="7">
        <f t="shared" ca="1" si="97"/>
        <v>-701</v>
      </c>
      <c r="I1089" s="13"/>
      <c r="J1089" s="9">
        <f t="shared" ca="1" si="98"/>
        <v>707</v>
      </c>
      <c r="K1089" s="10"/>
      <c r="L1089" s="10" t="str">
        <f t="shared" si="99"/>
        <v>Not Submitted</v>
      </c>
      <c r="M1089" s="11">
        <v>0</v>
      </c>
      <c r="N1089" s="10" t="s">
        <v>18</v>
      </c>
      <c r="O1089" s="42">
        <f t="shared" si="100"/>
        <v>0</v>
      </c>
      <c r="P1089" s="10" t="s">
        <v>2485</v>
      </c>
    </row>
    <row r="1090" spans="1:16" s="22" customFormat="1" ht="14.25" customHeight="1" x14ac:dyDescent="0.25">
      <c r="A1090" s="5" t="s">
        <v>1292</v>
      </c>
      <c r="B1090" s="22" t="s">
        <v>716</v>
      </c>
      <c r="C1090" s="22" t="s">
        <v>787</v>
      </c>
      <c r="D1090" s="18" t="s">
        <v>1293</v>
      </c>
      <c r="E1090" s="24" t="str">
        <f t="shared" ref="E1090:E1153" si="104">HYPERLINK(D1090,A1090)</f>
        <v>S0381001E002</v>
      </c>
      <c r="F1090" s="13">
        <v>44396</v>
      </c>
      <c r="G1090" s="13">
        <f t="shared" si="103"/>
        <v>44402</v>
      </c>
      <c r="H1090" s="7">
        <f t="shared" ref="H1090:H1153" ca="1" si="105">G1090-TODAY()</f>
        <v>-701</v>
      </c>
      <c r="I1090" s="13"/>
      <c r="J1090" s="9">
        <f t="shared" ref="J1090:J1153" ca="1" si="106">IF(L1090="Accepted",0,TODAY()-F1090)</f>
        <v>707</v>
      </c>
      <c r="K1090" s="10"/>
      <c r="L1090" s="10" t="str">
        <f t="shared" ref="L1090:L1153" si="107">IF(AND(NOT(ISBLANK(I1090)), ISBLANK(K1090)),"Accepted", IF(AND(ISBLANK(I1090),ISBLANK(K1090)),"Not Submitted", "Rejected"))</f>
        <v>Not Submitted</v>
      </c>
      <c r="M1090" s="11">
        <v>0</v>
      </c>
      <c r="N1090" s="10" t="s">
        <v>18</v>
      </c>
      <c r="O1090" s="42">
        <f t="shared" ref="O1090:O1153" si="108">IF(AND(L1090="Accepted",B1090="SMA",N1090="no"),20000,
IF(AND(L1090="Accepted",OR(B1090="SMP",B1090="SD"),N1090="no"),15000,
IF(AND(L1090="Accepted",B1090="SMA",N1090="yes"),25000,
IF(AND(L1090="Accepted",OR(B1090="SMP",B1090="SD"),N1090="yes"),18000,
0))))</f>
        <v>0</v>
      </c>
      <c r="P1090" s="10" t="s">
        <v>2485</v>
      </c>
    </row>
    <row r="1091" spans="1:16" s="22" customFormat="1" ht="14.25" customHeight="1" x14ac:dyDescent="0.25">
      <c r="A1091" s="5" t="s">
        <v>1294</v>
      </c>
      <c r="B1091" s="22" t="s">
        <v>716</v>
      </c>
      <c r="C1091" s="22" t="s">
        <v>787</v>
      </c>
      <c r="D1091" s="18" t="s">
        <v>1295</v>
      </c>
      <c r="E1091" s="24" t="str">
        <f t="shared" si="104"/>
        <v>S0381001E003</v>
      </c>
      <c r="F1091" s="13">
        <v>44396</v>
      </c>
      <c r="G1091" s="13">
        <f t="shared" si="103"/>
        <v>44402</v>
      </c>
      <c r="H1091" s="7">
        <f t="shared" ca="1" si="105"/>
        <v>-701</v>
      </c>
      <c r="I1091" s="13"/>
      <c r="J1091" s="9">
        <f t="shared" ca="1" si="106"/>
        <v>707</v>
      </c>
      <c r="K1091" s="10"/>
      <c r="L1091" s="10" t="str">
        <f t="shared" si="107"/>
        <v>Not Submitted</v>
      </c>
      <c r="M1091" s="11">
        <v>0</v>
      </c>
      <c r="N1091" s="10" t="s">
        <v>18</v>
      </c>
      <c r="O1091" s="42">
        <f t="shared" si="108"/>
        <v>0</v>
      </c>
      <c r="P1091" s="10" t="s">
        <v>2485</v>
      </c>
    </row>
    <row r="1092" spans="1:16" s="22" customFormat="1" ht="14.25" customHeight="1" x14ac:dyDescent="0.25">
      <c r="A1092" s="5" t="s">
        <v>1296</v>
      </c>
      <c r="B1092" s="22" t="s">
        <v>716</v>
      </c>
      <c r="C1092" s="22" t="s">
        <v>787</v>
      </c>
      <c r="D1092" s="18" t="s">
        <v>1297</v>
      </c>
      <c r="E1092" s="24" t="str">
        <f t="shared" si="104"/>
        <v>S0381001E004</v>
      </c>
      <c r="F1092" s="13">
        <v>44396</v>
      </c>
      <c r="G1092" s="13">
        <f t="shared" si="103"/>
        <v>44402</v>
      </c>
      <c r="H1092" s="7">
        <f t="shared" ca="1" si="105"/>
        <v>-701</v>
      </c>
      <c r="I1092" s="13"/>
      <c r="J1092" s="9">
        <f t="shared" ca="1" si="106"/>
        <v>707</v>
      </c>
      <c r="K1092" s="10"/>
      <c r="L1092" s="10" t="str">
        <f t="shared" si="107"/>
        <v>Not Submitted</v>
      </c>
      <c r="M1092" s="11">
        <v>0</v>
      </c>
      <c r="N1092" s="10" t="s">
        <v>18</v>
      </c>
      <c r="O1092" s="42">
        <f t="shared" si="108"/>
        <v>0</v>
      </c>
      <c r="P1092" s="10" t="s">
        <v>2485</v>
      </c>
    </row>
    <row r="1093" spans="1:16" s="22" customFormat="1" ht="14.25" customHeight="1" x14ac:dyDescent="0.25">
      <c r="A1093" s="5" t="s">
        <v>1298</v>
      </c>
      <c r="B1093" s="22" t="s">
        <v>716</v>
      </c>
      <c r="C1093" s="22" t="s">
        <v>787</v>
      </c>
      <c r="D1093" s="18" t="s">
        <v>1299</v>
      </c>
      <c r="E1093" s="24" t="str">
        <f t="shared" si="104"/>
        <v>S0381001E005</v>
      </c>
      <c r="F1093" s="13">
        <v>44396</v>
      </c>
      <c r="G1093" s="13">
        <f t="shared" si="103"/>
        <v>44402</v>
      </c>
      <c r="H1093" s="7">
        <f t="shared" ca="1" si="105"/>
        <v>-701</v>
      </c>
      <c r="I1093" s="13"/>
      <c r="J1093" s="9">
        <f t="shared" ca="1" si="106"/>
        <v>707</v>
      </c>
      <c r="K1093" s="10"/>
      <c r="L1093" s="10" t="str">
        <f t="shared" si="107"/>
        <v>Not Submitted</v>
      </c>
      <c r="M1093" s="11">
        <v>0</v>
      </c>
      <c r="N1093" s="10" t="s">
        <v>18</v>
      </c>
      <c r="O1093" s="42">
        <f t="shared" si="108"/>
        <v>0</v>
      </c>
      <c r="P1093" s="10" t="s">
        <v>2485</v>
      </c>
    </row>
    <row r="1094" spans="1:16" s="22" customFormat="1" ht="14.25" customHeight="1" x14ac:dyDescent="0.25">
      <c r="A1094" s="5" t="s">
        <v>1300</v>
      </c>
      <c r="B1094" s="22" t="s">
        <v>716</v>
      </c>
      <c r="C1094" s="22" t="s">
        <v>787</v>
      </c>
      <c r="D1094" s="18" t="s">
        <v>1301</v>
      </c>
      <c r="E1094" s="24" t="str">
        <f t="shared" si="104"/>
        <v>S0381001E006</v>
      </c>
      <c r="F1094" s="13">
        <v>44396</v>
      </c>
      <c r="G1094" s="13">
        <f t="shared" si="103"/>
        <v>44402</v>
      </c>
      <c r="H1094" s="7">
        <f t="shared" ca="1" si="105"/>
        <v>-701</v>
      </c>
      <c r="I1094" s="13"/>
      <c r="J1094" s="9">
        <f t="shared" ca="1" si="106"/>
        <v>707</v>
      </c>
      <c r="K1094" s="10"/>
      <c r="L1094" s="10" t="str">
        <f t="shared" si="107"/>
        <v>Not Submitted</v>
      </c>
      <c r="M1094" s="11">
        <v>0</v>
      </c>
      <c r="N1094" s="10" t="s">
        <v>18</v>
      </c>
      <c r="O1094" s="42">
        <f t="shared" si="108"/>
        <v>0</v>
      </c>
      <c r="P1094" s="10" t="s">
        <v>2485</v>
      </c>
    </row>
    <row r="1095" spans="1:16" s="22" customFormat="1" ht="14.25" customHeight="1" x14ac:dyDescent="0.25">
      <c r="A1095" s="5" t="s">
        <v>1302</v>
      </c>
      <c r="B1095" s="22" t="s">
        <v>716</v>
      </c>
      <c r="C1095" s="22" t="s">
        <v>787</v>
      </c>
      <c r="D1095" s="18" t="s">
        <v>1303</v>
      </c>
      <c r="E1095" s="24" t="str">
        <f t="shared" si="104"/>
        <v>S0381001E008</v>
      </c>
      <c r="F1095" s="13">
        <v>44396</v>
      </c>
      <c r="G1095" s="13">
        <f t="shared" si="103"/>
        <v>44402</v>
      </c>
      <c r="H1095" s="7">
        <f t="shared" ca="1" si="105"/>
        <v>-701</v>
      </c>
      <c r="I1095" s="13"/>
      <c r="J1095" s="9">
        <f t="shared" ca="1" si="106"/>
        <v>707</v>
      </c>
      <c r="K1095" s="10"/>
      <c r="L1095" s="10" t="str">
        <f t="shared" si="107"/>
        <v>Not Submitted</v>
      </c>
      <c r="M1095" s="11">
        <v>0</v>
      </c>
      <c r="N1095" s="10" t="s">
        <v>18</v>
      </c>
      <c r="O1095" s="42">
        <f t="shared" si="108"/>
        <v>0</v>
      </c>
      <c r="P1095" s="10" t="s">
        <v>2485</v>
      </c>
    </row>
    <row r="1096" spans="1:16" s="22" customFormat="1" ht="14.25" customHeight="1" x14ac:dyDescent="0.25">
      <c r="A1096" s="5" t="s">
        <v>1304</v>
      </c>
      <c r="B1096" s="22" t="s">
        <v>716</v>
      </c>
      <c r="C1096" s="22" t="s">
        <v>787</v>
      </c>
      <c r="D1096" s="18" t="s">
        <v>1305</v>
      </c>
      <c r="E1096" s="24" t="str">
        <f t="shared" si="104"/>
        <v>S0381001E009</v>
      </c>
      <c r="F1096" s="13">
        <v>44396</v>
      </c>
      <c r="G1096" s="13">
        <f t="shared" si="103"/>
        <v>44402</v>
      </c>
      <c r="H1096" s="7">
        <f t="shared" ca="1" si="105"/>
        <v>-701</v>
      </c>
      <c r="I1096" s="13"/>
      <c r="J1096" s="9">
        <f t="shared" ca="1" si="106"/>
        <v>707</v>
      </c>
      <c r="K1096" s="10"/>
      <c r="L1096" s="10" t="str">
        <f t="shared" si="107"/>
        <v>Not Submitted</v>
      </c>
      <c r="M1096" s="11">
        <v>0</v>
      </c>
      <c r="N1096" s="10" t="s">
        <v>18</v>
      </c>
      <c r="O1096" s="42">
        <f t="shared" si="108"/>
        <v>0</v>
      </c>
      <c r="P1096" s="10" t="s">
        <v>2485</v>
      </c>
    </row>
    <row r="1097" spans="1:16" s="22" customFormat="1" ht="14.25" customHeight="1" x14ac:dyDescent="0.25">
      <c r="A1097" s="5" t="s">
        <v>1306</v>
      </c>
      <c r="B1097" s="22" t="s">
        <v>716</v>
      </c>
      <c r="C1097" s="22" t="s">
        <v>787</v>
      </c>
      <c r="D1097" s="18" t="s">
        <v>1307</v>
      </c>
      <c r="E1097" s="24" t="str">
        <f t="shared" si="104"/>
        <v>S0381001E010</v>
      </c>
      <c r="F1097" s="13">
        <v>44396</v>
      </c>
      <c r="G1097" s="13">
        <f t="shared" si="103"/>
        <v>44402</v>
      </c>
      <c r="H1097" s="7">
        <f t="shared" ca="1" si="105"/>
        <v>-701</v>
      </c>
      <c r="I1097" s="13"/>
      <c r="J1097" s="9">
        <f t="shared" ca="1" si="106"/>
        <v>707</v>
      </c>
      <c r="K1097" s="10"/>
      <c r="L1097" s="10" t="str">
        <f t="shared" si="107"/>
        <v>Not Submitted</v>
      </c>
      <c r="M1097" s="11">
        <v>0</v>
      </c>
      <c r="N1097" s="10" t="s">
        <v>18</v>
      </c>
      <c r="O1097" s="42">
        <f t="shared" si="108"/>
        <v>0</v>
      </c>
      <c r="P1097" s="10" t="s">
        <v>2485</v>
      </c>
    </row>
    <row r="1098" spans="1:16" s="22" customFormat="1" ht="14.25" customHeight="1" x14ac:dyDescent="0.25">
      <c r="A1098" s="5" t="s">
        <v>1308</v>
      </c>
      <c r="B1098" s="22" t="s">
        <v>716</v>
      </c>
      <c r="C1098" s="22" t="s">
        <v>787</v>
      </c>
      <c r="D1098" s="18" t="s">
        <v>1309</v>
      </c>
      <c r="E1098" s="24" t="str">
        <f t="shared" si="104"/>
        <v>S0381001E011</v>
      </c>
      <c r="F1098" s="13">
        <v>44396</v>
      </c>
      <c r="G1098" s="13">
        <f t="shared" si="103"/>
        <v>44402</v>
      </c>
      <c r="H1098" s="7">
        <f t="shared" ca="1" si="105"/>
        <v>-701</v>
      </c>
      <c r="I1098" s="13"/>
      <c r="J1098" s="9">
        <f t="shared" ca="1" si="106"/>
        <v>707</v>
      </c>
      <c r="K1098" s="10"/>
      <c r="L1098" s="10" t="str">
        <f t="shared" si="107"/>
        <v>Not Submitted</v>
      </c>
      <c r="M1098" s="11">
        <v>0</v>
      </c>
      <c r="N1098" s="10" t="s">
        <v>18</v>
      </c>
      <c r="O1098" s="42">
        <f t="shared" si="108"/>
        <v>0</v>
      </c>
      <c r="P1098" s="10" t="s">
        <v>2485</v>
      </c>
    </row>
    <row r="1099" spans="1:16" s="22" customFormat="1" ht="14.25" customHeight="1" x14ac:dyDescent="0.25">
      <c r="A1099" s="5" t="s">
        <v>1310</v>
      </c>
      <c r="B1099" s="22" t="s">
        <v>716</v>
      </c>
      <c r="C1099" s="22" t="s">
        <v>932</v>
      </c>
      <c r="D1099" s="18" t="s">
        <v>1311</v>
      </c>
      <c r="E1099" s="24" t="str">
        <f t="shared" si="104"/>
        <v>S0381031E001</v>
      </c>
      <c r="F1099" s="13">
        <v>44396</v>
      </c>
      <c r="G1099" s="13">
        <f t="shared" si="103"/>
        <v>44402</v>
      </c>
      <c r="H1099" s="7">
        <f t="shared" ca="1" si="105"/>
        <v>-701</v>
      </c>
      <c r="I1099" s="13"/>
      <c r="J1099" s="9">
        <f t="shared" ca="1" si="106"/>
        <v>707</v>
      </c>
      <c r="K1099" s="10"/>
      <c r="L1099" s="10" t="str">
        <f t="shared" si="107"/>
        <v>Not Submitted</v>
      </c>
      <c r="M1099" s="11">
        <v>0</v>
      </c>
      <c r="N1099" s="10" t="s">
        <v>18</v>
      </c>
      <c r="O1099" s="42">
        <f t="shared" si="108"/>
        <v>0</v>
      </c>
      <c r="P1099" s="10" t="s">
        <v>2485</v>
      </c>
    </row>
    <row r="1100" spans="1:16" s="22" customFormat="1" ht="14.25" customHeight="1" x14ac:dyDescent="0.25">
      <c r="A1100" s="5" t="s">
        <v>1312</v>
      </c>
      <c r="B1100" s="22" t="s">
        <v>716</v>
      </c>
      <c r="C1100" s="22" t="s">
        <v>932</v>
      </c>
      <c r="D1100" s="18" t="s">
        <v>1313</v>
      </c>
      <c r="E1100" s="24" t="str">
        <f t="shared" si="104"/>
        <v>S0381031E002</v>
      </c>
      <c r="F1100" s="13">
        <v>44396</v>
      </c>
      <c r="G1100" s="13">
        <f t="shared" si="103"/>
        <v>44402</v>
      </c>
      <c r="H1100" s="7">
        <f t="shared" ca="1" si="105"/>
        <v>-701</v>
      </c>
      <c r="I1100" s="13"/>
      <c r="J1100" s="9">
        <f t="shared" ca="1" si="106"/>
        <v>707</v>
      </c>
      <c r="K1100" s="10"/>
      <c r="L1100" s="10" t="str">
        <f t="shared" si="107"/>
        <v>Not Submitted</v>
      </c>
      <c r="M1100" s="11">
        <v>0</v>
      </c>
      <c r="N1100" s="10" t="s">
        <v>18</v>
      </c>
      <c r="O1100" s="42">
        <f t="shared" si="108"/>
        <v>0</v>
      </c>
      <c r="P1100" s="10" t="s">
        <v>2485</v>
      </c>
    </row>
    <row r="1101" spans="1:16" s="22" customFormat="1" ht="14.25" customHeight="1" x14ac:dyDescent="0.25">
      <c r="A1101" s="5" t="s">
        <v>1314</v>
      </c>
      <c r="B1101" s="22" t="s">
        <v>716</v>
      </c>
      <c r="C1101" s="22" t="s">
        <v>932</v>
      </c>
      <c r="D1101" s="18" t="s">
        <v>1315</v>
      </c>
      <c r="E1101" s="24" t="str">
        <f t="shared" si="104"/>
        <v>S0381031E003</v>
      </c>
      <c r="F1101" s="13">
        <v>44396</v>
      </c>
      <c r="G1101" s="13">
        <f t="shared" si="103"/>
        <v>44402</v>
      </c>
      <c r="H1101" s="7">
        <f t="shared" ca="1" si="105"/>
        <v>-701</v>
      </c>
      <c r="I1101" s="13"/>
      <c r="J1101" s="9">
        <f t="shared" ca="1" si="106"/>
        <v>707</v>
      </c>
      <c r="K1101" s="10"/>
      <c r="L1101" s="10" t="str">
        <f t="shared" si="107"/>
        <v>Not Submitted</v>
      </c>
      <c r="M1101" s="11">
        <v>0</v>
      </c>
      <c r="N1101" s="10" t="s">
        <v>18</v>
      </c>
      <c r="O1101" s="42">
        <f t="shared" si="108"/>
        <v>0</v>
      </c>
      <c r="P1101" s="10" t="s">
        <v>2485</v>
      </c>
    </row>
    <row r="1102" spans="1:16" s="22" customFormat="1" ht="14.25" customHeight="1" x14ac:dyDescent="0.25">
      <c r="A1102" s="5" t="s">
        <v>1316</v>
      </c>
      <c r="B1102" s="22" t="s">
        <v>716</v>
      </c>
      <c r="C1102" s="22" t="s">
        <v>932</v>
      </c>
      <c r="D1102" s="18" t="s">
        <v>1317</v>
      </c>
      <c r="E1102" s="24" t="str">
        <f t="shared" si="104"/>
        <v>S0381031E005</v>
      </c>
      <c r="F1102" s="13">
        <v>44396</v>
      </c>
      <c r="G1102" s="13">
        <f t="shared" si="103"/>
        <v>44402</v>
      </c>
      <c r="H1102" s="7">
        <f t="shared" ca="1" si="105"/>
        <v>-701</v>
      </c>
      <c r="I1102" s="13"/>
      <c r="J1102" s="9">
        <f t="shared" ca="1" si="106"/>
        <v>707</v>
      </c>
      <c r="K1102" s="10"/>
      <c r="L1102" s="10" t="str">
        <f t="shared" si="107"/>
        <v>Not Submitted</v>
      </c>
      <c r="M1102" s="11">
        <v>0</v>
      </c>
      <c r="N1102" s="10" t="s">
        <v>18</v>
      </c>
      <c r="O1102" s="42">
        <f t="shared" si="108"/>
        <v>0</v>
      </c>
      <c r="P1102" s="10" t="s">
        <v>2485</v>
      </c>
    </row>
    <row r="1103" spans="1:16" s="22" customFormat="1" ht="14.25" customHeight="1" x14ac:dyDescent="0.25">
      <c r="A1103" s="5" t="s">
        <v>1318</v>
      </c>
      <c r="B1103" s="22" t="s">
        <v>716</v>
      </c>
      <c r="C1103" s="22" t="s">
        <v>932</v>
      </c>
      <c r="D1103" s="18" t="s">
        <v>1319</v>
      </c>
      <c r="E1103" s="24" t="str">
        <f t="shared" si="104"/>
        <v>S0381031E006</v>
      </c>
      <c r="F1103" s="13">
        <v>44396</v>
      </c>
      <c r="G1103" s="13">
        <f t="shared" si="103"/>
        <v>44402</v>
      </c>
      <c r="H1103" s="7">
        <f t="shared" ca="1" si="105"/>
        <v>-701</v>
      </c>
      <c r="I1103" s="13"/>
      <c r="J1103" s="9">
        <f t="shared" ca="1" si="106"/>
        <v>707</v>
      </c>
      <c r="K1103" s="10"/>
      <c r="L1103" s="10" t="str">
        <f t="shared" si="107"/>
        <v>Not Submitted</v>
      </c>
      <c r="M1103" s="11">
        <v>0</v>
      </c>
      <c r="N1103" s="10" t="s">
        <v>18</v>
      </c>
      <c r="O1103" s="42">
        <f t="shared" si="108"/>
        <v>0</v>
      </c>
      <c r="P1103" s="10" t="s">
        <v>2485</v>
      </c>
    </row>
    <row r="1104" spans="1:16" s="22" customFormat="1" ht="14.25" customHeight="1" x14ac:dyDescent="0.25">
      <c r="A1104" s="5" t="s">
        <v>1320</v>
      </c>
      <c r="B1104" s="22" t="s">
        <v>716</v>
      </c>
      <c r="C1104" s="22" t="s">
        <v>932</v>
      </c>
      <c r="D1104" s="18" t="s">
        <v>1321</v>
      </c>
      <c r="E1104" s="24" t="str">
        <f t="shared" si="104"/>
        <v>S0381031E007</v>
      </c>
      <c r="F1104" s="13">
        <v>44396</v>
      </c>
      <c r="G1104" s="13">
        <f t="shared" si="103"/>
        <v>44402</v>
      </c>
      <c r="H1104" s="7">
        <f t="shared" ca="1" si="105"/>
        <v>-701</v>
      </c>
      <c r="I1104" s="13"/>
      <c r="J1104" s="9">
        <f t="shared" ca="1" si="106"/>
        <v>707</v>
      </c>
      <c r="K1104" s="10"/>
      <c r="L1104" s="10" t="str">
        <f t="shared" si="107"/>
        <v>Not Submitted</v>
      </c>
      <c r="M1104" s="11">
        <v>0</v>
      </c>
      <c r="N1104" s="10" t="s">
        <v>18</v>
      </c>
      <c r="O1104" s="42">
        <f t="shared" si="108"/>
        <v>0</v>
      </c>
      <c r="P1104" s="10" t="s">
        <v>2485</v>
      </c>
    </row>
    <row r="1105" spans="1:16" s="22" customFormat="1" ht="14.25" customHeight="1" x14ac:dyDescent="0.25">
      <c r="A1105" s="5" t="s">
        <v>1322</v>
      </c>
      <c r="B1105" s="22" t="s">
        <v>716</v>
      </c>
      <c r="C1105" s="22" t="s">
        <v>932</v>
      </c>
      <c r="D1105" s="18" t="s">
        <v>1323</v>
      </c>
      <c r="E1105" s="24" t="str">
        <f t="shared" si="104"/>
        <v>S0381042E003</v>
      </c>
      <c r="F1105" s="13">
        <v>44396</v>
      </c>
      <c r="G1105" s="13">
        <f t="shared" si="103"/>
        <v>44402</v>
      </c>
      <c r="H1105" s="7">
        <f t="shared" ca="1" si="105"/>
        <v>-701</v>
      </c>
      <c r="I1105" s="13"/>
      <c r="J1105" s="9">
        <f t="shared" ca="1" si="106"/>
        <v>707</v>
      </c>
      <c r="K1105" s="10"/>
      <c r="L1105" s="10" t="str">
        <f t="shared" si="107"/>
        <v>Not Submitted</v>
      </c>
      <c r="M1105" s="11">
        <v>0</v>
      </c>
      <c r="N1105" s="10" t="s">
        <v>18</v>
      </c>
      <c r="O1105" s="42">
        <f t="shared" si="108"/>
        <v>0</v>
      </c>
      <c r="P1105" s="10" t="s">
        <v>2485</v>
      </c>
    </row>
    <row r="1106" spans="1:16" s="22" customFormat="1" ht="14.25" customHeight="1" x14ac:dyDescent="0.25">
      <c r="A1106" s="5" t="s">
        <v>1324</v>
      </c>
      <c r="B1106" s="22" t="s">
        <v>716</v>
      </c>
      <c r="C1106" s="22" t="s">
        <v>932</v>
      </c>
      <c r="D1106" s="18" t="s">
        <v>1325</v>
      </c>
      <c r="E1106" s="24" t="str">
        <f t="shared" si="104"/>
        <v>S0381051E001</v>
      </c>
      <c r="F1106" s="13">
        <v>44396</v>
      </c>
      <c r="G1106" s="13">
        <f t="shared" si="103"/>
        <v>44402</v>
      </c>
      <c r="H1106" s="7">
        <f t="shared" ca="1" si="105"/>
        <v>-701</v>
      </c>
      <c r="I1106" s="13"/>
      <c r="J1106" s="9">
        <f t="shared" ca="1" si="106"/>
        <v>707</v>
      </c>
      <c r="K1106" s="10"/>
      <c r="L1106" s="10" t="str">
        <f t="shared" si="107"/>
        <v>Not Submitted</v>
      </c>
      <c r="M1106" s="11">
        <v>0</v>
      </c>
      <c r="N1106" s="10" t="s">
        <v>18</v>
      </c>
      <c r="O1106" s="42">
        <f t="shared" si="108"/>
        <v>0</v>
      </c>
      <c r="P1106" s="10" t="s">
        <v>2485</v>
      </c>
    </row>
    <row r="1107" spans="1:16" s="22" customFormat="1" ht="14.25" customHeight="1" x14ac:dyDescent="0.25">
      <c r="A1107" s="5" t="s">
        <v>1326</v>
      </c>
      <c r="B1107" s="22" t="s">
        <v>716</v>
      </c>
      <c r="C1107" s="22" t="s">
        <v>932</v>
      </c>
      <c r="D1107" s="18" t="s">
        <v>1327</v>
      </c>
      <c r="E1107" s="24" t="str">
        <f t="shared" si="104"/>
        <v>S0381051E004</v>
      </c>
      <c r="F1107" s="13">
        <v>44396</v>
      </c>
      <c r="G1107" s="13">
        <f t="shared" si="103"/>
        <v>44402</v>
      </c>
      <c r="H1107" s="7">
        <f t="shared" ca="1" si="105"/>
        <v>-701</v>
      </c>
      <c r="I1107" s="13"/>
      <c r="J1107" s="9">
        <f t="shared" ca="1" si="106"/>
        <v>707</v>
      </c>
      <c r="K1107" s="10"/>
      <c r="L1107" s="10" t="str">
        <f t="shared" si="107"/>
        <v>Not Submitted</v>
      </c>
      <c r="M1107" s="11">
        <v>0</v>
      </c>
      <c r="N1107" s="10" t="s">
        <v>18</v>
      </c>
      <c r="O1107" s="42">
        <f t="shared" si="108"/>
        <v>0</v>
      </c>
      <c r="P1107" s="10" t="s">
        <v>2485</v>
      </c>
    </row>
    <row r="1108" spans="1:16" s="22" customFormat="1" ht="14.25" customHeight="1" x14ac:dyDescent="0.25">
      <c r="A1108" s="5" t="s">
        <v>1328</v>
      </c>
      <c r="B1108" s="22" t="s">
        <v>716</v>
      </c>
      <c r="C1108" s="22" t="s">
        <v>932</v>
      </c>
      <c r="D1108" s="18" t="s">
        <v>1329</v>
      </c>
      <c r="E1108" s="24" t="str">
        <f t="shared" si="104"/>
        <v>S0381051E006</v>
      </c>
      <c r="F1108" s="13">
        <v>44396</v>
      </c>
      <c r="G1108" s="13">
        <f t="shared" ref="G1108:G1118" si="109">F1108+6</f>
        <v>44402</v>
      </c>
      <c r="H1108" s="7">
        <f t="shared" ca="1" si="105"/>
        <v>-701</v>
      </c>
      <c r="I1108" s="13"/>
      <c r="J1108" s="9">
        <f t="shared" ca="1" si="106"/>
        <v>707</v>
      </c>
      <c r="K1108" s="10"/>
      <c r="L1108" s="10" t="str">
        <f t="shared" si="107"/>
        <v>Not Submitted</v>
      </c>
      <c r="M1108" s="11">
        <v>0</v>
      </c>
      <c r="N1108" s="10" t="s">
        <v>18</v>
      </c>
      <c r="O1108" s="42">
        <f t="shared" si="108"/>
        <v>0</v>
      </c>
      <c r="P1108" s="10" t="s">
        <v>2485</v>
      </c>
    </row>
    <row r="1109" spans="1:16" s="22" customFormat="1" ht="14.25" customHeight="1" x14ac:dyDescent="0.25">
      <c r="A1109" s="5" t="s">
        <v>1330</v>
      </c>
      <c r="B1109" s="22" t="s">
        <v>716</v>
      </c>
      <c r="C1109" s="22" t="s">
        <v>932</v>
      </c>
      <c r="D1109" s="18" t="s">
        <v>1331</v>
      </c>
      <c r="E1109" s="24" t="str">
        <f t="shared" si="104"/>
        <v>S0381051E007</v>
      </c>
      <c r="F1109" s="13">
        <v>44396</v>
      </c>
      <c r="G1109" s="13">
        <f t="shared" si="109"/>
        <v>44402</v>
      </c>
      <c r="H1109" s="7">
        <f t="shared" ca="1" si="105"/>
        <v>-701</v>
      </c>
      <c r="I1109" s="13"/>
      <c r="J1109" s="9">
        <f t="shared" ca="1" si="106"/>
        <v>707</v>
      </c>
      <c r="K1109" s="10"/>
      <c r="L1109" s="10" t="str">
        <f t="shared" si="107"/>
        <v>Not Submitted</v>
      </c>
      <c r="M1109" s="11">
        <v>0</v>
      </c>
      <c r="N1109" s="10" t="s">
        <v>18</v>
      </c>
      <c r="O1109" s="42">
        <f t="shared" si="108"/>
        <v>0</v>
      </c>
      <c r="P1109" s="10" t="s">
        <v>2485</v>
      </c>
    </row>
    <row r="1110" spans="1:16" s="22" customFormat="1" ht="14.25" customHeight="1" x14ac:dyDescent="0.25">
      <c r="A1110" s="5" t="s">
        <v>1332</v>
      </c>
      <c r="B1110" s="22" t="s">
        <v>716</v>
      </c>
      <c r="C1110" s="22" t="s">
        <v>787</v>
      </c>
      <c r="D1110" s="18" t="s">
        <v>1333</v>
      </c>
      <c r="E1110" s="24" t="str">
        <f t="shared" si="104"/>
        <v>S0381051E012</v>
      </c>
      <c r="F1110" s="13">
        <v>44396</v>
      </c>
      <c r="G1110" s="13">
        <f t="shared" si="109"/>
        <v>44402</v>
      </c>
      <c r="H1110" s="7">
        <f t="shared" ca="1" si="105"/>
        <v>-701</v>
      </c>
      <c r="I1110" s="13"/>
      <c r="J1110" s="9">
        <f t="shared" ca="1" si="106"/>
        <v>707</v>
      </c>
      <c r="K1110" s="10"/>
      <c r="L1110" s="10" t="str">
        <f t="shared" si="107"/>
        <v>Not Submitted</v>
      </c>
      <c r="M1110" s="11">
        <v>0</v>
      </c>
      <c r="N1110" s="10" t="s">
        <v>18</v>
      </c>
      <c r="O1110" s="42">
        <f t="shared" si="108"/>
        <v>0</v>
      </c>
      <c r="P1110" s="10" t="s">
        <v>2485</v>
      </c>
    </row>
    <row r="1111" spans="1:16" s="22" customFormat="1" ht="14.25" customHeight="1" x14ac:dyDescent="0.25">
      <c r="A1111" s="5" t="s">
        <v>1334</v>
      </c>
      <c r="B1111" s="22" t="s">
        <v>716</v>
      </c>
      <c r="C1111" s="22" t="s">
        <v>787</v>
      </c>
      <c r="D1111" s="18" t="s">
        <v>1335</v>
      </c>
      <c r="E1111" s="24" t="str">
        <f t="shared" si="104"/>
        <v>S0381051E013</v>
      </c>
      <c r="F1111" s="13">
        <v>44396</v>
      </c>
      <c r="G1111" s="13">
        <f t="shared" si="109"/>
        <v>44402</v>
      </c>
      <c r="H1111" s="7">
        <f t="shared" ca="1" si="105"/>
        <v>-701</v>
      </c>
      <c r="I1111" s="13"/>
      <c r="J1111" s="9">
        <f t="shared" ca="1" si="106"/>
        <v>707</v>
      </c>
      <c r="K1111" s="10"/>
      <c r="L1111" s="10" t="str">
        <f t="shared" si="107"/>
        <v>Not Submitted</v>
      </c>
      <c r="M1111" s="11">
        <v>0</v>
      </c>
      <c r="N1111" s="10" t="s">
        <v>18</v>
      </c>
      <c r="O1111" s="42">
        <f t="shared" si="108"/>
        <v>0</v>
      </c>
      <c r="P1111" s="10" t="s">
        <v>2485</v>
      </c>
    </row>
    <row r="1112" spans="1:16" s="22" customFormat="1" ht="14.25" customHeight="1" x14ac:dyDescent="0.25">
      <c r="A1112" s="5" t="s">
        <v>1336</v>
      </c>
      <c r="B1112" s="22" t="s">
        <v>716</v>
      </c>
      <c r="C1112" s="22" t="s">
        <v>787</v>
      </c>
      <c r="D1112" s="18" t="s">
        <v>1337</v>
      </c>
      <c r="E1112" s="24" t="str">
        <f t="shared" si="104"/>
        <v>S0381331P007</v>
      </c>
      <c r="F1112" s="13">
        <v>44396</v>
      </c>
      <c r="G1112" s="13">
        <f t="shared" si="109"/>
        <v>44402</v>
      </c>
      <c r="H1112" s="7">
        <f t="shared" ca="1" si="105"/>
        <v>-701</v>
      </c>
      <c r="I1112" s="13"/>
      <c r="J1112" s="9">
        <f t="shared" ca="1" si="106"/>
        <v>707</v>
      </c>
      <c r="K1112" s="10"/>
      <c r="L1112" s="10" t="str">
        <f t="shared" si="107"/>
        <v>Not Submitted</v>
      </c>
      <c r="M1112" s="11">
        <v>0</v>
      </c>
      <c r="N1112" s="10" t="s">
        <v>18</v>
      </c>
      <c r="O1112" s="42">
        <f t="shared" si="108"/>
        <v>0</v>
      </c>
      <c r="P1112" s="10" t="s">
        <v>2485</v>
      </c>
    </row>
    <row r="1113" spans="1:16" s="22" customFormat="1" ht="14.25" customHeight="1" x14ac:dyDescent="0.25">
      <c r="A1113" s="5" t="s">
        <v>1492</v>
      </c>
      <c r="B1113" s="22" t="s">
        <v>716</v>
      </c>
      <c r="C1113" s="22" t="s">
        <v>932</v>
      </c>
      <c r="D1113" s="18" t="s">
        <v>1493</v>
      </c>
      <c r="E1113" s="24" t="str">
        <f t="shared" si="104"/>
        <v>S0150351E001</v>
      </c>
      <c r="F1113" s="13">
        <v>44410</v>
      </c>
      <c r="G1113" s="13">
        <f t="shared" si="109"/>
        <v>44416</v>
      </c>
      <c r="H1113" s="7">
        <f t="shared" ca="1" si="105"/>
        <v>-687</v>
      </c>
      <c r="I1113" s="13"/>
      <c r="J1113" s="9">
        <f t="shared" ca="1" si="106"/>
        <v>693</v>
      </c>
      <c r="K1113" s="10"/>
      <c r="L1113" s="10" t="str">
        <f t="shared" si="107"/>
        <v>Not Submitted</v>
      </c>
      <c r="M1113" s="11">
        <v>0</v>
      </c>
      <c r="N1113" s="10" t="s">
        <v>18</v>
      </c>
      <c r="O1113" s="42">
        <f t="shared" si="108"/>
        <v>0</v>
      </c>
      <c r="P1113" s="10" t="s">
        <v>2485</v>
      </c>
    </row>
    <row r="1114" spans="1:16" s="22" customFormat="1" ht="14.25" customHeight="1" x14ac:dyDescent="0.25">
      <c r="A1114" s="5" t="s">
        <v>1494</v>
      </c>
      <c r="B1114" s="22" t="s">
        <v>716</v>
      </c>
      <c r="C1114" s="22" t="s">
        <v>985</v>
      </c>
      <c r="D1114" s="18" t="s">
        <v>1495</v>
      </c>
      <c r="E1114" s="24" t="str">
        <f t="shared" si="104"/>
        <v>S0410432E004</v>
      </c>
      <c r="F1114" s="13">
        <v>44410</v>
      </c>
      <c r="G1114" s="13">
        <f t="shared" si="109"/>
        <v>44416</v>
      </c>
      <c r="H1114" s="7">
        <f t="shared" ca="1" si="105"/>
        <v>-687</v>
      </c>
      <c r="I1114" s="13"/>
      <c r="J1114" s="9">
        <f t="shared" ca="1" si="106"/>
        <v>693</v>
      </c>
      <c r="K1114" s="10"/>
      <c r="L1114" s="10" t="str">
        <f t="shared" si="107"/>
        <v>Not Submitted</v>
      </c>
      <c r="M1114" s="11">
        <v>0</v>
      </c>
      <c r="N1114" s="10" t="s">
        <v>18</v>
      </c>
      <c r="O1114" s="42">
        <f t="shared" si="108"/>
        <v>0</v>
      </c>
      <c r="P1114" s="10" t="s">
        <v>2485</v>
      </c>
    </row>
    <row r="1115" spans="1:16" s="22" customFormat="1" ht="14.25" customHeight="1" x14ac:dyDescent="0.25">
      <c r="A1115" s="5" t="s">
        <v>1496</v>
      </c>
      <c r="B1115" s="22" t="s">
        <v>716</v>
      </c>
      <c r="C1115" s="22" t="s">
        <v>985</v>
      </c>
      <c r="D1115" s="18" t="s">
        <v>1497</v>
      </c>
      <c r="E1115" s="24" t="str">
        <f t="shared" si="104"/>
        <v>S0571882E019</v>
      </c>
      <c r="F1115" s="13">
        <v>44410</v>
      </c>
      <c r="G1115" s="13">
        <f t="shared" si="109"/>
        <v>44416</v>
      </c>
      <c r="H1115" s="7">
        <f t="shared" ca="1" si="105"/>
        <v>-687</v>
      </c>
      <c r="I1115" s="13"/>
      <c r="J1115" s="9">
        <f t="shared" ca="1" si="106"/>
        <v>693</v>
      </c>
      <c r="K1115" s="10"/>
      <c r="L1115" s="10" t="str">
        <f t="shared" si="107"/>
        <v>Not Submitted</v>
      </c>
      <c r="M1115" s="11">
        <v>0</v>
      </c>
      <c r="N1115" s="10" t="s">
        <v>18</v>
      </c>
      <c r="O1115" s="42">
        <f t="shared" si="108"/>
        <v>0</v>
      </c>
      <c r="P1115" s="10" t="s">
        <v>2485</v>
      </c>
    </row>
    <row r="1116" spans="1:16" s="22" customFormat="1" ht="14.25" customHeight="1" x14ac:dyDescent="0.25">
      <c r="A1116" s="5" t="s">
        <v>1655</v>
      </c>
      <c r="B1116" s="22" t="s">
        <v>716</v>
      </c>
      <c r="C1116" s="22" t="s">
        <v>735</v>
      </c>
      <c r="D1116" s="18" t="s">
        <v>1656</v>
      </c>
      <c r="E1116" s="24" t="str">
        <f t="shared" si="104"/>
        <v>V0150852E009</v>
      </c>
      <c r="F1116" s="13">
        <v>44424</v>
      </c>
      <c r="G1116" s="13">
        <f t="shared" si="109"/>
        <v>44430</v>
      </c>
      <c r="H1116" s="7">
        <f t="shared" ca="1" si="105"/>
        <v>-673</v>
      </c>
      <c r="I1116" s="13"/>
      <c r="J1116" s="9">
        <f t="shared" ca="1" si="106"/>
        <v>679</v>
      </c>
      <c r="K1116" s="10"/>
      <c r="L1116" s="10" t="str">
        <f t="shared" si="107"/>
        <v>Not Submitted</v>
      </c>
      <c r="M1116" s="11">
        <v>0</v>
      </c>
      <c r="N1116" s="10" t="s">
        <v>18</v>
      </c>
      <c r="O1116" s="42">
        <f t="shared" si="108"/>
        <v>0</v>
      </c>
      <c r="P1116" s="10" t="s">
        <v>2485</v>
      </c>
    </row>
    <row r="1117" spans="1:16" s="22" customFormat="1" ht="14.25" customHeight="1" x14ac:dyDescent="0.25">
      <c r="A1117" s="5" t="s">
        <v>1657</v>
      </c>
      <c r="B1117" s="22" t="s">
        <v>716</v>
      </c>
      <c r="C1117" s="22" t="s">
        <v>932</v>
      </c>
      <c r="D1117" s="18" t="s">
        <v>1658</v>
      </c>
      <c r="E1117" s="24" t="str">
        <f t="shared" si="104"/>
        <v>S0341292E002</v>
      </c>
      <c r="F1117" s="13">
        <v>44424</v>
      </c>
      <c r="G1117" s="13">
        <f t="shared" si="109"/>
        <v>44430</v>
      </c>
      <c r="H1117" s="7">
        <f t="shared" ca="1" si="105"/>
        <v>-673</v>
      </c>
      <c r="I1117" s="13"/>
      <c r="J1117" s="9">
        <f t="shared" ca="1" si="106"/>
        <v>679</v>
      </c>
      <c r="K1117" s="10"/>
      <c r="L1117" s="10" t="str">
        <f t="shared" si="107"/>
        <v>Not Submitted</v>
      </c>
      <c r="M1117" s="11">
        <v>0</v>
      </c>
      <c r="N1117" s="10" t="s">
        <v>18</v>
      </c>
      <c r="O1117" s="42">
        <f t="shared" si="108"/>
        <v>0</v>
      </c>
      <c r="P1117" s="10" t="s">
        <v>2485</v>
      </c>
    </row>
    <row r="1118" spans="1:16" s="22" customFormat="1" ht="14.25" customHeight="1" x14ac:dyDescent="0.25">
      <c r="A1118" s="5" t="s">
        <v>1659</v>
      </c>
      <c r="B1118" s="22" t="s">
        <v>716</v>
      </c>
      <c r="C1118" s="22" t="s">
        <v>932</v>
      </c>
      <c r="D1118" s="18" t="s">
        <v>1660</v>
      </c>
      <c r="E1118" s="24" t="str">
        <f t="shared" si="104"/>
        <v>S0191282E002</v>
      </c>
      <c r="F1118" s="13">
        <v>44424</v>
      </c>
      <c r="G1118" s="13">
        <f t="shared" si="109"/>
        <v>44430</v>
      </c>
      <c r="H1118" s="7">
        <f t="shared" ca="1" si="105"/>
        <v>-673</v>
      </c>
      <c r="I1118" s="13"/>
      <c r="J1118" s="9">
        <f t="shared" ca="1" si="106"/>
        <v>679</v>
      </c>
      <c r="K1118" s="10"/>
      <c r="L1118" s="10" t="str">
        <f t="shared" si="107"/>
        <v>Not Submitted</v>
      </c>
      <c r="M1118" s="11">
        <v>0</v>
      </c>
      <c r="N1118" s="10" t="s">
        <v>18</v>
      </c>
      <c r="O1118" s="42">
        <f t="shared" si="108"/>
        <v>0</v>
      </c>
      <c r="P1118" s="10" t="s">
        <v>2485</v>
      </c>
    </row>
    <row r="1119" spans="1:16" s="22" customFormat="1" ht="14.25" customHeight="1" x14ac:dyDescent="0.25">
      <c r="A1119" s="5" t="s">
        <v>1687</v>
      </c>
      <c r="B1119" s="22" t="s">
        <v>716</v>
      </c>
      <c r="C1119" s="22" t="s">
        <v>2505</v>
      </c>
      <c r="D1119" s="18" t="s">
        <v>1688</v>
      </c>
      <c r="E1119" s="24" t="str">
        <f t="shared" si="104"/>
        <v>S0370401E005</v>
      </c>
      <c r="F1119" s="13">
        <v>44431</v>
      </c>
      <c r="G1119" s="13">
        <v>44434</v>
      </c>
      <c r="H1119" s="7">
        <f t="shared" ca="1" si="105"/>
        <v>-669</v>
      </c>
      <c r="I1119" s="13"/>
      <c r="J1119" s="9">
        <f t="shared" ca="1" si="106"/>
        <v>672</v>
      </c>
      <c r="K1119" s="10"/>
      <c r="L1119" s="10" t="str">
        <f t="shared" si="107"/>
        <v>Not Submitted</v>
      </c>
      <c r="M1119" s="11">
        <v>0</v>
      </c>
      <c r="N1119" s="10" t="s">
        <v>18</v>
      </c>
      <c r="O1119" s="42">
        <f t="shared" si="108"/>
        <v>0</v>
      </c>
      <c r="P1119" s="10" t="s">
        <v>2485</v>
      </c>
    </row>
    <row r="1120" spans="1:16" s="22" customFormat="1" ht="14.25" customHeight="1" x14ac:dyDescent="0.25">
      <c r="A1120" s="5" t="s">
        <v>1689</v>
      </c>
      <c r="B1120" s="22" t="s">
        <v>716</v>
      </c>
      <c r="C1120" s="22" t="s">
        <v>787</v>
      </c>
      <c r="D1120" s="18" t="s">
        <v>1690</v>
      </c>
      <c r="E1120" s="24" t="str">
        <f t="shared" si="104"/>
        <v>V0140202E003</v>
      </c>
      <c r="F1120" s="13">
        <v>44431</v>
      </c>
      <c r="G1120" s="13">
        <v>44434</v>
      </c>
      <c r="H1120" s="7">
        <f t="shared" ca="1" si="105"/>
        <v>-669</v>
      </c>
      <c r="I1120" s="13"/>
      <c r="J1120" s="9">
        <f t="shared" ca="1" si="106"/>
        <v>672</v>
      </c>
      <c r="K1120" s="10"/>
      <c r="L1120" s="10" t="str">
        <f t="shared" si="107"/>
        <v>Not Submitted</v>
      </c>
      <c r="M1120" s="11">
        <v>0</v>
      </c>
      <c r="N1120" s="10" t="s">
        <v>18</v>
      </c>
      <c r="O1120" s="42">
        <f t="shared" si="108"/>
        <v>0</v>
      </c>
      <c r="P1120" s="10" t="s">
        <v>2485</v>
      </c>
    </row>
    <row r="1121" spans="1:16" s="22" customFormat="1" ht="14.25" customHeight="1" x14ac:dyDescent="0.25">
      <c r="A1121" s="5" t="s">
        <v>1700</v>
      </c>
      <c r="B1121" s="22" t="s">
        <v>716</v>
      </c>
      <c r="C1121" s="22" t="s">
        <v>992</v>
      </c>
      <c r="D1121" s="18" t="s">
        <v>1701</v>
      </c>
      <c r="E1121" s="24" t="str">
        <f t="shared" si="104"/>
        <v>V0130601P013</v>
      </c>
      <c r="F1121" s="13">
        <v>44431</v>
      </c>
      <c r="G1121" s="13">
        <v>44434</v>
      </c>
      <c r="H1121" s="7">
        <f t="shared" ca="1" si="105"/>
        <v>-669</v>
      </c>
      <c r="I1121" s="13"/>
      <c r="J1121" s="9">
        <f t="shared" ca="1" si="106"/>
        <v>672</v>
      </c>
      <c r="K1121" s="10"/>
      <c r="L1121" s="10" t="str">
        <f t="shared" si="107"/>
        <v>Not Submitted</v>
      </c>
      <c r="M1121" s="11">
        <v>0</v>
      </c>
      <c r="N1121" s="10" t="s">
        <v>18</v>
      </c>
      <c r="O1121" s="42">
        <f t="shared" si="108"/>
        <v>0</v>
      </c>
      <c r="P1121" s="10" t="s">
        <v>2485</v>
      </c>
    </row>
    <row r="1122" spans="1:16" s="22" customFormat="1" ht="14.25" customHeight="1" x14ac:dyDescent="0.25">
      <c r="A1122" s="5" t="s">
        <v>1712</v>
      </c>
      <c r="B1122" s="22" t="s">
        <v>716</v>
      </c>
      <c r="C1122" s="22" t="s">
        <v>1043</v>
      </c>
      <c r="D1122" s="18" t="s">
        <v>1713</v>
      </c>
      <c r="E1122" s="24" t="str">
        <f t="shared" si="104"/>
        <v>V0130783E005</v>
      </c>
      <c r="F1122" s="13">
        <v>44431</v>
      </c>
      <c r="G1122" s="13">
        <v>44434</v>
      </c>
      <c r="H1122" s="7">
        <f t="shared" ca="1" si="105"/>
        <v>-669</v>
      </c>
      <c r="I1122" s="13"/>
      <c r="J1122" s="9">
        <f t="shared" ca="1" si="106"/>
        <v>672</v>
      </c>
      <c r="K1122" s="10"/>
      <c r="L1122" s="10" t="str">
        <f t="shared" si="107"/>
        <v>Not Submitted</v>
      </c>
      <c r="M1122" s="11">
        <v>0</v>
      </c>
      <c r="N1122" s="10" t="s">
        <v>18</v>
      </c>
      <c r="O1122" s="42">
        <f t="shared" si="108"/>
        <v>0</v>
      </c>
      <c r="P1122" s="10" t="s">
        <v>2485</v>
      </c>
    </row>
    <row r="1123" spans="1:16" s="22" customFormat="1" ht="14.25" customHeight="1" x14ac:dyDescent="0.25">
      <c r="A1123" s="5" t="s">
        <v>1722</v>
      </c>
      <c r="B1123" s="22" t="s">
        <v>716</v>
      </c>
      <c r="C1123" s="22" t="s">
        <v>1694</v>
      </c>
      <c r="D1123" s="18" t="s">
        <v>1723</v>
      </c>
      <c r="E1123" s="24" t="str">
        <f t="shared" si="104"/>
        <v>S0170292E001</v>
      </c>
      <c r="F1123" s="13">
        <v>44431</v>
      </c>
      <c r="G1123" s="13">
        <v>44434</v>
      </c>
      <c r="H1123" s="7">
        <f t="shared" ca="1" si="105"/>
        <v>-669</v>
      </c>
      <c r="I1123" s="13"/>
      <c r="J1123" s="9">
        <f t="shared" ca="1" si="106"/>
        <v>672</v>
      </c>
      <c r="K1123" s="10"/>
      <c r="L1123" s="10" t="str">
        <f t="shared" si="107"/>
        <v>Not Submitted</v>
      </c>
      <c r="M1123" s="11">
        <v>0</v>
      </c>
      <c r="N1123" s="10" t="s">
        <v>18</v>
      </c>
      <c r="O1123" s="42">
        <f t="shared" si="108"/>
        <v>0</v>
      </c>
      <c r="P1123" s="10" t="s">
        <v>2485</v>
      </c>
    </row>
    <row r="1124" spans="1:16" s="22" customFormat="1" ht="14.25" customHeight="1" x14ac:dyDescent="0.25">
      <c r="A1124" s="5" t="s">
        <v>1724</v>
      </c>
      <c r="B1124" s="22" t="s">
        <v>716</v>
      </c>
      <c r="C1124" s="22" t="s">
        <v>1694</v>
      </c>
      <c r="D1124" s="18" t="s">
        <v>1725</v>
      </c>
      <c r="E1124" s="24" t="str">
        <f t="shared" si="104"/>
        <v>S0350272E005</v>
      </c>
      <c r="F1124" s="13">
        <v>44431</v>
      </c>
      <c r="G1124" s="13">
        <v>44434</v>
      </c>
      <c r="H1124" s="7">
        <f t="shared" ca="1" si="105"/>
        <v>-669</v>
      </c>
      <c r="I1124" s="13"/>
      <c r="J1124" s="9">
        <f t="shared" ca="1" si="106"/>
        <v>672</v>
      </c>
      <c r="K1124" s="10"/>
      <c r="L1124" s="10" t="str">
        <f t="shared" si="107"/>
        <v>Not Submitted</v>
      </c>
      <c r="M1124" s="11">
        <v>0</v>
      </c>
      <c r="N1124" s="10" t="s">
        <v>18</v>
      </c>
      <c r="O1124" s="42">
        <f t="shared" si="108"/>
        <v>0</v>
      </c>
      <c r="P1124" s="10" t="s">
        <v>2485</v>
      </c>
    </row>
    <row r="1125" spans="1:16" s="22" customFormat="1" ht="14.25" customHeight="1" x14ac:dyDescent="0.25">
      <c r="A1125" s="5" t="s">
        <v>1726</v>
      </c>
      <c r="B1125" s="22" t="s">
        <v>716</v>
      </c>
      <c r="C1125" s="22" t="s">
        <v>985</v>
      </c>
      <c r="D1125" s="18" t="s">
        <v>1727</v>
      </c>
      <c r="E1125" s="24" t="str">
        <f t="shared" si="104"/>
        <v>S0150737E001</v>
      </c>
      <c r="F1125" s="13">
        <v>44435</v>
      </c>
      <c r="G1125" s="13">
        <v>44437</v>
      </c>
      <c r="H1125" s="7">
        <f t="shared" ca="1" si="105"/>
        <v>-666</v>
      </c>
      <c r="I1125" s="13"/>
      <c r="J1125" s="9">
        <f t="shared" ca="1" si="106"/>
        <v>668</v>
      </c>
      <c r="K1125" s="10"/>
      <c r="L1125" s="10" t="str">
        <f t="shared" si="107"/>
        <v>Not Submitted</v>
      </c>
      <c r="M1125" s="11">
        <v>0</v>
      </c>
      <c r="N1125" s="10" t="s">
        <v>18</v>
      </c>
      <c r="O1125" s="42">
        <f t="shared" si="108"/>
        <v>0</v>
      </c>
      <c r="P1125" s="10" t="s">
        <v>2485</v>
      </c>
    </row>
    <row r="1126" spans="1:16" s="22" customFormat="1" ht="14.25" customHeight="1" x14ac:dyDescent="0.25">
      <c r="A1126" s="5" t="s">
        <v>1730</v>
      </c>
      <c r="B1126" s="22" t="s">
        <v>716</v>
      </c>
      <c r="C1126" s="22" t="s">
        <v>992</v>
      </c>
      <c r="D1126" s="18" t="s">
        <v>1731</v>
      </c>
      <c r="E1126" s="24" t="str">
        <f t="shared" si="104"/>
        <v>S0300392E001</v>
      </c>
      <c r="F1126" s="13">
        <v>44435</v>
      </c>
      <c r="G1126" s="13">
        <v>44437</v>
      </c>
      <c r="H1126" s="7">
        <f t="shared" ca="1" si="105"/>
        <v>-666</v>
      </c>
      <c r="I1126" s="13"/>
      <c r="J1126" s="9">
        <f t="shared" ca="1" si="106"/>
        <v>668</v>
      </c>
      <c r="K1126" s="10"/>
      <c r="L1126" s="10" t="str">
        <f t="shared" si="107"/>
        <v>Not Submitted</v>
      </c>
      <c r="M1126" s="11">
        <v>0</v>
      </c>
      <c r="N1126" s="10" t="s">
        <v>18</v>
      </c>
      <c r="O1126" s="42">
        <f t="shared" si="108"/>
        <v>0</v>
      </c>
      <c r="P1126" s="10" t="s">
        <v>2485</v>
      </c>
    </row>
    <row r="1127" spans="1:16" s="22" customFormat="1" ht="14.25" customHeight="1" x14ac:dyDescent="0.25">
      <c r="A1127" s="5" t="s">
        <v>1732</v>
      </c>
      <c r="B1127" s="22" t="s">
        <v>716</v>
      </c>
      <c r="C1127" s="22" t="s">
        <v>787</v>
      </c>
      <c r="D1127" s="18" t="s">
        <v>1733</v>
      </c>
      <c r="E1127" s="24" t="str">
        <f t="shared" si="104"/>
        <v>S0580102E001</v>
      </c>
      <c r="F1127" s="13">
        <v>44435</v>
      </c>
      <c r="G1127" s="13">
        <v>44437</v>
      </c>
      <c r="H1127" s="7">
        <f t="shared" ca="1" si="105"/>
        <v>-666</v>
      </c>
      <c r="I1127" s="13"/>
      <c r="J1127" s="9">
        <f t="shared" ca="1" si="106"/>
        <v>668</v>
      </c>
      <c r="K1127" s="10"/>
      <c r="L1127" s="10" t="str">
        <f t="shared" si="107"/>
        <v>Not Submitted</v>
      </c>
      <c r="M1127" s="11">
        <v>0</v>
      </c>
      <c r="N1127" s="10" t="s">
        <v>18</v>
      </c>
      <c r="O1127" s="42">
        <f t="shared" si="108"/>
        <v>0</v>
      </c>
      <c r="P1127" s="10" t="s">
        <v>2485</v>
      </c>
    </row>
    <row r="1128" spans="1:16" s="22" customFormat="1" ht="14.25" customHeight="1" x14ac:dyDescent="0.25">
      <c r="A1128" s="5" t="s">
        <v>1738</v>
      </c>
      <c r="B1128" s="22" t="s">
        <v>716</v>
      </c>
      <c r="C1128" s="22" t="s">
        <v>1450</v>
      </c>
      <c r="D1128" s="18" t="s">
        <v>1739</v>
      </c>
      <c r="E1128" s="24" t="str">
        <f t="shared" si="104"/>
        <v>V0130103E005</v>
      </c>
      <c r="F1128" s="13">
        <v>44435</v>
      </c>
      <c r="G1128" s="13">
        <v>44437</v>
      </c>
      <c r="H1128" s="7">
        <f t="shared" ca="1" si="105"/>
        <v>-666</v>
      </c>
      <c r="I1128" s="13"/>
      <c r="J1128" s="9">
        <f t="shared" ca="1" si="106"/>
        <v>668</v>
      </c>
      <c r="K1128" s="10"/>
      <c r="L1128" s="10" t="str">
        <f t="shared" si="107"/>
        <v>Not Submitted</v>
      </c>
      <c r="M1128" s="11">
        <v>0</v>
      </c>
      <c r="N1128" s="10" t="s">
        <v>18</v>
      </c>
      <c r="O1128" s="42">
        <f t="shared" si="108"/>
        <v>0</v>
      </c>
      <c r="P1128" s="10" t="s">
        <v>2485</v>
      </c>
    </row>
    <row r="1129" spans="1:16" s="22" customFormat="1" ht="14.25" customHeight="1" x14ac:dyDescent="0.25">
      <c r="A1129" s="5" t="s">
        <v>1748</v>
      </c>
      <c r="B1129" s="22" t="s">
        <v>716</v>
      </c>
      <c r="C1129" s="22" t="s">
        <v>787</v>
      </c>
      <c r="D1129" s="18" t="s">
        <v>1749</v>
      </c>
      <c r="E1129" s="24" t="str">
        <f t="shared" si="104"/>
        <v>S0291362E006</v>
      </c>
      <c r="F1129" s="13">
        <v>44435</v>
      </c>
      <c r="G1129" s="13">
        <v>44437</v>
      </c>
      <c r="H1129" s="7">
        <f t="shared" ca="1" si="105"/>
        <v>-666</v>
      </c>
      <c r="I1129" s="13"/>
      <c r="J1129" s="9">
        <f t="shared" ca="1" si="106"/>
        <v>668</v>
      </c>
      <c r="K1129" s="10" t="s">
        <v>1412</v>
      </c>
      <c r="L1129" s="10" t="str">
        <f t="shared" si="107"/>
        <v>Rejected</v>
      </c>
      <c r="M1129" s="11">
        <v>1</v>
      </c>
      <c r="N1129" s="10" t="s">
        <v>18</v>
      </c>
      <c r="O1129" s="42">
        <f t="shared" si="108"/>
        <v>0</v>
      </c>
      <c r="P1129" s="10" t="s">
        <v>2485</v>
      </c>
    </row>
    <row r="1130" spans="1:16" s="22" customFormat="1" ht="14.25" customHeight="1" x14ac:dyDescent="0.25">
      <c r="A1130" s="5" t="s">
        <v>1750</v>
      </c>
      <c r="B1130" s="22" t="s">
        <v>716</v>
      </c>
      <c r="C1130" s="22" t="s">
        <v>787</v>
      </c>
      <c r="D1130" s="18" t="s">
        <v>1751</v>
      </c>
      <c r="E1130" s="24" t="str">
        <f t="shared" si="104"/>
        <v>S0510501E002</v>
      </c>
      <c r="F1130" s="13">
        <v>44435</v>
      </c>
      <c r="G1130" s="13">
        <v>44437</v>
      </c>
      <c r="H1130" s="7">
        <f t="shared" ca="1" si="105"/>
        <v>-666</v>
      </c>
      <c r="I1130" s="13"/>
      <c r="J1130" s="9">
        <f t="shared" ca="1" si="106"/>
        <v>668</v>
      </c>
      <c r="K1130" s="10" t="s">
        <v>1412</v>
      </c>
      <c r="L1130" s="10" t="str">
        <f t="shared" si="107"/>
        <v>Rejected</v>
      </c>
      <c r="M1130" s="11">
        <v>1</v>
      </c>
      <c r="N1130" s="10" t="s">
        <v>18</v>
      </c>
      <c r="O1130" s="42">
        <f t="shared" si="108"/>
        <v>0</v>
      </c>
      <c r="P1130" s="10" t="s">
        <v>2485</v>
      </c>
    </row>
    <row r="1131" spans="1:16" s="22" customFormat="1" ht="14.25" customHeight="1" x14ac:dyDescent="0.25">
      <c r="A1131" s="5" t="s">
        <v>1752</v>
      </c>
      <c r="B1131" s="22" t="s">
        <v>716</v>
      </c>
      <c r="C1131" s="22" t="s">
        <v>985</v>
      </c>
      <c r="D1131" s="18" t="s">
        <v>1753</v>
      </c>
      <c r="E1131" s="24" t="str">
        <f t="shared" si="104"/>
        <v>S0151151P025</v>
      </c>
      <c r="F1131" s="13">
        <v>44435</v>
      </c>
      <c r="G1131" s="13">
        <v>44437</v>
      </c>
      <c r="H1131" s="7">
        <f t="shared" ca="1" si="105"/>
        <v>-666</v>
      </c>
      <c r="I1131" s="13"/>
      <c r="J1131" s="9">
        <f t="shared" ca="1" si="106"/>
        <v>668</v>
      </c>
      <c r="K1131" s="10" t="s">
        <v>771</v>
      </c>
      <c r="L1131" s="10" t="str">
        <f t="shared" si="107"/>
        <v>Rejected</v>
      </c>
      <c r="M1131" s="11">
        <v>1</v>
      </c>
      <c r="N1131" s="10" t="s">
        <v>18</v>
      </c>
      <c r="O1131" s="42">
        <f t="shared" si="108"/>
        <v>0</v>
      </c>
      <c r="P1131" s="10" t="s">
        <v>2485</v>
      </c>
    </row>
    <row r="1132" spans="1:16" s="22" customFormat="1" ht="14.25" customHeight="1" x14ac:dyDescent="0.25">
      <c r="A1132" s="5" t="s">
        <v>1756</v>
      </c>
      <c r="B1132" s="22" t="s">
        <v>716</v>
      </c>
      <c r="C1132" s="22" t="s">
        <v>985</v>
      </c>
      <c r="D1132" s="18" t="s">
        <v>1757</v>
      </c>
      <c r="E1132" s="24" t="str">
        <f t="shared" si="104"/>
        <v>S0150874E001</v>
      </c>
      <c r="F1132" s="13">
        <v>44438</v>
      </c>
      <c r="G1132" s="13">
        <v>44441</v>
      </c>
      <c r="H1132" s="7">
        <f t="shared" ca="1" si="105"/>
        <v>-662</v>
      </c>
      <c r="I1132" s="13"/>
      <c r="J1132" s="9">
        <f t="shared" ca="1" si="106"/>
        <v>665</v>
      </c>
      <c r="K1132" s="10"/>
      <c r="L1132" s="10" t="str">
        <f t="shared" si="107"/>
        <v>Not Submitted</v>
      </c>
      <c r="M1132" s="11">
        <v>0</v>
      </c>
      <c r="N1132" s="10" t="s">
        <v>18</v>
      </c>
      <c r="O1132" s="42">
        <f t="shared" si="108"/>
        <v>0</v>
      </c>
      <c r="P1132" s="10" t="s">
        <v>2485</v>
      </c>
    </row>
    <row r="1133" spans="1:16" s="22" customFormat="1" ht="14.25" customHeight="1" x14ac:dyDescent="0.25">
      <c r="A1133" s="5" t="s">
        <v>1758</v>
      </c>
      <c r="B1133" s="22" t="s">
        <v>716</v>
      </c>
      <c r="C1133" s="22" t="s">
        <v>992</v>
      </c>
      <c r="D1133" s="18" t="s">
        <v>1759</v>
      </c>
      <c r="E1133" s="24" t="str">
        <f t="shared" si="104"/>
        <v>S0400761E001</v>
      </c>
      <c r="F1133" s="13">
        <v>44438</v>
      </c>
      <c r="G1133" s="13">
        <v>44441</v>
      </c>
      <c r="H1133" s="7">
        <f t="shared" ca="1" si="105"/>
        <v>-662</v>
      </c>
      <c r="I1133" s="13"/>
      <c r="J1133" s="9">
        <f t="shared" ca="1" si="106"/>
        <v>665</v>
      </c>
      <c r="K1133" s="10"/>
      <c r="L1133" s="10" t="str">
        <f t="shared" si="107"/>
        <v>Not Submitted</v>
      </c>
      <c r="M1133" s="11">
        <v>0</v>
      </c>
      <c r="N1133" s="10" t="s">
        <v>18</v>
      </c>
      <c r="O1133" s="42">
        <f t="shared" si="108"/>
        <v>0</v>
      </c>
      <c r="P1133" s="10" t="s">
        <v>2485</v>
      </c>
    </row>
    <row r="1134" spans="1:16" s="22" customFormat="1" ht="14.25" customHeight="1" x14ac:dyDescent="0.25">
      <c r="A1134" s="5" t="s">
        <v>1766</v>
      </c>
      <c r="B1134" s="22" t="s">
        <v>716</v>
      </c>
      <c r="C1134" s="22" t="s">
        <v>2473</v>
      </c>
      <c r="D1134" s="18" t="s">
        <v>1767</v>
      </c>
      <c r="E1134" s="24" t="str">
        <f t="shared" si="104"/>
        <v>T0055601P001</v>
      </c>
      <c r="F1134" s="13">
        <v>44438</v>
      </c>
      <c r="G1134" s="13">
        <v>44441</v>
      </c>
      <c r="H1134" s="7">
        <f t="shared" ca="1" si="105"/>
        <v>-662</v>
      </c>
      <c r="I1134" s="13"/>
      <c r="J1134" s="9">
        <f t="shared" ca="1" si="106"/>
        <v>665</v>
      </c>
      <c r="K1134" s="10"/>
      <c r="L1134" s="10" t="str">
        <f t="shared" si="107"/>
        <v>Not Submitted</v>
      </c>
      <c r="M1134" s="11">
        <v>0</v>
      </c>
      <c r="N1134" s="10" t="s">
        <v>18</v>
      </c>
      <c r="O1134" s="42">
        <f t="shared" si="108"/>
        <v>0</v>
      </c>
      <c r="P1134" s="10" t="s">
        <v>2485</v>
      </c>
    </row>
    <row r="1135" spans="1:16" s="22" customFormat="1" ht="14.25" customHeight="1" x14ac:dyDescent="0.25">
      <c r="A1135" s="5" t="s">
        <v>1782</v>
      </c>
      <c r="B1135" s="22" t="s">
        <v>716</v>
      </c>
      <c r="C1135" s="22" t="s">
        <v>1043</v>
      </c>
      <c r="D1135" s="18" t="s">
        <v>1783</v>
      </c>
      <c r="E1135" s="24" t="str">
        <f t="shared" si="104"/>
        <v>T005J703P001</v>
      </c>
      <c r="F1135" s="13">
        <v>44438</v>
      </c>
      <c r="G1135" s="13">
        <v>44441</v>
      </c>
      <c r="H1135" s="7">
        <f t="shared" ca="1" si="105"/>
        <v>-662</v>
      </c>
      <c r="I1135" s="13"/>
      <c r="J1135" s="9">
        <f t="shared" ca="1" si="106"/>
        <v>665</v>
      </c>
      <c r="K1135" s="10"/>
      <c r="L1135" s="10" t="str">
        <f t="shared" si="107"/>
        <v>Not Submitted</v>
      </c>
      <c r="M1135" s="11">
        <v>0</v>
      </c>
      <c r="N1135" s="10" t="s">
        <v>18</v>
      </c>
      <c r="O1135" s="42">
        <f t="shared" si="108"/>
        <v>0</v>
      </c>
      <c r="P1135" s="10" t="s">
        <v>2485</v>
      </c>
    </row>
    <row r="1136" spans="1:16" s="22" customFormat="1" ht="14.25" customHeight="1" x14ac:dyDescent="0.25">
      <c r="A1136" s="5" t="s">
        <v>1786</v>
      </c>
      <c r="B1136" s="22" t="s">
        <v>716</v>
      </c>
      <c r="C1136" s="22" t="s">
        <v>1043</v>
      </c>
      <c r="D1136" s="18" t="s">
        <v>1787</v>
      </c>
      <c r="E1136" s="24" t="str">
        <f t="shared" si="104"/>
        <v>T005P903P001</v>
      </c>
      <c r="F1136" s="13">
        <v>44438</v>
      </c>
      <c r="G1136" s="13">
        <v>44441</v>
      </c>
      <c r="H1136" s="7">
        <f t="shared" ca="1" si="105"/>
        <v>-662</v>
      </c>
      <c r="I1136" s="13"/>
      <c r="J1136" s="9">
        <f t="shared" ca="1" si="106"/>
        <v>665</v>
      </c>
      <c r="K1136" s="10"/>
      <c r="L1136" s="10" t="str">
        <f t="shared" si="107"/>
        <v>Not Submitted</v>
      </c>
      <c r="M1136" s="11">
        <v>0</v>
      </c>
      <c r="N1136" s="10" t="s">
        <v>18</v>
      </c>
      <c r="O1136" s="42">
        <f t="shared" si="108"/>
        <v>0</v>
      </c>
      <c r="P1136" s="10" t="s">
        <v>2485</v>
      </c>
    </row>
    <row r="1137" spans="1:16" s="22" customFormat="1" ht="14.25" customHeight="1" x14ac:dyDescent="0.25">
      <c r="A1137" s="5" t="s">
        <v>1806</v>
      </c>
      <c r="B1137" s="22" t="s">
        <v>716</v>
      </c>
      <c r="C1137" s="22" t="s">
        <v>2473</v>
      </c>
      <c r="D1137" s="18" t="s">
        <v>1807</v>
      </c>
      <c r="E1137" s="24" t="str">
        <f t="shared" si="104"/>
        <v>T0090616E001</v>
      </c>
      <c r="F1137" s="13">
        <v>44442</v>
      </c>
      <c r="G1137" s="13">
        <v>44444</v>
      </c>
      <c r="H1137" s="7">
        <f t="shared" ca="1" si="105"/>
        <v>-659</v>
      </c>
      <c r="I1137" s="13"/>
      <c r="J1137" s="9">
        <f t="shared" ca="1" si="106"/>
        <v>661</v>
      </c>
      <c r="K1137" s="10" t="s">
        <v>771</v>
      </c>
      <c r="L1137" s="10" t="str">
        <f t="shared" si="107"/>
        <v>Rejected</v>
      </c>
      <c r="M1137" s="11">
        <v>1</v>
      </c>
      <c r="N1137" s="10" t="s">
        <v>18</v>
      </c>
      <c r="O1137" s="42">
        <f t="shared" si="108"/>
        <v>0</v>
      </c>
      <c r="P1137" s="10" t="s">
        <v>2485</v>
      </c>
    </row>
    <row r="1138" spans="1:16" s="22" customFormat="1" ht="14.25" customHeight="1" x14ac:dyDescent="0.25">
      <c r="A1138" s="5" t="s">
        <v>1814</v>
      </c>
      <c r="B1138" s="22" t="s">
        <v>716</v>
      </c>
      <c r="C1138" s="22" t="s">
        <v>752</v>
      </c>
      <c r="D1138" s="18" t="s">
        <v>1815</v>
      </c>
      <c r="E1138" s="24" t="str">
        <f t="shared" si="104"/>
        <v>T007L003P001</v>
      </c>
      <c r="F1138" s="13">
        <v>44442</v>
      </c>
      <c r="G1138" s="13">
        <v>44444</v>
      </c>
      <c r="H1138" s="7">
        <f t="shared" ca="1" si="105"/>
        <v>-659</v>
      </c>
      <c r="I1138" s="13"/>
      <c r="J1138" s="9">
        <f t="shared" ca="1" si="106"/>
        <v>661</v>
      </c>
      <c r="K1138" s="10"/>
      <c r="L1138" s="10" t="str">
        <f t="shared" si="107"/>
        <v>Not Submitted</v>
      </c>
      <c r="M1138" s="11">
        <v>0</v>
      </c>
      <c r="N1138" s="10" t="s">
        <v>18</v>
      </c>
      <c r="O1138" s="42">
        <f t="shared" si="108"/>
        <v>0</v>
      </c>
      <c r="P1138" s="10" t="s">
        <v>2485</v>
      </c>
    </row>
    <row r="1139" spans="1:16" s="22" customFormat="1" ht="14.25" customHeight="1" x14ac:dyDescent="0.25">
      <c r="A1139" s="5" t="s">
        <v>1846</v>
      </c>
      <c r="B1139" s="22" t="s">
        <v>716</v>
      </c>
      <c r="C1139" s="22" t="s">
        <v>752</v>
      </c>
      <c r="D1139" s="18" t="s">
        <v>1847</v>
      </c>
      <c r="E1139" s="24" t="str">
        <f t="shared" si="104"/>
        <v>S0301681E001</v>
      </c>
      <c r="F1139" s="13">
        <v>44443</v>
      </c>
      <c r="G1139" s="13">
        <v>44444</v>
      </c>
      <c r="H1139" s="7">
        <f t="shared" ca="1" si="105"/>
        <v>-659</v>
      </c>
      <c r="I1139" s="13"/>
      <c r="J1139" s="9">
        <f t="shared" ca="1" si="106"/>
        <v>660</v>
      </c>
      <c r="K1139" s="10"/>
      <c r="L1139" s="10" t="str">
        <f t="shared" si="107"/>
        <v>Not Submitted</v>
      </c>
      <c r="M1139" s="11">
        <v>0</v>
      </c>
      <c r="N1139" s="10" t="s">
        <v>18</v>
      </c>
      <c r="O1139" s="42">
        <f t="shared" si="108"/>
        <v>0</v>
      </c>
      <c r="P1139" s="10" t="s">
        <v>2485</v>
      </c>
    </row>
    <row r="1140" spans="1:16" s="22" customFormat="1" ht="14.25" customHeight="1" x14ac:dyDescent="0.25">
      <c r="A1140" s="5" t="s">
        <v>1866</v>
      </c>
      <c r="B1140" s="22" t="s">
        <v>716</v>
      </c>
      <c r="C1140" s="22" t="s">
        <v>1043</v>
      </c>
      <c r="D1140" s="18" t="s">
        <v>1867</v>
      </c>
      <c r="E1140" s="24" t="str">
        <f t="shared" si="104"/>
        <v>V0130893E005</v>
      </c>
      <c r="F1140" s="13">
        <v>44445</v>
      </c>
      <c r="G1140" s="13">
        <v>44448</v>
      </c>
      <c r="H1140" s="7">
        <f t="shared" ca="1" si="105"/>
        <v>-655</v>
      </c>
      <c r="I1140" s="13"/>
      <c r="J1140" s="9">
        <f t="shared" ca="1" si="106"/>
        <v>658</v>
      </c>
      <c r="K1140" s="10"/>
      <c r="L1140" s="10" t="str">
        <f t="shared" si="107"/>
        <v>Not Submitted</v>
      </c>
      <c r="M1140" s="11">
        <v>0</v>
      </c>
      <c r="N1140" s="10" t="s">
        <v>18</v>
      </c>
      <c r="O1140" s="42">
        <f t="shared" si="108"/>
        <v>0</v>
      </c>
      <c r="P1140" s="10" t="s">
        <v>2485</v>
      </c>
    </row>
    <row r="1141" spans="1:16" s="22" customFormat="1" ht="14.25" customHeight="1" x14ac:dyDescent="0.25">
      <c r="A1141" s="5" t="s">
        <v>1868</v>
      </c>
      <c r="B1141" s="22" t="s">
        <v>716</v>
      </c>
      <c r="C1141" s="22" t="s">
        <v>1043</v>
      </c>
      <c r="D1141" s="18" t="s">
        <v>1869</v>
      </c>
      <c r="E1141" s="24" t="str">
        <f t="shared" si="104"/>
        <v>T006X101P001</v>
      </c>
      <c r="F1141" s="13">
        <v>44445</v>
      </c>
      <c r="G1141" s="13">
        <v>44448</v>
      </c>
      <c r="H1141" s="7">
        <f t="shared" ca="1" si="105"/>
        <v>-655</v>
      </c>
      <c r="I1141" s="13"/>
      <c r="J1141" s="9">
        <f t="shared" ca="1" si="106"/>
        <v>658</v>
      </c>
      <c r="K1141" s="10"/>
      <c r="L1141" s="10" t="str">
        <f t="shared" si="107"/>
        <v>Not Submitted</v>
      </c>
      <c r="M1141" s="11">
        <v>0</v>
      </c>
      <c r="N1141" s="10" t="s">
        <v>18</v>
      </c>
      <c r="O1141" s="42">
        <f t="shared" si="108"/>
        <v>0</v>
      </c>
      <c r="P1141" s="10" t="s">
        <v>2485</v>
      </c>
    </row>
    <row r="1142" spans="1:16" s="22" customFormat="1" ht="14.25" customHeight="1" x14ac:dyDescent="0.25">
      <c r="A1142" s="5" t="s">
        <v>1870</v>
      </c>
      <c r="B1142" s="22" t="s">
        <v>716</v>
      </c>
      <c r="C1142" s="22" t="s">
        <v>1043</v>
      </c>
      <c r="D1142" s="18" t="s">
        <v>1871</v>
      </c>
      <c r="E1142" s="24" t="str">
        <f t="shared" si="104"/>
        <v>S0811681E005</v>
      </c>
      <c r="F1142" s="13">
        <v>44445</v>
      </c>
      <c r="G1142" s="13">
        <v>44448</v>
      </c>
      <c r="H1142" s="7">
        <f t="shared" ca="1" si="105"/>
        <v>-655</v>
      </c>
      <c r="I1142" s="13"/>
      <c r="J1142" s="9">
        <f t="shared" ca="1" si="106"/>
        <v>658</v>
      </c>
      <c r="K1142" s="10"/>
      <c r="L1142" s="10" t="str">
        <f t="shared" si="107"/>
        <v>Not Submitted</v>
      </c>
      <c r="M1142" s="11">
        <v>0</v>
      </c>
      <c r="N1142" s="10" t="s">
        <v>18</v>
      </c>
      <c r="O1142" s="42">
        <f t="shared" si="108"/>
        <v>0</v>
      </c>
      <c r="P1142" s="10" t="s">
        <v>2485</v>
      </c>
    </row>
    <row r="1143" spans="1:16" s="22" customFormat="1" ht="14.25" customHeight="1" x14ac:dyDescent="0.25">
      <c r="A1143" s="5" t="s">
        <v>1826</v>
      </c>
      <c r="B1143" s="22" t="s">
        <v>716</v>
      </c>
      <c r="C1143" s="22" t="s">
        <v>752</v>
      </c>
      <c r="D1143" s="18" t="s">
        <v>1827</v>
      </c>
      <c r="E1143" s="24" t="str">
        <f t="shared" si="104"/>
        <v>S0301641E003</v>
      </c>
      <c r="F1143" s="13">
        <v>44443</v>
      </c>
      <c r="G1143" s="13">
        <v>44451</v>
      </c>
      <c r="H1143" s="7">
        <f t="shared" ca="1" si="105"/>
        <v>-652</v>
      </c>
      <c r="I1143" s="13"/>
      <c r="J1143" s="9">
        <f t="shared" ca="1" si="106"/>
        <v>660</v>
      </c>
      <c r="K1143" s="10"/>
      <c r="L1143" s="10" t="str">
        <f t="shared" si="107"/>
        <v>Not Submitted</v>
      </c>
      <c r="M1143" s="11">
        <v>0</v>
      </c>
      <c r="N1143" s="10" t="s">
        <v>18</v>
      </c>
      <c r="O1143" s="42">
        <f t="shared" si="108"/>
        <v>0</v>
      </c>
      <c r="P1143" s="10" t="s">
        <v>2485</v>
      </c>
    </row>
    <row r="1144" spans="1:16" s="22" customFormat="1" ht="14.25" customHeight="1" x14ac:dyDescent="0.25">
      <c r="A1144" s="5" t="s">
        <v>1830</v>
      </c>
      <c r="B1144" s="22" t="s">
        <v>716</v>
      </c>
      <c r="C1144" s="22" t="s">
        <v>752</v>
      </c>
      <c r="D1144" s="18" t="s">
        <v>1831</v>
      </c>
      <c r="E1144" s="24" t="str">
        <f t="shared" si="104"/>
        <v>S0301651E002</v>
      </c>
      <c r="F1144" s="13">
        <v>44443</v>
      </c>
      <c r="G1144" s="13">
        <v>44451</v>
      </c>
      <c r="H1144" s="7">
        <f t="shared" ca="1" si="105"/>
        <v>-652</v>
      </c>
      <c r="I1144" s="13"/>
      <c r="J1144" s="9">
        <f t="shared" ca="1" si="106"/>
        <v>660</v>
      </c>
      <c r="K1144" s="10"/>
      <c r="L1144" s="10" t="str">
        <f t="shared" si="107"/>
        <v>Not Submitted</v>
      </c>
      <c r="M1144" s="11">
        <v>0</v>
      </c>
      <c r="N1144" s="10" t="s">
        <v>18</v>
      </c>
      <c r="O1144" s="42">
        <f t="shared" si="108"/>
        <v>0</v>
      </c>
      <c r="P1144" s="10" t="s">
        <v>2485</v>
      </c>
    </row>
    <row r="1145" spans="1:16" s="22" customFormat="1" ht="14.25" customHeight="1" x14ac:dyDescent="0.25">
      <c r="A1145" s="5" t="s">
        <v>1918</v>
      </c>
      <c r="B1145" s="22" t="s">
        <v>716</v>
      </c>
      <c r="C1145" s="22" t="s">
        <v>787</v>
      </c>
      <c r="D1145" s="18" t="s">
        <v>1919</v>
      </c>
      <c r="E1145" s="24" t="str">
        <f t="shared" si="104"/>
        <v>T007J903P001</v>
      </c>
      <c r="F1145" s="13">
        <v>44449</v>
      </c>
      <c r="G1145" s="13">
        <v>44451</v>
      </c>
      <c r="H1145" s="7">
        <f t="shared" ca="1" si="105"/>
        <v>-652</v>
      </c>
      <c r="I1145" s="13"/>
      <c r="J1145" s="9">
        <f t="shared" ca="1" si="106"/>
        <v>654</v>
      </c>
      <c r="K1145" s="10"/>
      <c r="L1145" s="10" t="str">
        <f t="shared" si="107"/>
        <v>Not Submitted</v>
      </c>
      <c r="M1145" s="11">
        <v>0</v>
      </c>
      <c r="N1145" s="10" t="s">
        <v>18</v>
      </c>
      <c r="O1145" s="42">
        <f t="shared" si="108"/>
        <v>0</v>
      </c>
      <c r="P1145" s="10" t="s">
        <v>2485</v>
      </c>
    </row>
    <row r="1146" spans="1:16" s="22" customFormat="1" ht="14.25" customHeight="1" x14ac:dyDescent="0.25">
      <c r="A1146" s="5" t="s">
        <v>1864</v>
      </c>
      <c r="B1146" s="22" t="s">
        <v>716</v>
      </c>
      <c r="C1146" s="22" t="s">
        <v>985</v>
      </c>
      <c r="D1146" s="18" t="s">
        <v>1865</v>
      </c>
      <c r="E1146" s="24" t="str">
        <f t="shared" si="104"/>
        <v>S0571771E004</v>
      </c>
      <c r="F1146" s="13">
        <v>44445</v>
      </c>
      <c r="G1146" s="13">
        <f>F1146+7</f>
        <v>44452</v>
      </c>
      <c r="H1146" s="7">
        <f t="shared" ca="1" si="105"/>
        <v>-651</v>
      </c>
      <c r="I1146" s="13"/>
      <c r="J1146" s="9">
        <f t="shared" ca="1" si="106"/>
        <v>658</v>
      </c>
      <c r="K1146" s="10"/>
      <c r="L1146" s="10" t="str">
        <f t="shared" si="107"/>
        <v>Not Submitted</v>
      </c>
      <c r="M1146" s="11">
        <v>0</v>
      </c>
      <c r="N1146" s="10" t="s">
        <v>18</v>
      </c>
      <c r="O1146" s="42">
        <f t="shared" si="108"/>
        <v>0</v>
      </c>
      <c r="P1146" s="10" t="s">
        <v>2485</v>
      </c>
    </row>
    <row r="1147" spans="1:16" s="22" customFormat="1" ht="14.25" customHeight="1" x14ac:dyDescent="0.25">
      <c r="A1147" s="5" t="s">
        <v>1942</v>
      </c>
      <c r="B1147" s="22" t="s">
        <v>716</v>
      </c>
      <c r="C1147" s="22" t="s">
        <v>787</v>
      </c>
      <c r="D1147" s="18" t="s">
        <v>1943</v>
      </c>
      <c r="E1147" s="24" t="str">
        <f t="shared" si="104"/>
        <v>S0472021E001</v>
      </c>
      <c r="F1147" s="13">
        <v>44449</v>
      </c>
      <c r="G1147" s="13">
        <v>44455</v>
      </c>
      <c r="H1147" s="7">
        <f t="shared" ca="1" si="105"/>
        <v>-648</v>
      </c>
      <c r="I1147" s="13"/>
      <c r="J1147" s="9">
        <f t="shared" ca="1" si="106"/>
        <v>654</v>
      </c>
      <c r="K1147" s="10" t="s">
        <v>1412</v>
      </c>
      <c r="L1147" s="10" t="str">
        <f t="shared" si="107"/>
        <v>Rejected</v>
      </c>
      <c r="M1147" s="11">
        <v>1</v>
      </c>
      <c r="N1147" s="10" t="s">
        <v>18</v>
      </c>
      <c r="O1147" s="42">
        <f t="shared" si="108"/>
        <v>0</v>
      </c>
      <c r="P1147" s="10" t="s">
        <v>2485</v>
      </c>
    </row>
    <row r="1148" spans="1:16" s="22" customFormat="1" ht="14.25" customHeight="1" x14ac:dyDescent="0.25">
      <c r="A1148" s="5" t="s">
        <v>1948</v>
      </c>
      <c r="B1148" s="22" t="s">
        <v>716</v>
      </c>
      <c r="C1148" s="22" t="s">
        <v>2472</v>
      </c>
      <c r="D1148" s="18" t="s">
        <v>1949</v>
      </c>
      <c r="E1148" s="24" t="str">
        <f t="shared" si="104"/>
        <v>T0290104P019</v>
      </c>
      <c r="F1148" s="13">
        <v>44452</v>
      </c>
      <c r="G1148" s="13">
        <v>44455</v>
      </c>
      <c r="H1148" s="7">
        <f t="shared" ca="1" si="105"/>
        <v>-648</v>
      </c>
      <c r="I1148" s="13"/>
      <c r="J1148" s="9">
        <f t="shared" ca="1" si="106"/>
        <v>651</v>
      </c>
      <c r="K1148" s="10"/>
      <c r="L1148" s="10" t="str">
        <f t="shared" si="107"/>
        <v>Not Submitted</v>
      </c>
      <c r="M1148" s="11">
        <v>0</v>
      </c>
      <c r="N1148" s="10" t="s">
        <v>18</v>
      </c>
      <c r="O1148" s="42">
        <f t="shared" si="108"/>
        <v>0</v>
      </c>
      <c r="P1148" s="10" t="s">
        <v>2485</v>
      </c>
    </row>
    <row r="1149" spans="1:16" s="22" customFormat="1" ht="14.25" customHeight="1" x14ac:dyDescent="0.25">
      <c r="A1149" s="5" t="s">
        <v>1950</v>
      </c>
      <c r="B1149" s="22" t="s">
        <v>716</v>
      </c>
      <c r="C1149" s="22" t="s">
        <v>2472</v>
      </c>
      <c r="D1149" s="18" t="s">
        <v>1951</v>
      </c>
      <c r="E1149" s="24" t="str">
        <f t="shared" si="104"/>
        <v>T0290104P020</v>
      </c>
      <c r="F1149" s="13">
        <v>44452</v>
      </c>
      <c r="G1149" s="13">
        <v>44455</v>
      </c>
      <c r="H1149" s="7">
        <f t="shared" ca="1" si="105"/>
        <v>-648</v>
      </c>
      <c r="I1149" s="13"/>
      <c r="J1149" s="9">
        <f t="shared" ca="1" si="106"/>
        <v>651</v>
      </c>
      <c r="K1149" s="10"/>
      <c r="L1149" s="10" t="str">
        <f t="shared" si="107"/>
        <v>Not Submitted</v>
      </c>
      <c r="M1149" s="11">
        <v>0</v>
      </c>
      <c r="N1149" s="10" t="s">
        <v>18</v>
      </c>
      <c r="O1149" s="42">
        <f t="shared" si="108"/>
        <v>0</v>
      </c>
      <c r="P1149" s="10" t="s">
        <v>2485</v>
      </c>
    </row>
    <row r="1150" spans="1:16" s="22" customFormat="1" ht="14.25" customHeight="1" x14ac:dyDescent="0.25">
      <c r="A1150" s="5" t="s">
        <v>1966</v>
      </c>
      <c r="B1150" s="22" t="s">
        <v>716</v>
      </c>
      <c r="C1150" s="22" t="s">
        <v>2472</v>
      </c>
      <c r="D1150" s="18" t="s">
        <v>1967</v>
      </c>
      <c r="E1150" s="24" t="str">
        <f t="shared" si="104"/>
        <v>S0541201E004</v>
      </c>
      <c r="F1150" s="13">
        <v>44452</v>
      </c>
      <c r="G1150" s="13">
        <v>44455</v>
      </c>
      <c r="H1150" s="7">
        <f t="shared" ca="1" si="105"/>
        <v>-648</v>
      </c>
      <c r="I1150" s="13"/>
      <c r="J1150" s="9">
        <f t="shared" ca="1" si="106"/>
        <v>651</v>
      </c>
      <c r="K1150" s="10"/>
      <c r="L1150" s="10" t="str">
        <f t="shared" si="107"/>
        <v>Not Submitted</v>
      </c>
      <c r="M1150" s="11">
        <v>0</v>
      </c>
      <c r="N1150" s="10" t="s">
        <v>18</v>
      </c>
      <c r="O1150" s="42">
        <f t="shared" si="108"/>
        <v>0</v>
      </c>
      <c r="P1150" s="10" t="s">
        <v>2485</v>
      </c>
    </row>
    <row r="1151" spans="1:16" s="22" customFormat="1" ht="14.25" customHeight="1" x14ac:dyDescent="0.25">
      <c r="A1151" s="5" t="s">
        <v>1968</v>
      </c>
      <c r="B1151" s="22" t="s">
        <v>716</v>
      </c>
      <c r="C1151" s="22" t="s">
        <v>2472</v>
      </c>
      <c r="D1151" s="18" t="s">
        <v>1969</v>
      </c>
      <c r="E1151" s="24" t="str">
        <f t="shared" si="104"/>
        <v>S0541201E005</v>
      </c>
      <c r="F1151" s="13">
        <v>44452</v>
      </c>
      <c r="G1151" s="13">
        <v>44455</v>
      </c>
      <c r="H1151" s="7">
        <f t="shared" ca="1" si="105"/>
        <v>-648</v>
      </c>
      <c r="I1151" s="13"/>
      <c r="J1151" s="9">
        <f t="shared" ca="1" si="106"/>
        <v>651</v>
      </c>
      <c r="K1151" s="10"/>
      <c r="L1151" s="10" t="str">
        <f t="shared" si="107"/>
        <v>Not Submitted</v>
      </c>
      <c r="M1151" s="11">
        <v>0</v>
      </c>
      <c r="N1151" s="10" t="s">
        <v>18</v>
      </c>
      <c r="O1151" s="42">
        <f t="shared" si="108"/>
        <v>0</v>
      </c>
      <c r="P1151" s="10" t="s">
        <v>2485</v>
      </c>
    </row>
    <row r="1152" spans="1:16" s="22" customFormat="1" ht="14.25" customHeight="1" x14ac:dyDescent="0.25">
      <c r="A1152" s="5" t="s">
        <v>2077</v>
      </c>
      <c r="B1152" s="22" t="s">
        <v>716</v>
      </c>
      <c r="C1152" s="22" t="s">
        <v>2061</v>
      </c>
      <c r="D1152" s="18" t="s">
        <v>2078</v>
      </c>
      <c r="E1152" s="24" t="str">
        <f t="shared" si="104"/>
        <v>S0541101E001</v>
      </c>
      <c r="F1152" s="13">
        <v>44456</v>
      </c>
      <c r="G1152" s="13">
        <v>44458</v>
      </c>
      <c r="H1152" s="7">
        <f t="shared" ca="1" si="105"/>
        <v>-645</v>
      </c>
      <c r="I1152" s="13"/>
      <c r="J1152" s="9">
        <f t="shared" ca="1" si="106"/>
        <v>647</v>
      </c>
      <c r="K1152" s="10"/>
      <c r="L1152" s="10" t="str">
        <f t="shared" si="107"/>
        <v>Not Submitted</v>
      </c>
      <c r="M1152" s="11">
        <v>0</v>
      </c>
      <c r="N1152" s="10" t="s">
        <v>18</v>
      </c>
      <c r="O1152" s="42">
        <f t="shared" si="108"/>
        <v>0</v>
      </c>
      <c r="P1152" s="10" t="s">
        <v>2485</v>
      </c>
    </row>
    <row r="1153" spans="1:16" s="22" customFormat="1" ht="14.25" customHeight="1" x14ac:dyDescent="0.25">
      <c r="A1153" s="5" t="s">
        <v>2056</v>
      </c>
      <c r="B1153" s="22" t="s">
        <v>716</v>
      </c>
      <c r="C1153" s="22" t="s">
        <v>752</v>
      </c>
      <c r="D1153" s="18" t="s">
        <v>2057</v>
      </c>
      <c r="E1153" s="24" t="str">
        <f t="shared" si="104"/>
        <v>S0591831E005</v>
      </c>
      <c r="F1153" s="13">
        <v>44454</v>
      </c>
      <c r="G1153" s="13">
        <f>F1153+7</f>
        <v>44461</v>
      </c>
      <c r="H1153" s="7">
        <f t="shared" ca="1" si="105"/>
        <v>-642</v>
      </c>
      <c r="I1153" s="13"/>
      <c r="J1153" s="9">
        <f t="shared" ca="1" si="106"/>
        <v>649</v>
      </c>
      <c r="K1153" s="10"/>
      <c r="L1153" s="10" t="str">
        <f t="shared" si="107"/>
        <v>Not Submitted</v>
      </c>
      <c r="M1153" s="11">
        <v>0</v>
      </c>
      <c r="N1153" s="10" t="s">
        <v>18</v>
      </c>
      <c r="O1153" s="42">
        <f t="shared" si="108"/>
        <v>0</v>
      </c>
      <c r="P1153" s="10" t="s">
        <v>2485</v>
      </c>
    </row>
    <row r="1154" spans="1:16" s="22" customFormat="1" ht="14.25" customHeight="1" x14ac:dyDescent="0.25">
      <c r="A1154" s="5" t="s">
        <v>1338</v>
      </c>
      <c r="B1154" s="22" t="s">
        <v>716</v>
      </c>
      <c r="C1154" s="22" t="s">
        <v>992</v>
      </c>
      <c r="D1154" s="18" t="s">
        <v>1339</v>
      </c>
      <c r="E1154" s="24" t="str">
        <f t="shared" ref="E1154:E1205" si="110">HYPERLINK(D1154,A1154)</f>
        <v>S0380522E003</v>
      </c>
      <c r="F1154" s="13">
        <v>44396</v>
      </c>
      <c r="G1154" s="13">
        <v>44462</v>
      </c>
      <c r="H1154" s="7">
        <f t="shared" ref="H1154:H1205" ca="1" si="111">G1154-TODAY()</f>
        <v>-641</v>
      </c>
      <c r="I1154" s="13"/>
      <c r="J1154" s="9">
        <f t="shared" ref="J1154:J1205" ca="1" si="112">IF(L1154="Accepted",0,TODAY()-F1154)</f>
        <v>707</v>
      </c>
      <c r="K1154" s="10" t="s">
        <v>771</v>
      </c>
      <c r="L1154" s="10" t="str">
        <f t="shared" ref="L1154:L1205" si="113">IF(AND(NOT(ISBLANK(I1154)), ISBLANK(K1154)),"Accepted", IF(AND(ISBLANK(I1154),ISBLANK(K1154)),"Not Submitted", "Rejected"))</f>
        <v>Rejected</v>
      </c>
      <c r="M1154" s="11">
        <v>1</v>
      </c>
      <c r="N1154" s="10" t="s">
        <v>18</v>
      </c>
      <c r="O1154" s="42">
        <f t="shared" ref="O1154:O1217" si="114">IF(AND(L1154="Accepted",B1154="SMA",N1154="no"),20000,
IF(AND(L1154="Accepted",OR(B1154="SMP",B1154="SD"),N1154="no"),15000,
IF(AND(L1154="Accepted",B1154="SMA",N1154="yes"),25000,
IF(AND(L1154="Accepted",OR(B1154="SMP",B1154="SD"),N1154="yes"),18000,
0))))</f>
        <v>0</v>
      </c>
      <c r="P1154" s="10" t="s">
        <v>2485</v>
      </c>
    </row>
    <row r="1155" spans="1:16" s="22" customFormat="1" ht="14.25" customHeight="1" x14ac:dyDescent="0.25">
      <c r="A1155" s="5" t="s">
        <v>1920</v>
      </c>
      <c r="B1155" s="22" t="s">
        <v>716</v>
      </c>
      <c r="C1155" s="22" t="s">
        <v>787</v>
      </c>
      <c r="D1155" s="18" t="s">
        <v>1921</v>
      </c>
      <c r="E1155" s="24" t="str">
        <f t="shared" si="110"/>
        <v>T007K103P001</v>
      </c>
      <c r="F1155" s="13">
        <v>44449</v>
      </c>
      <c r="G1155" s="13">
        <v>44462</v>
      </c>
      <c r="H1155" s="7">
        <f t="shared" ca="1" si="111"/>
        <v>-641</v>
      </c>
      <c r="I1155" s="13"/>
      <c r="J1155" s="9">
        <f t="shared" ca="1" si="112"/>
        <v>654</v>
      </c>
      <c r="K1155" s="10"/>
      <c r="L1155" s="10" t="str">
        <f t="shared" si="113"/>
        <v>Not Submitted</v>
      </c>
      <c r="M1155" s="11">
        <v>0</v>
      </c>
      <c r="N1155" s="10" t="s">
        <v>18</v>
      </c>
      <c r="O1155" s="42">
        <f t="shared" si="114"/>
        <v>0</v>
      </c>
      <c r="P1155" s="10" t="s">
        <v>2485</v>
      </c>
    </row>
    <row r="1156" spans="1:16" s="22" customFormat="1" ht="14.25" customHeight="1" x14ac:dyDescent="0.25">
      <c r="A1156" s="5" t="s">
        <v>2091</v>
      </c>
      <c r="B1156" s="22" t="s">
        <v>716</v>
      </c>
      <c r="C1156" s="22" t="s">
        <v>2473</v>
      </c>
      <c r="D1156" s="18" t="s">
        <v>2092</v>
      </c>
      <c r="E1156" s="24" t="str">
        <f t="shared" si="110"/>
        <v>S0902041f027</v>
      </c>
      <c r="F1156" s="13">
        <v>44459</v>
      </c>
      <c r="G1156" s="13">
        <v>44462</v>
      </c>
      <c r="H1156" s="7">
        <f t="shared" ca="1" si="111"/>
        <v>-641</v>
      </c>
      <c r="I1156" s="13"/>
      <c r="J1156" s="9">
        <f t="shared" ca="1" si="112"/>
        <v>644</v>
      </c>
      <c r="K1156" s="10"/>
      <c r="L1156" s="10" t="str">
        <f t="shared" si="113"/>
        <v>Not Submitted</v>
      </c>
      <c r="M1156" s="11">
        <v>0</v>
      </c>
      <c r="N1156" s="10" t="s">
        <v>18</v>
      </c>
      <c r="O1156" s="42">
        <f t="shared" si="114"/>
        <v>0</v>
      </c>
      <c r="P1156" s="10" t="s">
        <v>2485</v>
      </c>
    </row>
    <row r="1157" spans="1:16" s="22" customFormat="1" ht="14.25" customHeight="1" x14ac:dyDescent="0.25">
      <c r="A1157" s="5" t="s">
        <v>2099</v>
      </c>
      <c r="B1157" s="22" t="s">
        <v>716</v>
      </c>
      <c r="C1157" s="22" t="s">
        <v>2470</v>
      </c>
      <c r="D1157" s="18" t="s">
        <v>2100</v>
      </c>
      <c r="E1157" s="24" t="str">
        <f t="shared" si="110"/>
        <v>V0170351P024</v>
      </c>
      <c r="F1157" s="13">
        <v>44459</v>
      </c>
      <c r="G1157" s="13">
        <v>44462</v>
      </c>
      <c r="H1157" s="7">
        <f t="shared" ca="1" si="111"/>
        <v>-641</v>
      </c>
      <c r="I1157" s="13"/>
      <c r="J1157" s="9">
        <f t="shared" ca="1" si="112"/>
        <v>644</v>
      </c>
      <c r="K1157" s="10" t="s">
        <v>1412</v>
      </c>
      <c r="L1157" s="10" t="str">
        <f t="shared" si="113"/>
        <v>Rejected</v>
      </c>
      <c r="M1157" s="11">
        <v>1</v>
      </c>
      <c r="N1157" s="10" t="s">
        <v>18</v>
      </c>
      <c r="O1157" s="42">
        <f t="shared" si="114"/>
        <v>0</v>
      </c>
      <c r="P1157" s="10" t="s">
        <v>2485</v>
      </c>
    </row>
    <row r="1158" spans="1:16" s="22" customFormat="1" ht="14.25" customHeight="1" x14ac:dyDescent="0.25">
      <c r="A1158" s="5" t="s">
        <v>2104</v>
      </c>
      <c r="B1158" s="22" t="s">
        <v>716</v>
      </c>
      <c r="C1158" s="22" t="s">
        <v>932</v>
      </c>
      <c r="D1158" s="18" t="s">
        <v>2105</v>
      </c>
      <c r="E1158" s="24" t="str">
        <f t="shared" si="110"/>
        <v>S0150344E004</v>
      </c>
      <c r="F1158" s="13">
        <v>44459</v>
      </c>
      <c r="G1158" s="13">
        <v>44462</v>
      </c>
      <c r="H1158" s="7">
        <f t="shared" ca="1" si="111"/>
        <v>-641</v>
      </c>
      <c r="I1158" s="13"/>
      <c r="J1158" s="9">
        <f t="shared" ca="1" si="112"/>
        <v>644</v>
      </c>
      <c r="K1158" s="10" t="s">
        <v>771</v>
      </c>
      <c r="L1158" s="10" t="str">
        <f t="shared" si="113"/>
        <v>Rejected</v>
      </c>
      <c r="M1158" s="11">
        <v>1</v>
      </c>
      <c r="N1158" s="10" t="s">
        <v>18</v>
      </c>
      <c r="O1158" s="42">
        <f t="shared" si="114"/>
        <v>0</v>
      </c>
      <c r="P1158" s="10" t="s">
        <v>2485</v>
      </c>
    </row>
    <row r="1159" spans="1:16" s="22" customFormat="1" ht="14.25" customHeight="1" x14ac:dyDescent="0.25">
      <c r="A1159" s="5" t="s">
        <v>2110</v>
      </c>
      <c r="B1159" s="22" t="s">
        <v>716</v>
      </c>
      <c r="C1159" s="22" t="s">
        <v>985</v>
      </c>
      <c r="D1159" s="18" t="s">
        <v>2111</v>
      </c>
      <c r="E1159" s="24" t="str">
        <f t="shared" si="110"/>
        <v>S0150804E001</v>
      </c>
      <c r="F1159" s="13">
        <v>44459</v>
      </c>
      <c r="G1159" s="13">
        <v>44462</v>
      </c>
      <c r="H1159" s="7">
        <f t="shared" ca="1" si="111"/>
        <v>-641</v>
      </c>
      <c r="I1159" s="13"/>
      <c r="J1159" s="9">
        <f t="shared" ca="1" si="112"/>
        <v>644</v>
      </c>
      <c r="K1159" s="10"/>
      <c r="L1159" s="10" t="str">
        <f t="shared" si="113"/>
        <v>Not Submitted</v>
      </c>
      <c r="M1159" s="11">
        <v>0</v>
      </c>
      <c r="N1159" s="10" t="s">
        <v>18</v>
      </c>
      <c r="O1159" s="42">
        <f t="shared" si="114"/>
        <v>0</v>
      </c>
      <c r="P1159" s="10" t="s">
        <v>2485</v>
      </c>
    </row>
    <row r="1160" spans="1:16" s="22" customFormat="1" ht="14.25" customHeight="1" x14ac:dyDescent="0.25">
      <c r="A1160" s="5" t="s">
        <v>2116</v>
      </c>
      <c r="B1160" s="22" t="s">
        <v>716</v>
      </c>
      <c r="C1160" s="22" t="s">
        <v>992</v>
      </c>
      <c r="D1160" s="18" t="s">
        <v>2117</v>
      </c>
      <c r="E1160" s="24" t="str">
        <f t="shared" si="110"/>
        <v>S0291021E002</v>
      </c>
      <c r="F1160" s="13">
        <v>44459</v>
      </c>
      <c r="G1160" s="13">
        <v>44462</v>
      </c>
      <c r="H1160" s="7">
        <f t="shared" ca="1" si="111"/>
        <v>-641</v>
      </c>
      <c r="I1160" s="13"/>
      <c r="J1160" s="9">
        <f t="shared" ca="1" si="112"/>
        <v>644</v>
      </c>
      <c r="K1160" s="10" t="s">
        <v>771</v>
      </c>
      <c r="L1160" s="10" t="str">
        <f t="shared" si="113"/>
        <v>Rejected</v>
      </c>
      <c r="M1160" s="11">
        <v>1</v>
      </c>
      <c r="N1160" s="10" t="s">
        <v>18</v>
      </c>
      <c r="O1160" s="42">
        <f t="shared" si="114"/>
        <v>0</v>
      </c>
      <c r="P1160" s="10" t="s">
        <v>2485</v>
      </c>
    </row>
    <row r="1161" spans="1:16" s="22" customFormat="1" ht="14.25" customHeight="1" x14ac:dyDescent="0.25">
      <c r="A1161" s="5" t="s">
        <v>2120</v>
      </c>
      <c r="B1161" s="22" t="s">
        <v>716</v>
      </c>
      <c r="C1161" s="22" t="s">
        <v>787</v>
      </c>
      <c r="D1161" s="18" t="s">
        <v>2121</v>
      </c>
      <c r="E1161" s="24" t="str">
        <f t="shared" si="110"/>
        <v>V0110253e003</v>
      </c>
      <c r="F1161" s="13">
        <v>44459</v>
      </c>
      <c r="G1161" s="13">
        <v>44462</v>
      </c>
      <c r="H1161" s="7">
        <f t="shared" ca="1" si="111"/>
        <v>-641</v>
      </c>
      <c r="I1161" s="13"/>
      <c r="J1161" s="9">
        <f t="shared" ca="1" si="112"/>
        <v>644</v>
      </c>
      <c r="K1161" s="10" t="s">
        <v>663</v>
      </c>
      <c r="L1161" s="10" t="str">
        <f t="shared" si="113"/>
        <v>Rejected</v>
      </c>
      <c r="M1161" s="11">
        <v>1</v>
      </c>
      <c r="N1161" s="10" t="s">
        <v>18</v>
      </c>
      <c r="O1161" s="42">
        <f t="shared" si="114"/>
        <v>0</v>
      </c>
      <c r="P1161" s="10" t="s">
        <v>2485</v>
      </c>
    </row>
    <row r="1162" spans="1:16" s="22" customFormat="1" ht="14.25" customHeight="1" x14ac:dyDescent="0.25">
      <c r="A1162" s="5" t="s">
        <v>2126</v>
      </c>
      <c r="B1162" s="22" t="s">
        <v>716</v>
      </c>
      <c r="C1162" s="22" t="s">
        <v>787</v>
      </c>
      <c r="D1162" s="18" t="s">
        <v>2127</v>
      </c>
      <c r="E1162" s="24" t="str">
        <f t="shared" si="110"/>
        <v>S0292722E013</v>
      </c>
      <c r="F1162" s="13">
        <v>44459</v>
      </c>
      <c r="G1162" s="13">
        <v>44462</v>
      </c>
      <c r="H1162" s="7">
        <f t="shared" ca="1" si="111"/>
        <v>-641</v>
      </c>
      <c r="I1162" s="13"/>
      <c r="J1162" s="9">
        <f t="shared" ca="1" si="112"/>
        <v>644</v>
      </c>
      <c r="K1162" s="10" t="s">
        <v>771</v>
      </c>
      <c r="L1162" s="10" t="str">
        <f t="shared" si="113"/>
        <v>Rejected</v>
      </c>
      <c r="M1162" s="11">
        <v>1</v>
      </c>
      <c r="N1162" s="10" t="s">
        <v>18</v>
      </c>
      <c r="O1162" s="42">
        <f t="shared" si="114"/>
        <v>0</v>
      </c>
      <c r="P1162" s="10" t="s">
        <v>2485</v>
      </c>
    </row>
    <row r="1163" spans="1:16" s="22" customFormat="1" ht="14.25" customHeight="1" x14ac:dyDescent="0.25">
      <c r="A1163" s="5" t="s">
        <v>2128</v>
      </c>
      <c r="B1163" s="22" t="s">
        <v>716</v>
      </c>
      <c r="C1163" s="22" t="s">
        <v>787</v>
      </c>
      <c r="D1163" s="18" t="s">
        <v>2129</v>
      </c>
      <c r="E1163" s="24" t="str">
        <f t="shared" si="110"/>
        <v>S0550432E004</v>
      </c>
      <c r="F1163" s="13">
        <v>44459</v>
      </c>
      <c r="G1163" s="13">
        <v>44462</v>
      </c>
      <c r="H1163" s="7">
        <f t="shared" ca="1" si="111"/>
        <v>-641</v>
      </c>
      <c r="I1163" s="13"/>
      <c r="J1163" s="9">
        <f t="shared" ca="1" si="112"/>
        <v>644</v>
      </c>
      <c r="K1163" s="10" t="s">
        <v>771</v>
      </c>
      <c r="L1163" s="10" t="str">
        <f t="shared" si="113"/>
        <v>Rejected</v>
      </c>
      <c r="M1163" s="11">
        <v>1</v>
      </c>
      <c r="N1163" s="10" t="s">
        <v>18</v>
      </c>
      <c r="O1163" s="42">
        <f t="shared" si="114"/>
        <v>0</v>
      </c>
      <c r="P1163" s="10" t="s">
        <v>2485</v>
      </c>
    </row>
    <row r="1164" spans="1:16" s="22" customFormat="1" ht="14.25" customHeight="1" x14ac:dyDescent="0.25">
      <c r="A1164" s="5" t="s">
        <v>2130</v>
      </c>
      <c r="B1164" s="22" t="s">
        <v>716</v>
      </c>
      <c r="C1164" s="22" t="s">
        <v>932</v>
      </c>
      <c r="D1164" s="18" t="s">
        <v>2131</v>
      </c>
      <c r="E1164" s="24" t="str">
        <f t="shared" si="110"/>
        <v>S0251351c001</v>
      </c>
      <c r="F1164" s="13">
        <v>44459</v>
      </c>
      <c r="G1164" s="13">
        <v>44462</v>
      </c>
      <c r="H1164" s="7">
        <f t="shared" ca="1" si="111"/>
        <v>-641</v>
      </c>
      <c r="I1164" s="13"/>
      <c r="J1164" s="9">
        <f t="shared" ca="1" si="112"/>
        <v>644</v>
      </c>
      <c r="K1164" s="10" t="s">
        <v>771</v>
      </c>
      <c r="L1164" s="10" t="str">
        <f t="shared" si="113"/>
        <v>Rejected</v>
      </c>
      <c r="M1164" s="11">
        <v>1</v>
      </c>
      <c r="N1164" s="10" t="s">
        <v>18</v>
      </c>
      <c r="O1164" s="42">
        <f t="shared" si="114"/>
        <v>0</v>
      </c>
      <c r="P1164" s="10" t="s">
        <v>2485</v>
      </c>
    </row>
    <row r="1165" spans="1:16" s="22" customFormat="1" ht="14.25" customHeight="1" x14ac:dyDescent="0.25">
      <c r="A1165" s="5" t="s">
        <v>2132</v>
      </c>
      <c r="B1165" s="22" t="s">
        <v>716</v>
      </c>
      <c r="C1165" s="22" t="s">
        <v>992</v>
      </c>
      <c r="D1165" s="18" t="s">
        <v>2133</v>
      </c>
      <c r="E1165" s="24" t="str">
        <f t="shared" si="110"/>
        <v>S0340952E001</v>
      </c>
      <c r="F1165" s="13">
        <v>44459</v>
      </c>
      <c r="G1165" s="13">
        <v>44462</v>
      </c>
      <c r="H1165" s="7">
        <f t="shared" ca="1" si="111"/>
        <v>-641</v>
      </c>
      <c r="I1165" s="13"/>
      <c r="J1165" s="9">
        <f t="shared" ca="1" si="112"/>
        <v>644</v>
      </c>
      <c r="K1165" s="10" t="s">
        <v>771</v>
      </c>
      <c r="L1165" s="10" t="str">
        <f t="shared" si="113"/>
        <v>Rejected</v>
      </c>
      <c r="M1165" s="11">
        <v>1</v>
      </c>
      <c r="N1165" s="10" t="s">
        <v>18</v>
      </c>
      <c r="O1165" s="42">
        <f t="shared" si="114"/>
        <v>0</v>
      </c>
      <c r="P1165" s="10" t="s">
        <v>2485</v>
      </c>
    </row>
    <row r="1166" spans="1:16" s="22" customFormat="1" ht="14.25" customHeight="1" x14ac:dyDescent="0.25">
      <c r="A1166" s="5" t="s">
        <v>2138</v>
      </c>
      <c r="B1166" s="22" t="s">
        <v>716</v>
      </c>
      <c r="C1166" s="22" t="s">
        <v>985</v>
      </c>
      <c r="D1166" s="18" t="s">
        <v>2139</v>
      </c>
      <c r="E1166" s="24" t="str">
        <f t="shared" si="110"/>
        <v>S0150851E002</v>
      </c>
      <c r="F1166" s="13">
        <v>44459</v>
      </c>
      <c r="G1166" s="13">
        <v>44462</v>
      </c>
      <c r="H1166" s="7">
        <f t="shared" ca="1" si="111"/>
        <v>-641</v>
      </c>
      <c r="I1166" s="13"/>
      <c r="J1166" s="9">
        <f t="shared" ca="1" si="112"/>
        <v>644</v>
      </c>
      <c r="K1166" s="10"/>
      <c r="L1166" s="10" t="str">
        <f t="shared" si="113"/>
        <v>Not Submitted</v>
      </c>
      <c r="M1166" s="11">
        <v>0</v>
      </c>
      <c r="N1166" s="10" t="s">
        <v>18</v>
      </c>
      <c r="O1166" s="42">
        <f t="shared" si="114"/>
        <v>0</v>
      </c>
      <c r="P1166" s="10" t="s">
        <v>2485</v>
      </c>
    </row>
    <row r="1167" spans="1:16" s="22" customFormat="1" ht="14.25" customHeight="1" x14ac:dyDescent="0.25">
      <c r="A1167" s="5" t="s">
        <v>2144</v>
      </c>
      <c r="B1167" s="22" t="s">
        <v>716</v>
      </c>
      <c r="C1167" s="22" t="s">
        <v>985</v>
      </c>
      <c r="D1167" s="18" t="s">
        <v>2145</v>
      </c>
      <c r="E1167" s="24" t="str">
        <f t="shared" si="110"/>
        <v>S0150701E001</v>
      </c>
      <c r="F1167" s="13">
        <v>44459</v>
      </c>
      <c r="G1167" s="13">
        <v>44462</v>
      </c>
      <c r="H1167" s="7">
        <f t="shared" ca="1" si="111"/>
        <v>-641</v>
      </c>
      <c r="I1167" s="13"/>
      <c r="J1167" s="9">
        <f t="shared" ca="1" si="112"/>
        <v>644</v>
      </c>
      <c r="K1167" s="10" t="s">
        <v>771</v>
      </c>
      <c r="L1167" s="10" t="str">
        <f t="shared" si="113"/>
        <v>Rejected</v>
      </c>
      <c r="M1167" s="11">
        <v>1</v>
      </c>
      <c r="N1167" s="10" t="s">
        <v>18</v>
      </c>
      <c r="O1167" s="42">
        <f t="shared" si="114"/>
        <v>0</v>
      </c>
      <c r="P1167" s="10" t="s">
        <v>2485</v>
      </c>
    </row>
    <row r="1168" spans="1:16" s="22" customFormat="1" ht="14.25" customHeight="1" x14ac:dyDescent="0.25">
      <c r="A1168" s="5" t="s">
        <v>2146</v>
      </c>
      <c r="B1168" s="22" t="s">
        <v>716</v>
      </c>
      <c r="C1168" s="22" t="s">
        <v>787</v>
      </c>
      <c r="D1168" s="18" t="s">
        <v>2147</v>
      </c>
      <c r="E1168" s="24" t="str">
        <f t="shared" si="110"/>
        <v>V0140212E004</v>
      </c>
      <c r="F1168" s="13">
        <v>44459</v>
      </c>
      <c r="G1168" s="13">
        <v>44462</v>
      </c>
      <c r="H1168" s="7">
        <f t="shared" ca="1" si="111"/>
        <v>-641</v>
      </c>
      <c r="I1168" s="13"/>
      <c r="J1168" s="9">
        <f t="shared" ca="1" si="112"/>
        <v>644</v>
      </c>
      <c r="K1168" s="10"/>
      <c r="L1168" s="10" t="str">
        <f t="shared" si="113"/>
        <v>Not Submitted</v>
      </c>
      <c r="M1168" s="11">
        <v>0</v>
      </c>
      <c r="N1168" s="10" t="s">
        <v>18</v>
      </c>
      <c r="O1168" s="42">
        <f t="shared" si="114"/>
        <v>0</v>
      </c>
      <c r="P1168" s="10" t="s">
        <v>2485</v>
      </c>
    </row>
    <row r="1169" spans="1:16" s="22" customFormat="1" ht="14.25" customHeight="1" x14ac:dyDescent="0.25">
      <c r="A1169" s="5" t="s">
        <v>2148</v>
      </c>
      <c r="B1169" s="22" t="s">
        <v>716</v>
      </c>
      <c r="C1169" s="22" t="s">
        <v>2470</v>
      </c>
      <c r="D1169" s="18" t="s">
        <v>2149</v>
      </c>
      <c r="E1169" s="24" t="str">
        <f t="shared" si="110"/>
        <v>V0172181P016</v>
      </c>
      <c r="F1169" s="13">
        <v>44459</v>
      </c>
      <c r="G1169" s="13">
        <v>44462</v>
      </c>
      <c r="H1169" s="7">
        <f t="shared" ca="1" si="111"/>
        <v>-641</v>
      </c>
      <c r="I1169" s="13"/>
      <c r="J1169" s="9">
        <f t="shared" ca="1" si="112"/>
        <v>644</v>
      </c>
      <c r="K1169" s="10"/>
      <c r="L1169" s="10" t="str">
        <f t="shared" si="113"/>
        <v>Not Submitted</v>
      </c>
      <c r="M1169" s="11">
        <v>0</v>
      </c>
      <c r="N1169" s="10" t="s">
        <v>18</v>
      </c>
      <c r="O1169" s="42">
        <f t="shared" si="114"/>
        <v>0</v>
      </c>
      <c r="P1169" s="10" t="s">
        <v>2485</v>
      </c>
    </row>
    <row r="1170" spans="1:16" s="22" customFormat="1" ht="14.25" customHeight="1" x14ac:dyDescent="0.25">
      <c r="A1170" s="5" t="s">
        <v>2161</v>
      </c>
      <c r="B1170" s="22" t="s">
        <v>716</v>
      </c>
      <c r="C1170" s="22" t="s">
        <v>752</v>
      </c>
      <c r="D1170" s="18" t="s">
        <v>2162</v>
      </c>
      <c r="E1170" s="24" t="str">
        <f t="shared" si="110"/>
        <v>V0040592E007</v>
      </c>
      <c r="F1170" s="13">
        <v>44459</v>
      </c>
      <c r="G1170" s="13">
        <v>44462</v>
      </c>
      <c r="H1170" s="7">
        <f t="shared" ca="1" si="111"/>
        <v>-641</v>
      </c>
      <c r="I1170" s="13"/>
      <c r="J1170" s="9">
        <f t="shared" ca="1" si="112"/>
        <v>644</v>
      </c>
      <c r="K1170" s="10" t="s">
        <v>771</v>
      </c>
      <c r="L1170" s="10" t="str">
        <f t="shared" si="113"/>
        <v>Rejected</v>
      </c>
      <c r="M1170" s="11">
        <v>1</v>
      </c>
      <c r="N1170" s="10" t="s">
        <v>18</v>
      </c>
      <c r="O1170" s="42">
        <f t="shared" si="114"/>
        <v>0</v>
      </c>
      <c r="P1170" s="10" t="s">
        <v>2485</v>
      </c>
    </row>
    <row r="1171" spans="1:16" s="22" customFormat="1" ht="14.25" customHeight="1" x14ac:dyDescent="0.25">
      <c r="A1171" s="5" t="s">
        <v>2181</v>
      </c>
      <c r="B1171" s="22" t="s">
        <v>716</v>
      </c>
      <c r="C1171" s="22" t="s">
        <v>1694</v>
      </c>
      <c r="D1171" s="18" t="s">
        <v>2182</v>
      </c>
      <c r="E1171" s="24" t="str">
        <f t="shared" si="110"/>
        <v>T007S502P001</v>
      </c>
      <c r="F1171" s="13">
        <v>44461</v>
      </c>
      <c r="G1171" s="13">
        <v>44462</v>
      </c>
      <c r="H1171" s="7">
        <f t="shared" ca="1" si="111"/>
        <v>-641</v>
      </c>
      <c r="I1171" s="13"/>
      <c r="J1171" s="9">
        <f t="shared" ca="1" si="112"/>
        <v>642</v>
      </c>
      <c r="K1171" s="10"/>
      <c r="L1171" s="10" t="str">
        <f t="shared" si="113"/>
        <v>Not Submitted</v>
      </c>
      <c r="M1171" s="11">
        <v>0</v>
      </c>
      <c r="N1171" s="10" t="s">
        <v>18</v>
      </c>
      <c r="O1171" s="42">
        <f t="shared" si="114"/>
        <v>0</v>
      </c>
      <c r="P1171" s="10" t="s">
        <v>2485</v>
      </c>
    </row>
    <row r="1172" spans="1:16" s="22" customFormat="1" ht="14.25" customHeight="1" x14ac:dyDescent="0.25">
      <c r="A1172" s="5" t="s">
        <v>2185</v>
      </c>
      <c r="B1172" s="22" t="s">
        <v>716</v>
      </c>
      <c r="C1172" s="22" t="s">
        <v>992</v>
      </c>
      <c r="D1172" s="18" t="s">
        <v>2186</v>
      </c>
      <c r="E1172" s="24" t="str">
        <f t="shared" si="110"/>
        <v>T0082402P001</v>
      </c>
      <c r="F1172" s="13">
        <v>44461</v>
      </c>
      <c r="G1172" s="13">
        <v>44462</v>
      </c>
      <c r="H1172" s="7">
        <f t="shared" ca="1" si="111"/>
        <v>-641</v>
      </c>
      <c r="I1172" s="13"/>
      <c r="J1172" s="9">
        <f t="shared" ca="1" si="112"/>
        <v>642</v>
      </c>
      <c r="K1172" s="10"/>
      <c r="L1172" s="10" t="str">
        <f t="shared" si="113"/>
        <v>Not Submitted</v>
      </c>
      <c r="M1172" s="11">
        <v>0</v>
      </c>
      <c r="N1172" s="10" t="s">
        <v>18</v>
      </c>
      <c r="O1172" s="42">
        <f t="shared" si="114"/>
        <v>0</v>
      </c>
      <c r="P1172" s="10" t="s">
        <v>2485</v>
      </c>
    </row>
    <row r="1173" spans="1:16" s="22" customFormat="1" ht="14.25" customHeight="1" x14ac:dyDescent="0.25">
      <c r="A1173" s="5" t="s">
        <v>2191</v>
      </c>
      <c r="B1173" s="22" t="s">
        <v>716</v>
      </c>
      <c r="C1173" s="22" t="s">
        <v>992</v>
      </c>
      <c r="D1173" s="18" t="s">
        <v>2192</v>
      </c>
      <c r="E1173" s="24" t="str">
        <f t="shared" si="110"/>
        <v>T008E702P001</v>
      </c>
      <c r="F1173" s="13">
        <v>44461</v>
      </c>
      <c r="G1173" s="13">
        <v>44462</v>
      </c>
      <c r="H1173" s="7">
        <f t="shared" ca="1" si="111"/>
        <v>-641</v>
      </c>
      <c r="I1173" s="13"/>
      <c r="J1173" s="9">
        <f t="shared" ca="1" si="112"/>
        <v>642</v>
      </c>
      <c r="K1173" s="10"/>
      <c r="L1173" s="10" t="str">
        <f t="shared" si="113"/>
        <v>Not Submitted</v>
      </c>
      <c r="M1173" s="11">
        <v>0</v>
      </c>
      <c r="N1173" s="10" t="s">
        <v>18</v>
      </c>
      <c r="O1173" s="42">
        <f t="shared" si="114"/>
        <v>0</v>
      </c>
      <c r="P1173" s="10" t="s">
        <v>2485</v>
      </c>
    </row>
    <row r="1174" spans="1:16" s="22" customFormat="1" ht="14.25" customHeight="1" x14ac:dyDescent="0.25">
      <c r="A1174" s="5" t="s">
        <v>2193</v>
      </c>
      <c r="B1174" s="22" t="s">
        <v>716</v>
      </c>
      <c r="C1174" s="22" t="s">
        <v>992</v>
      </c>
      <c r="D1174" s="18" t="s">
        <v>2194</v>
      </c>
      <c r="E1174" s="24" t="str">
        <f t="shared" si="110"/>
        <v>T008E902P001</v>
      </c>
      <c r="F1174" s="13">
        <v>44461</v>
      </c>
      <c r="G1174" s="13">
        <v>44462</v>
      </c>
      <c r="H1174" s="7">
        <f t="shared" ca="1" si="111"/>
        <v>-641</v>
      </c>
      <c r="I1174" s="13"/>
      <c r="J1174" s="9">
        <f t="shared" ca="1" si="112"/>
        <v>642</v>
      </c>
      <c r="K1174" s="10"/>
      <c r="L1174" s="10" t="str">
        <f t="shared" si="113"/>
        <v>Not Submitted</v>
      </c>
      <c r="M1174" s="11">
        <v>0</v>
      </c>
      <c r="N1174" s="10" t="s">
        <v>18</v>
      </c>
      <c r="O1174" s="42">
        <f t="shared" si="114"/>
        <v>0</v>
      </c>
      <c r="P1174" s="10" t="s">
        <v>2485</v>
      </c>
    </row>
    <row r="1175" spans="1:16" s="22" customFormat="1" ht="14.25" customHeight="1" x14ac:dyDescent="0.25">
      <c r="A1175" s="5" t="s">
        <v>2197</v>
      </c>
      <c r="B1175" s="22" t="s">
        <v>716</v>
      </c>
      <c r="C1175" s="22" t="s">
        <v>992</v>
      </c>
      <c r="D1175" s="18" t="s">
        <v>2198</v>
      </c>
      <c r="E1175" s="24" t="str">
        <f t="shared" si="110"/>
        <v>T0082601P001</v>
      </c>
      <c r="F1175" s="13">
        <v>44461</v>
      </c>
      <c r="G1175" s="13">
        <v>44462</v>
      </c>
      <c r="H1175" s="7">
        <f t="shared" ca="1" si="111"/>
        <v>-641</v>
      </c>
      <c r="I1175" s="13"/>
      <c r="J1175" s="9">
        <f t="shared" ca="1" si="112"/>
        <v>642</v>
      </c>
      <c r="K1175" s="10"/>
      <c r="L1175" s="10" t="str">
        <f t="shared" si="113"/>
        <v>Not Submitted</v>
      </c>
      <c r="M1175" s="11">
        <v>0</v>
      </c>
      <c r="N1175" s="10" t="s">
        <v>18</v>
      </c>
      <c r="O1175" s="42">
        <f t="shared" si="114"/>
        <v>0</v>
      </c>
      <c r="P1175" s="10" t="s">
        <v>2485</v>
      </c>
    </row>
    <row r="1176" spans="1:16" s="22" customFormat="1" ht="14.25" customHeight="1" x14ac:dyDescent="0.25">
      <c r="A1176" s="5" t="s">
        <v>2199</v>
      </c>
      <c r="B1176" s="22" t="s">
        <v>716</v>
      </c>
      <c r="C1176" s="22" t="s">
        <v>992</v>
      </c>
      <c r="D1176" s="18" t="s">
        <v>2200</v>
      </c>
      <c r="E1176" s="24" t="str">
        <f t="shared" si="110"/>
        <v>T0083701P001</v>
      </c>
      <c r="F1176" s="13">
        <v>44461</v>
      </c>
      <c r="G1176" s="13">
        <v>44462</v>
      </c>
      <c r="H1176" s="7">
        <f t="shared" ca="1" si="111"/>
        <v>-641</v>
      </c>
      <c r="I1176" s="13"/>
      <c r="J1176" s="9">
        <f t="shared" ca="1" si="112"/>
        <v>642</v>
      </c>
      <c r="K1176" s="10"/>
      <c r="L1176" s="10" t="str">
        <f t="shared" si="113"/>
        <v>Not Submitted</v>
      </c>
      <c r="M1176" s="11">
        <v>0</v>
      </c>
      <c r="N1176" s="10" t="s">
        <v>18</v>
      </c>
      <c r="O1176" s="42">
        <f t="shared" si="114"/>
        <v>0</v>
      </c>
      <c r="P1176" s="10" t="s">
        <v>2485</v>
      </c>
    </row>
    <row r="1177" spans="1:16" s="22" customFormat="1" ht="14.25" customHeight="1" x14ac:dyDescent="0.25">
      <c r="A1177" s="5" t="s">
        <v>2201</v>
      </c>
      <c r="B1177" s="22" t="s">
        <v>716</v>
      </c>
      <c r="C1177" s="22" t="s">
        <v>992</v>
      </c>
      <c r="D1177" s="18" t="s">
        <v>2202</v>
      </c>
      <c r="E1177" s="24" t="str">
        <f t="shared" si="110"/>
        <v>T0088201P001</v>
      </c>
      <c r="F1177" s="13">
        <v>44461</v>
      </c>
      <c r="G1177" s="13">
        <v>44462</v>
      </c>
      <c r="H1177" s="7">
        <f t="shared" ca="1" si="111"/>
        <v>-641</v>
      </c>
      <c r="I1177" s="13"/>
      <c r="J1177" s="9">
        <f t="shared" ca="1" si="112"/>
        <v>642</v>
      </c>
      <c r="K1177" s="10"/>
      <c r="L1177" s="10" t="str">
        <f t="shared" si="113"/>
        <v>Not Submitted</v>
      </c>
      <c r="M1177" s="11">
        <v>0</v>
      </c>
      <c r="N1177" s="10" t="s">
        <v>18</v>
      </c>
      <c r="O1177" s="42">
        <f t="shared" si="114"/>
        <v>0</v>
      </c>
      <c r="P1177" s="10" t="s">
        <v>2485</v>
      </c>
    </row>
    <row r="1178" spans="1:16" s="22" customFormat="1" ht="14.25" customHeight="1" x14ac:dyDescent="0.25">
      <c r="A1178" s="5" t="s">
        <v>2205</v>
      </c>
      <c r="B1178" s="22" t="s">
        <v>716</v>
      </c>
      <c r="C1178" s="22" t="s">
        <v>992</v>
      </c>
      <c r="D1178" s="18" t="s">
        <v>2206</v>
      </c>
      <c r="E1178" s="24" t="str">
        <f t="shared" si="110"/>
        <v>T008C001P001</v>
      </c>
      <c r="F1178" s="13">
        <v>44461</v>
      </c>
      <c r="G1178" s="13">
        <v>44462</v>
      </c>
      <c r="H1178" s="7">
        <f t="shared" ca="1" si="111"/>
        <v>-641</v>
      </c>
      <c r="I1178" s="13"/>
      <c r="J1178" s="9">
        <f t="shared" ca="1" si="112"/>
        <v>642</v>
      </c>
      <c r="K1178" s="10"/>
      <c r="L1178" s="10" t="str">
        <f t="shared" si="113"/>
        <v>Not Submitted</v>
      </c>
      <c r="M1178" s="11">
        <v>0</v>
      </c>
      <c r="N1178" s="10" t="s">
        <v>18</v>
      </c>
      <c r="O1178" s="42">
        <f t="shared" si="114"/>
        <v>0</v>
      </c>
      <c r="P1178" s="10" t="s">
        <v>2485</v>
      </c>
    </row>
    <row r="1179" spans="1:16" s="22" customFormat="1" ht="14.25" customHeight="1" x14ac:dyDescent="0.25">
      <c r="A1179" s="5" t="s">
        <v>2211</v>
      </c>
      <c r="B1179" s="22" t="s">
        <v>716</v>
      </c>
      <c r="C1179" s="22" t="s">
        <v>992</v>
      </c>
      <c r="D1179" s="18" t="s">
        <v>2212</v>
      </c>
      <c r="E1179" s="24" t="str">
        <f t="shared" si="110"/>
        <v>T008U102P001</v>
      </c>
      <c r="F1179" s="13">
        <v>44461</v>
      </c>
      <c r="G1179" s="13">
        <v>44462</v>
      </c>
      <c r="H1179" s="7">
        <f t="shared" ca="1" si="111"/>
        <v>-641</v>
      </c>
      <c r="I1179" s="13"/>
      <c r="J1179" s="9">
        <f t="shared" ca="1" si="112"/>
        <v>642</v>
      </c>
      <c r="K1179" s="10"/>
      <c r="L1179" s="10" t="str">
        <f t="shared" si="113"/>
        <v>Not Submitted</v>
      </c>
      <c r="M1179" s="11">
        <v>0</v>
      </c>
      <c r="N1179" s="10" t="s">
        <v>18</v>
      </c>
      <c r="O1179" s="42">
        <f t="shared" si="114"/>
        <v>0</v>
      </c>
      <c r="P1179" s="10" t="s">
        <v>2485</v>
      </c>
    </row>
    <row r="1180" spans="1:16" s="22" customFormat="1" ht="14.25" customHeight="1" x14ac:dyDescent="0.25">
      <c r="A1180" s="5" t="s">
        <v>2213</v>
      </c>
      <c r="B1180" s="22" t="s">
        <v>716</v>
      </c>
      <c r="C1180" s="22" t="s">
        <v>992</v>
      </c>
      <c r="D1180" s="18" t="s">
        <v>2214</v>
      </c>
      <c r="E1180" s="24" t="str">
        <f t="shared" si="110"/>
        <v>T008Y102P001</v>
      </c>
      <c r="F1180" s="13">
        <v>44461</v>
      </c>
      <c r="G1180" s="13">
        <v>44462</v>
      </c>
      <c r="H1180" s="7">
        <f t="shared" ca="1" si="111"/>
        <v>-641</v>
      </c>
      <c r="I1180" s="13"/>
      <c r="J1180" s="9">
        <f t="shared" ca="1" si="112"/>
        <v>642</v>
      </c>
      <c r="K1180" s="10"/>
      <c r="L1180" s="10" t="str">
        <f t="shared" si="113"/>
        <v>Not Submitted</v>
      </c>
      <c r="M1180" s="11">
        <v>0</v>
      </c>
      <c r="N1180" s="10" t="s">
        <v>18</v>
      </c>
      <c r="O1180" s="42">
        <f t="shared" si="114"/>
        <v>0</v>
      </c>
      <c r="P1180" s="10" t="s">
        <v>2485</v>
      </c>
    </row>
    <row r="1181" spans="1:16" s="22" customFormat="1" ht="14.25" customHeight="1" x14ac:dyDescent="0.25">
      <c r="A1181" s="5" t="s">
        <v>2215</v>
      </c>
      <c r="B1181" s="22" t="s">
        <v>716</v>
      </c>
      <c r="C1181" s="22" t="s">
        <v>992</v>
      </c>
      <c r="D1181" s="18" t="s">
        <v>2216</v>
      </c>
      <c r="E1181" s="24" t="str">
        <f t="shared" si="110"/>
        <v>T0082203P001</v>
      </c>
      <c r="F1181" s="13">
        <v>44461</v>
      </c>
      <c r="G1181" s="13">
        <v>44462</v>
      </c>
      <c r="H1181" s="7">
        <f t="shared" ca="1" si="111"/>
        <v>-641</v>
      </c>
      <c r="I1181" s="13"/>
      <c r="J1181" s="9">
        <f t="shared" ca="1" si="112"/>
        <v>642</v>
      </c>
      <c r="K1181" s="10"/>
      <c r="L1181" s="10" t="str">
        <f t="shared" si="113"/>
        <v>Not Submitted</v>
      </c>
      <c r="M1181" s="11">
        <v>0</v>
      </c>
      <c r="N1181" s="10" t="s">
        <v>18</v>
      </c>
      <c r="O1181" s="42">
        <f t="shared" si="114"/>
        <v>0</v>
      </c>
      <c r="P1181" s="10" t="s">
        <v>2485</v>
      </c>
    </row>
    <row r="1182" spans="1:16" s="22" customFormat="1" ht="14.25" customHeight="1" x14ac:dyDescent="0.25">
      <c r="A1182" s="5" t="s">
        <v>2225</v>
      </c>
      <c r="B1182" s="22" t="s">
        <v>716</v>
      </c>
      <c r="C1182" s="22" t="s">
        <v>992</v>
      </c>
      <c r="D1182" s="18" t="s">
        <v>2226</v>
      </c>
      <c r="E1182" s="24" t="str">
        <f t="shared" si="110"/>
        <v>T008A501P001</v>
      </c>
      <c r="F1182" s="13">
        <v>44463</v>
      </c>
      <c r="G1182" s="13">
        <v>44472</v>
      </c>
      <c r="H1182" s="7">
        <f t="shared" ca="1" si="111"/>
        <v>-631</v>
      </c>
      <c r="I1182" s="13"/>
      <c r="J1182" s="9">
        <f t="shared" ca="1" si="112"/>
        <v>640</v>
      </c>
      <c r="K1182" s="10"/>
      <c r="L1182" s="10" t="str">
        <f t="shared" si="113"/>
        <v>Not Submitted</v>
      </c>
      <c r="M1182" s="11">
        <v>0</v>
      </c>
      <c r="N1182" s="10" t="s">
        <v>18</v>
      </c>
      <c r="O1182" s="42">
        <f t="shared" si="114"/>
        <v>0</v>
      </c>
      <c r="P1182" s="10" t="s">
        <v>2485</v>
      </c>
    </row>
    <row r="1183" spans="1:16" s="22" customFormat="1" ht="14.25" customHeight="1" x14ac:dyDescent="0.25">
      <c r="A1183" s="5" t="s">
        <v>2245</v>
      </c>
      <c r="B1183" s="22" t="s">
        <v>716</v>
      </c>
      <c r="C1183" s="22" t="s">
        <v>1450</v>
      </c>
      <c r="D1183" s="18" t="s">
        <v>2246</v>
      </c>
      <c r="E1183" s="24" t="str">
        <f t="shared" si="110"/>
        <v>T0230158P005</v>
      </c>
      <c r="F1183" s="13">
        <v>44463</v>
      </c>
      <c r="G1183" s="13">
        <v>44472</v>
      </c>
      <c r="H1183" s="7">
        <f t="shared" ca="1" si="111"/>
        <v>-631</v>
      </c>
      <c r="I1183" s="13"/>
      <c r="J1183" s="9">
        <f t="shared" ca="1" si="112"/>
        <v>640</v>
      </c>
      <c r="K1183" s="10"/>
      <c r="L1183" s="10" t="str">
        <f t="shared" si="113"/>
        <v>Not Submitted</v>
      </c>
      <c r="M1183" s="11">
        <v>0</v>
      </c>
      <c r="N1183" s="10" t="s">
        <v>18</v>
      </c>
      <c r="O1183" s="42">
        <f t="shared" si="114"/>
        <v>0</v>
      </c>
      <c r="P1183" s="10" t="s">
        <v>2485</v>
      </c>
    </row>
    <row r="1184" spans="1:16" s="22" customFormat="1" ht="14.25" customHeight="1" x14ac:dyDescent="0.25">
      <c r="A1184" s="5" t="s">
        <v>2277</v>
      </c>
      <c r="B1184" s="22" t="s">
        <v>716</v>
      </c>
      <c r="C1184" s="22" t="s">
        <v>2061</v>
      </c>
      <c r="D1184" s="18" t="s">
        <v>2278</v>
      </c>
      <c r="E1184" s="24" t="str">
        <f t="shared" si="110"/>
        <v>S0290093E003</v>
      </c>
      <c r="F1184" s="13">
        <v>44466</v>
      </c>
      <c r="G1184" s="13">
        <v>44472</v>
      </c>
      <c r="H1184" s="7">
        <f t="shared" ca="1" si="111"/>
        <v>-631</v>
      </c>
      <c r="I1184" s="13"/>
      <c r="J1184" s="9">
        <f t="shared" ca="1" si="112"/>
        <v>637</v>
      </c>
      <c r="K1184" s="10"/>
      <c r="L1184" s="10" t="str">
        <f t="shared" si="113"/>
        <v>Not Submitted</v>
      </c>
      <c r="M1184" s="11">
        <v>0</v>
      </c>
      <c r="N1184" s="10" t="s">
        <v>18</v>
      </c>
      <c r="O1184" s="42">
        <f t="shared" si="114"/>
        <v>0</v>
      </c>
      <c r="P1184" s="10" t="s">
        <v>2485</v>
      </c>
    </row>
    <row r="1185" spans="1:16" s="22" customFormat="1" ht="14.25" customHeight="1" x14ac:dyDescent="0.25">
      <c r="A1185" s="5" t="s">
        <v>2315</v>
      </c>
      <c r="B1185" s="22" t="s">
        <v>716</v>
      </c>
      <c r="C1185" s="22" t="s">
        <v>752</v>
      </c>
      <c r="D1185" s="18" t="s">
        <v>2316</v>
      </c>
      <c r="E1185" s="24" t="str">
        <f t="shared" si="110"/>
        <v>T0230730P029</v>
      </c>
      <c r="F1185" s="13">
        <v>44466</v>
      </c>
      <c r="G1185" s="13">
        <v>44472</v>
      </c>
      <c r="H1185" s="7">
        <f t="shared" ca="1" si="111"/>
        <v>-631</v>
      </c>
      <c r="I1185" s="13"/>
      <c r="J1185" s="9">
        <f t="shared" ca="1" si="112"/>
        <v>637</v>
      </c>
      <c r="K1185" s="10" t="s">
        <v>663</v>
      </c>
      <c r="L1185" s="10" t="str">
        <f t="shared" si="113"/>
        <v>Rejected</v>
      </c>
      <c r="M1185" s="11">
        <v>1</v>
      </c>
      <c r="N1185" s="10" t="s">
        <v>18</v>
      </c>
      <c r="O1185" s="42">
        <f t="shared" si="114"/>
        <v>0</v>
      </c>
      <c r="P1185" s="10" t="s">
        <v>2485</v>
      </c>
    </row>
    <row r="1186" spans="1:16" s="22" customFormat="1" ht="14.25" customHeight="1" x14ac:dyDescent="0.25">
      <c r="A1186" s="5" t="s">
        <v>2323</v>
      </c>
      <c r="B1186" s="22" t="s">
        <v>716</v>
      </c>
      <c r="C1186" s="22" t="s">
        <v>787</v>
      </c>
      <c r="D1186" s="18" t="s">
        <v>2324</v>
      </c>
      <c r="E1186" s="24" t="str">
        <f t="shared" si="110"/>
        <v>S0900731E018</v>
      </c>
      <c r="F1186" s="13">
        <v>44470</v>
      </c>
      <c r="G1186" s="13">
        <v>44472</v>
      </c>
      <c r="H1186" s="7">
        <f t="shared" ca="1" si="111"/>
        <v>-631</v>
      </c>
      <c r="I1186" s="13"/>
      <c r="J1186" s="9">
        <f t="shared" ca="1" si="112"/>
        <v>633</v>
      </c>
      <c r="K1186" s="10"/>
      <c r="L1186" s="10" t="str">
        <f t="shared" si="113"/>
        <v>Not Submitted</v>
      </c>
      <c r="M1186" s="11">
        <v>0</v>
      </c>
      <c r="N1186" s="10" t="s">
        <v>18</v>
      </c>
      <c r="O1186" s="42">
        <f t="shared" si="114"/>
        <v>0</v>
      </c>
      <c r="P1186" s="10" t="s">
        <v>2485</v>
      </c>
    </row>
    <row r="1187" spans="1:16" s="22" customFormat="1" ht="14.25" customHeight="1" x14ac:dyDescent="0.25">
      <c r="A1187" s="5" t="s">
        <v>2325</v>
      </c>
      <c r="B1187" s="22" t="s">
        <v>716</v>
      </c>
      <c r="C1187" s="22" t="s">
        <v>787</v>
      </c>
      <c r="D1187" s="18" t="s">
        <v>2326</v>
      </c>
      <c r="E1187" s="24" t="str">
        <f t="shared" si="110"/>
        <v>T0110122P010</v>
      </c>
      <c r="F1187" s="13">
        <v>44470</v>
      </c>
      <c r="G1187" s="13">
        <v>44472</v>
      </c>
      <c r="H1187" s="7">
        <f t="shared" ca="1" si="111"/>
        <v>-631</v>
      </c>
      <c r="I1187" s="13"/>
      <c r="J1187" s="9">
        <f t="shared" ca="1" si="112"/>
        <v>633</v>
      </c>
      <c r="K1187" s="10"/>
      <c r="L1187" s="10" t="str">
        <f t="shared" si="113"/>
        <v>Not Submitted</v>
      </c>
      <c r="M1187" s="11">
        <v>0</v>
      </c>
      <c r="N1187" s="10" t="s">
        <v>18</v>
      </c>
      <c r="O1187" s="42">
        <f t="shared" si="114"/>
        <v>0</v>
      </c>
      <c r="P1187" s="10" t="s">
        <v>2485</v>
      </c>
    </row>
    <row r="1188" spans="1:16" s="22" customFormat="1" ht="14.25" customHeight="1" x14ac:dyDescent="0.25">
      <c r="A1188" s="5" t="s">
        <v>2331</v>
      </c>
      <c r="B1188" s="22" t="s">
        <v>716</v>
      </c>
      <c r="C1188" s="22" t="s">
        <v>787</v>
      </c>
      <c r="D1188" s="18" t="s">
        <v>2332</v>
      </c>
      <c r="E1188" s="24" t="str">
        <f t="shared" si="110"/>
        <v>S0900731E014</v>
      </c>
      <c r="F1188" s="13">
        <v>44470</v>
      </c>
      <c r="G1188" s="13">
        <v>44472</v>
      </c>
      <c r="H1188" s="7">
        <f t="shared" ca="1" si="111"/>
        <v>-631</v>
      </c>
      <c r="I1188" s="13"/>
      <c r="J1188" s="9">
        <f t="shared" ca="1" si="112"/>
        <v>633</v>
      </c>
      <c r="K1188" s="10"/>
      <c r="L1188" s="10" t="str">
        <f t="shared" si="113"/>
        <v>Not Submitted</v>
      </c>
      <c r="M1188" s="11">
        <v>0</v>
      </c>
      <c r="N1188" s="10" t="s">
        <v>18</v>
      </c>
      <c r="O1188" s="42">
        <f t="shared" si="114"/>
        <v>0</v>
      </c>
      <c r="P1188" s="10" t="s">
        <v>2485</v>
      </c>
    </row>
    <row r="1189" spans="1:16" s="22" customFormat="1" ht="14.25" customHeight="1" x14ac:dyDescent="0.25">
      <c r="A1189" s="5" t="s">
        <v>2335</v>
      </c>
      <c r="B1189" s="22" t="s">
        <v>716</v>
      </c>
      <c r="C1189" s="22" t="s">
        <v>932</v>
      </c>
      <c r="D1189" s="18" t="s">
        <v>2336</v>
      </c>
      <c r="E1189" s="24" t="str">
        <f t="shared" si="110"/>
        <v>T0084602P001</v>
      </c>
      <c r="F1189" s="13">
        <v>44470</v>
      </c>
      <c r="G1189" s="13">
        <v>44472</v>
      </c>
      <c r="H1189" s="7">
        <f t="shared" ca="1" si="111"/>
        <v>-631</v>
      </c>
      <c r="I1189" s="13"/>
      <c r="J1189" s="9">
        <f t="shared" ca="1" si="112"/>
        <v>633</v>
      </c>
      <c r="K1189" s="10"/>
      <c r="L1189" s="10" t="str">
        <f t="shared" si="113"/>
        <v>Not Submitted</v>
      </c>
      <c r="M1189" s="11">
        <v>0</v>
      </c>
      <c r="N1189" s="10" t="s">
        <v>18</v>
      </c>
      <c r="O1189" s="42">
        <f t="shared" si="114"/>
        <v>0</v>
      </c>
      <c r="P1189" s="10" t="s">
        <v>2485</v>
      </c>
    </row>
    <row r="1190" spans="1:16" s="22" customFormat="1" ht="14.25" customHeight="1" x14ac:dyDescent="0.25">
      <c r="A1190" s="5" t="s">
        <v>2337</v>
      </c>
      <c r="B1190" s="22" t="s">
        <v>716</v>
      </c>
      <c r="C1190" s="22" t="s">
        <v>2505</v>
      </c>
      <c r="D1190" s="18" t="s">
        <v>2338</v>
      </c>
      <c r="E1190" s="24" t="str">
        <f t="shared" si="110"/>
        <v>S0110594E001</v>
      </c>
      <c r="F1190" s="13">
        <v>44470</v>
      </c>
      <c r="G1190" s="13">
        <v>44472</v>
      </c>
      <c r="H1190" s="7">
        <f t="shared" ca="1" si="111"/>
        <v>-631</v>
      </c>
      <c r="I1190" s="13"/>
      <c r="J1190" s="9">
        <f t="shared" ca="1" si="112"/>
        <v>633</v>
      </c>
      <c r="K1190" s="10"/>
      <c r="L1190" s="10" t="str">
        <f t="shared" si="113"/>
        <v>Not Submitted</v>
      </c>
      <c r="M1190" s="11">
        <v>0</v>
      </c>
      <c r="N1190" s="10" t="s">
        <v>18</v>
      </c>
      <c r="O1190" s="42">
        <f t="shared" si="114"/>
        <v>0</v>
      </c>
      <c r="P1190" s="10" t="s">
        <v>2485</v>
      </c>
    </row>
    <row r="1191" spans="1:16" s="22" customFormat="1" ht="14.25" customHeight="1" x14ac:dyDescent="0.25">
      <c r="A1191" s="5" t="s">
        <v>2339</v>
      </c>
      <c r="B1191" s="22" t="s">
        <v>716</v>
      </c>
      <c r="C1191" s="22" t="s">
        <v>932</v>
      </c>
      <c r="D1191" s="18" t="s">
        <v>2340</v>
      </c>
      <c r="E1191" s="24" t="str">
        <f t="shared" si="110"/>
        <v>T0280207P016</v>
      </c>
      <c r="F1191" s="13">
        <v>44470</v>
      </c>
      <c r="G1191" s="13">
        <v>44472</v>
      </c>
      <c r="H1191" s="7">
        <f t="shared" ca="1" si="111"/>
        <v>-631</v>
      </c>
      <c r="I1191" s="13"/>
      <c r="J1191" s="9">
        <f t="shared" ca="1" si="112"/>
        <v>633</v>
      </c>
      <c r="K1191" s="10"/>
      <c r="L1191" s="10" t="str">
        <f t="shared" si="113"/>
        <v>Not Submitted</v>
      </c>
      <c r="M1191" s="11">
        <v>0</v>
      </c>
      <c r="N1191" s="10" t="s">
        <v>18</v>
      </c>
      <c r="O1191" s="42">
        <f t="shared" si="114"/>
        <v>0</v>
      </c>
      <c r="P1191" s="10" t="s">
        <v>2485</v>
      </c>
    </row>
    <row r="1192" spans="1:16" s="22" customFormat="1" ht="14.25" customHeight="1" x14ac:dyDescent="0.25">
      <c r="A1192" s="5" t="s">
        <v>2343</v>
      </c>
      <c r="B1192" s="22" t="s">
        <v>716</v>
      </c>
      <c r="C1192" s="22" t="s">
        <v>787</v>
      </c>
      <c r="D1192" s="18" t="s">
        <v>2344</v>
      </c>
      <c r="E1192" s="24" t="str">
        <f t="shared" si="110"/>
        <v>S0920881E001</v>
      </c>
      <c r="F1192" s="13">
        <v>44470</v>
      </c>
      <c r="G1192" s="13">
        <v>44472</v>
      </c>
      <c r="H1192" s="7">
        <f t="shared" ca="1" si="111"/>
        <v>-631</v>
      </c>
      <c r="I1192" s="13"/>
      <c r="J1192" s="9">
        <f t="shared" ca="1" si="112"/>
        <v>633</v>
      </c>
      <c r="K1192" s="10"/>
      <c r="L1192" s="10" t="str">
        <f t="shared" si="113"/>
        <v>Not Submitted</v>
      </c>
      <c r="M1192" s="11">
        <v>0</v>
      </c>
      <c r="N1192" s="10" t="s">
        <v>18</v>
      </c>
      <c r="O1192" s="42">
        <f t="shared" si="114"/>
        <v>0</v>
      </c>
      <c r="P1192" s="10" t="s">
        <v>2485</v>
      </c>
    </row>
    <row r="1193" spans="1:16" s="22" customFormat="1" ht="14.25" customHeight="1" x14ac:dyDescent="0.25">
      <c r="A1193" s="5" t="s">
        <v>2345</v>
      </c>
      <c r="B1193" s="22" t="s">
        <v>716</v>
      </c>
      <c r="C1193" s="22" t="s">
        <v>787</v>
      </c>
      <c r="D1193" s="18" t="s">
        <v>2346</v>
      </c>
      <c r="E1193" s="24" t="str">
        <f t="shared" si="110"/>
        <v>S0780281P017</v>
      </c>
      <c r="F1193" s="13">
        <v>44470</v>
      </c>
      <c r="G1193" s="13">
        <v>44472</v>
      </c>
      <c r="H1193" s="7">
        <f t="shared" ca="1" si="111"/>
        <v>-631</v>
      </c>
      <c r="I1193" s="13"/>
      <c r="J1193" s="9">
        <f t="shared" ca="1" si="112"/>
        <v>633</v>
      </c>
      <c r="K1193" s="10"/>
      <c r="L1193" s="10" t="str">
        <f t="shared" si="113"/>
        <v>Not Submitted</v>
      </c>
      <c r="M1193" s="11">
        <v>0</v>
      </c>
      <c r="N1193" s="10" t="s">
        <v>18</v>
      </c>
      <c r="O1193" s="42">
        <f t="shared" si="114"/>
        <v>0</v>
      </c>
      <c r="P1193" s="10" t="s">
        <v>2485</v>
      </c>
    </row>
    <row r="1194" spans="1:16" s="22" customFormat="1" ht="14.25" customHeight="1" x14ac:dyDescent="0.25">
      <c r="A1194" s="5" t="s">
        <v>2002</v>
      </c>
      <c r="B1194" s="22" t="s">
        <v>716</v>
      </c>
      <c r="C1194" s="22" t="s">
        <v>2472</v>
      </c>
      <c r="D1194" s="18" t="s">
        <v>2003</v>
      </c>
      <c r="E1194" s="24" t="str">
        <f t="shared" si="110"/>
        <v>S0541341E014</v>
      </c>
      <c r="F1194" s="13">
        <v>44452</v>
      </c>
      <c r="G1194" s="13">
        <v>44479</v>
      </c>
      <c r="H1194" s="7">
        <f t="shared" ca="1" si="111"/>
        <v>-624</v>
      </c>
      <c r="I1194" s="13"/>
      <c r="J1194" s="9">
        <f t="shared" ca="1" si="112"/>
        <v>651</v>
      </c>
      <c r="K1194" s="10"/>
      <c r="L1194" s="10" t="str">
        <f t="shared" si="113"/>
        <v>Not Submitted</v>
      </c>
      <c r="M1194" s="11">
        <v>0</v>
      </c>
      <c r="N1194" s="10" t="s">
        <v>18</v>
      </c>
      <c r="O1194" s="42">
        <f t="shared" si="114"/>
        <v>0</v>
      </c>
      <c r="P1194" s="10" t="s">
        <v>2485</v>
      </c>
    </row>
    <row r="1195" spans="1:16" s="22" customFormat="1" ht="14.25" customHeight="1" x14ac:dyDescent="0.25">
      <c r="A1195" s="5" t="s">
        <v>2357</v>
      </c>
      <c r="B1195" s="22" t="s">
        <v>716</v>
      </c>
      <c r="C1195" s="22" t="s">
        <v>1043</v>
      </c>
      <c r="D1195" s="18" t="s">
        <v>2358</v>
      </c>
      <c r="E1195" s="24" t="str">
        <f t="shared" si="110"/>
        <v>T0065103P001</v>
      </c>
      <c r="F1195" s="13">
        <v>44473</v>
      </c>
      <c r="G1195" s="13">
        <v>44479</v>
      </c>
      <c r="H1195" s="7">
        <f t="shared" ca="1" si="111"/>
        <v>-624</v>
      </c>
      <c r="I1195" s="13"/>
      <c r="J1195" s="9">
        <f t="shared" ca="1" si="112"/>
        <v>630</v>
      </c>
      <c r="K1195" s="10" t="s">
        <v>1412</v>
      </c>
      <c r="L1195" s="10" t="str">
        <f t="shared" si="113"/>
        <v>Rejected</v>
      </c>
      <c r="M1195" s="11">
        <v>1</v>
      </c>
      <c r="N1195" s="10" t="s">
        <v>18</v>
      </c>
      <c r="O1195" s="42">
        <f t="shared" si="114"/>
        <v>0</v>
      </c>
      <c r="P1195" s="10" t="s">
        <v>2485</v>
      </c>
    </row>
    <row r="1196" spans="1:16" s="22" customFormat="1" ht="14.25" customHeight="1" x14ac:dyDescent="0.25">
      <c r="A1196" s="5" t="s">
        <v>2361</v>
      </c>
      <c r="B1196" s="22" t="s">
        <v>716</v>
      </c>
      <c r="C1196" s="22" t="s">
        <v>787</v>
      </c>
      <c r="D1196" s="18" t="s">
        <v>2362</v>
      </c>
      <c r="E1196" s="24" t="str">
        <f t="shared" si="110"/>
        <v>T0058903P001</v>
      </c>
      <c r="F1196" s="13">
        <v>44473</v>
      </c>
      <c r="G1196" s="13">
        <v>44479</v>
      </c>
      <c r="H1196" s="7">
        <f t="shared" ca="1" si="111"/>
        <v>-624</v>
      </c>
      <c r="I1196" s="13"/>
      <c r="J1196" s="9">
        <f t="shared" ca="1" si="112"/>
        <v>630</v>
      </c>
      <c r="K1196" s="10" t="s">
        <v>771</v>
      </c>
      <c r="L1196" s="10" t="str">
        <f t="shared" si="113"/>
        <v>Rejected</v>
      </c>
      <c r="M1196" s="11">
        <v>1</v>
      </c>
      <c r="N1196" s="10" t="s">
        <v>18</v>
      </c>
      <c r="O1196" s="42">
        <f t="shared" si="114"/>
        <v>0</v>
      </c>
      <c r="P1196" s="10" t="s">
        <v>2485</v>
      </c>
    </row>
    <row r="1197" spans="1:16" s="22" customFormat="1" ht="14.25" customHeight="1" x14ac:dyDescent="0.25">
      <c r="A1197" s="5" t="s">
        <v>2363</v>
      </c>
      <c r="B1197" s="22" t="s">
        <v>716</v>
      </c>
      <c r="C1197" s="22" t="s">
        <v>735</v>
      </c>
      <c r="D1197" s="18" t="s">
        <v>2364</v>
      </c>
      <c r="E1197" s="24" t="str">
        <f t="shared" si="110"/>
        <v>T0301011E031</v>
      </c>
      <c r="F1197" s="13">
        <v>44473</v>
      </c>
      <c r="G1197" s="13">
        <v>44479</v>
      </c>
      <c r="H1197" s="7">
        <f t="shared" ca="1" si="111"/>
        <v>-624</v>
      </c>
      <c r="I1197" s="13"/>
      <c r="J1197" s="9">
        <f t="shared" ca="1" si="112"/>
        <v>630</v>
      </c>
      <c r="K1197" s="10" t="s">
        <v>771</v>
      </c>
      <c r="L1197" s="10" t="str">
        <f t="shared" si="113"/>
        <v>Rejected</v>
      </c>
      <c r="M1197" s="11">
        <v>1</v>
      </c>
      <c r="N1197" s="10" t="s">
        <v>18</v>
      </c>
      <c r="O1197" s="42">
        <f t="shared" si="114"/>
        <v>0</v>
      </c>
      <c r="P1197" s="10" t="s">
        <v>2485</v>
      </c>
    </row>
    <row r="1198" spans="1:16" s="22" customFormat="1" ht="14.25" customHeight="1" x14ac:dyDescent="0.25">
      <c r="A1198" s="5" t="s">
        <v>1103</v>
      </c>
      <c r="B1198" s="22" t="s">
        <v>716</v>
      </c>
      <c r="C1198" s="22" t="s">
        <v>985</v>
      </c>
      <c r="D1198" s="18" t="s">
        <v>1104</v>
      </c>
      <c r="E1198" s="24" t="str">
        <f t="shared" si="110"/>
        <v>S0081033E001</v>
      </c>
      <c r="F1198" s="13">
        <v>44382</v>
      </c>
      <c r="G1198" s="13">
        <v>44486</v>
      </c>
      <c r="H1198" s="7">
        <f t="shared" ca="1" si="111"/>
        <v>-617</v>
      </c>
      <c r="I1198" s="13"/>
      <c r="J1198" s="9">
        <f t="shared" ca="1" si="112"/>
        <v>721</v>
      </c>
      <c r="K1198" s="10" t="s">
        <v>771</v>
      </c>
      <c r="L1198" s="10" t="str">
        <f t="shared" si="113"/>
        <v>Rejected</v>
      </c>
      <c r="M1198" s="11">
        <v>1</v>
      </c>
      <c r="N1198" s="10" t="s">
        <v>18</v>
      </c>
      <c r="O1198" s="42">
        <f t="shared" si="114"/>
        <v>0</v>
      </c>
      <c r="P1198" s="10" t="s">
        <v>2485</v>
      </c>
    </row>
    <row r="1199" spans="1:16" s="22" customFormat="1" ht="14.25" customHeight="1" x14ac:dyDescent="0.25">
      <c r="A1199" s="5" t="s">
        <v>2419</v>
      </c>
      <c r="B1199" s="22" t="s">
        <v>716</v>
      </c>
      <c r="C1199" s="22" t="s">
        <v>1043</v>
      </c>
      <c r="D1199" s="18" t="s">
        <v>2420</v>
      </c>
      <c r="E1199" s="24" t="str">
        <f t="shared" si="110"/>
        <v>S0670741E002</v>
      </c>
      <c r="F1199" s="13">
        <v>44480</v>
      </c>
      <c r="G1199" s="13">
        <v>44486</v>
      </c>
      <c r="H1199" s="7">
        <f t="shared" ca="1" si="111"/>
        <v>-617</v>
      </c>
      <c r="I1199" s="13"/>
      <c r="J1199" s="9">
        <f t="shared" ca="1" si="112"/>
        <v>623</v>
      </c>
      <c r="K1199" s="10"/>
      <c r="L1199" s="10" t="str">
        <f t="shared" si="113"/>
        <v>Not Submitted</v>
      </c>
      <c r="M1199" s="11">
        <v>0</v>
      </c>
      <c r="N1199" s="10" t="s">
        <v>18</v>
      </c>
      <c r="O1199" s="42">
        <f t="shared" si="114"/>
        <v>0</v>
      </c>
      <c r="P1199" s="10" t="s">
        <v>2485</v>
      </c>
    </row>
    <row r="1200" spans="1:16" s="22" customFormat="1" ht="14.25" customHeight="1" x14ac:dyDescent="0.25">
      <c r="A1200" s="5" t="s">
        <v>2421</v>
      </c>
      <c r="B1200" s="22" t="s">
        <v>716</v>
      </c>
      <c r="C1200" s="22" t="s">
        <v>2473</v>
      </c>
      <c r="D1200" s="18" t="s">
        <v>2422</v>
      </c>
      <c r="E1200" s="24" t="str">
        <f t="shared" si="110"/>
        <v>S0902041a028</v>
      </c>
      <c r="F1200" s="13">
        <v>44480</v>
      </c>
      <c r="G1200" s="13">
        <v>44486</v>
      </c>
      <c r="H1200" s="7">
        <f t="shared" ca="1" si="111"/>
        <v>-617</v>
      </c>
      <c r="I1200" s="13"/>
      <c r="J1200" s="9">
        <f t="shared" ca="1" si="112"/>
        <v>623</v>
      </c>
      <c r="K1200" s="10"/>
      <c r="L1200" s="10" t="str">
        <f t="shared" si="113"/>
        <v>Not Submitted</v>
      </c>
      <c r="M1200" s="11">
        <v>0</v>
      </c>
      <c r="N1200" s="10" t="s">
        <v>18</v>
      </c>
      <c r="O1200" s="42">
        <f t="shared" si="114"/>
        <v>0</v>
      </c>
      <c r="P1200" s="10" t="s">
        <v>2485</v>
      </c>
    </row>
    <row r="1201" spans="1:16" s="22" customFormat="1" ht="14.25" customHeight="1" x14ac:dyDescent="0.25">
      <c r="A1201" s="5" t="s">
        <v>2425</v>
      </c>
      <c r="B1201" s="22" t="s">
        <v>716</v>
      </c>
      <c r="C1201" s="22" t="s">
        <v>2470</v>
      </c>
      <c r="D1201" s="18" t="s">
        <v>2426</v>
      </c>
      <c r="E1201" s="24" t="str">
        <f t="shared" si="110"/>
        <v>V0172191P017</v>
      </c>
      <c r="F1201" s="13">
        <v>44480</v>
      </c>
      <c r="G1201" s="13">
        <v>44486</v>
      </c>
      <c r="H1201" s="7">
        <f t="shared" ca="1" si="111"/>
        <v>-617</v>
      </c>
      <c r="I1201" s="13"/>
      <c r="J1201" s="9">
        <f t="shared" ca="1" si="112"/>
        <v>623</v>
      </c>
      <c r="K1201" s="10"/>
      <c r="L1201" s="10" t="str">
        <f t="shared" si="113"/>
        <v>Not Submitted</v>
      </c>
      <c r="M1201" s="11">
        <v>0</v>
      </c>
      <c r="N1201" s="10" t="s">
        <v>18</v>
      </c>
      <c r="O1201" s="42">
        <f t="shared" si="114"/>
        <v>0</v>
      </c>
      <c r="P1201" s="10" t="s">
        <v>2485</v>
      </c>
    </row>
    <row r="1202" spans="1:16" s="22" customFormat="1" ht="14.25" customHeight="1" x14ac:dyDescent="0.25">
      <c r="A1202" s="5" t="s">
        <v>2443</v>
      </c>
      <c r="B1202" s="22" t="s">
        <v>716</v>
      </c>
      <c r="C1202" s="22" t="s">
        <v>2470</v>
      </c>
      <c r="D1202" s="18" t="s">
        <v>2444</v>
      </c>
      <c r="E1202" s="24" t="str">
        <f t="shared" si="110"/>
        <v>T0410220P018</v>
      </c>
      <c r="F1202" s="13">
        <v>44480</v>
      </c>
      <c r="G1202" s="13">
        <v>44486</v>
      </c>
      <c r="H1202" s="7">
        <f t="shared" ca="1" si="111"/>
        <v>-617</v>
      </c>
      <c r="I1202" s="13"/>
      <c r="J1202" s="9">
        <f t="shared" ca="1" si="112"/>
        <v>623</v>
      </c>
      <c r="K1202" s="10"/>
      <c r="L1202" s="10" t="str">
        <f t="shared" si="113"/>
        <v>Not Submitted</v>
      </c>
      <c r="M1202" s="11">
        <v>0</v>
      </c>
      <c r="N1202" s="10" t="s">
        <v>18</v>
      </c>
      <c r="O1202" s="42">
        <f t="shared" si="114"/>
        <v>0</v>
      </c>
      <c r="P1202" s="10" t="s">
        <v>2485</v>
      </c>
    </row>
    <row r="1203" spans="1:16" s="22" customFormat="1" ht="14.25" customHeight="1" x14ac:dyDescent="0.25">
      <c r="A1203" s="5" t="s">
        <v>2445</v>
      </c>
      <c r="B1203" s="22" t="s">
        <v>716</v>
      </c>
      <c r="C1203" s="22" t="s">
        <v>735</v>
      </c>
      <c r="D1203" s="18" t="s">
        <v>2446</v>
      </c>
      <c r="E1203" s="24" t="str">
        <f t="shared" si="110"/>
        <v>T038F401E004</v>
      </c>
      <c r="F1203" s="13">
        <v>44480</v>
      </c>
      <c r="G1203" s="13">
        <v>44486</v>
      </c>
      <c r="H1203" s="7">
        <f t="shared" ca="1" si="111"/>
        <v>-617</v>
      </c>
      <c r="I1203" s="13"/>
      <c r="J1203" s="9">
        <f t="shared" ca="1" si="112"/>
        <v>623</v>
      </c>
      <c r="K1203" s="10"/>
      <c r="L1203" s="10" t="str">
        <f t="shared" si="113"/>
        <v>Not Submitted</v>
      </c>
      <c r="M1203" s="11">
        <v>0</v>
      </c>
      <c r="N1203" s="10" t="s">
        <v>18</v>
      </c>
      <c r="O1203" s="42">
        <f t="shared" si="114"/>
        <v>0</v>
      </c>
      <c r="P1203" s="10" t="s">
        <v>2485</v>
      </c>
    </row>
    <row r="1204" spans="1:16" s="22" customFormat="1" ht="14.25" customHeight="1" x14ac:dyDescent="0.25">
      <c r="A1204" s="5" t="s">
        <v>2447</v>
      </c>
      <c r="B1204" s="22" t="s">
        <v>716</v>
      </c>
      <c r="C1204" s="22" t="s">
        <v>1450</v>
      </c>
      <c r="D1204" s="18" t="s">
        <v>2448</v>
      </c>
      <c r="E1204" s="24" t="str">
        <f t="shared" si="110"/>
        <v>T006I903P001</v>
      </c>
      <c r="F1204" s="13">
        <v>44480</v>
      </c>
      <c r="G1204" s="13">
        <v>44486</v>
      </c>
      <c r="H1204" s="7">
        <f t="shared" ca="1" si="111"/>
        <v>-617</v>
      </c>
      <c r="I1204" s="13"/>
      <c r="J1204" s="9">
        <f t="shared" ca="1" si="112"/>
        <v>623</v>
      </c>
      <c r="K1204" s="10"/>
      <c r="L1204" s="10" t="str">
        <f t="shared" si="113"/>
        <v>Not Submitted</v>
      </c>
      <c r="M1204" s="11">
        <v>0</v>
      </c>
      <c r="N1204" s="10" t="s">
        <v>18</v>
      </c>
      <c r="O1204" s="42">
        <f t="shared" si="114"/>
        <v>0</v>
      </c>
      <c r="P1204" s="10" t="s">
        <v>2485</v>
      </c>
    </row>
    <row r="1205" spans="1:16" s="22" customFormat="1" ht="14.25" customHeight="1" x14ac:dyDescent="0.25">
      <c r="A1205" s="5" t="s">
        <v>2449</v>
      </c>
      <c r="B1205" s="22" t="s">
        <v>716</v>
      </c>
      <c r="C1205" s="22" t="s">
        <v>735</v>
      </c>
      <c r="D1205" s="18" t="s">
        <v>2450</v>
      </c>
      <c r="E1205" s="24" t="str">
        <f t="shared" si="110"/>
        <v>T0062705P001</v>
      </c>
      <c r="F1205" s="13">
        <v>44480</v>
      </c>
      <c r="G1205" s="13">
        <v>44486</v>
      </c>
      <c r="H1205" s="7">
        <f t="shared" ca="1" si="111"/>
        <v>-617</v>
      </c>
      <c r="I1205" s="13"/>
      <c r="J1205" s="9">
        <f t="shared" ca="1" si="112"/>
        <v>623</v>
      </c>
      <c r="K1205" s="10"/>
      <c r="L1205" s="10" t="str">
        <f t="shared" si="113"/>
        <v>Not Submitted</v>
      </c>
      <c r="M1205" s="11">
        <v>0</v>
      </c>
      <c r="N1205" s="10" t="s">
        <v>18</v>
      </c>
      <c r="O1205" s="42">
        <f t="shared" si="114"/>
        <v>0</v>
      </c>
      <c r="P1205" s="10" t="s">
        <v>2485</v>
      </c>
    </row>
  </sheetData>
  <conditionalFormatting sqref="H1:H1205">
    <cfRule type="cellIs" dxfId="108" priority="8" operator="lessThan">
      <formula>0</formula>
    </cfRule>
    <cfRule type="colorScale" priority="9">
      <colorScale>
        <cfvo type="num" val="0"/>
        <cfvo type="num" val="4"/>
        <cfvo type="num" val="7"/>
        <color rgb="FFFF0000"/>
        <color rgb="FFFFEB84"/>
        <color rgb="FF00B050"/>
      </colorScale>
    </cfRule>
  </conditionalFormatting>
  <conditionalFormatting sqref="A863 A871">
    <cfRule type="expression" dxfId="107" priority="30">
      <formula>COUNTIF(A:A,A863)&gt;1</formula>
    </cfRule>
  </conditionalFormatting>
  <conditionalFormatting sqref="A1105:A1205 A871:A1103">
    <cfRule type="duplicateValues" dxfId="106" priority="35"/>
  </conditionalFormatting>
  <conditionalFormatting sqref="A871:A1205">
    <cfRule type="duplicateValues" dxfId="105" priority="36"/>
  </conditionalFormatting>
  <conditionalFormatting sqref="L2:L1205">
    <cfRule type="containsText" dxfId="104" priority="38" operator="containsText" text="Not Submitted">
      <formula>NOT(ISERROR(SEARCH("Not Submitted",L2)))</formula>
    </cfRule>
    <cfRule type="containsText" dxfId="103" priority="39" operator="containsText" text="Rejected">
      <formula>NOT(ISERROR(SEARCH("Rejected",L2)))</formula>
    </cfRule>
    <cfRule type="containsText" dxfId="102" priority="40" operator="containsText" text="Accepted">
      <formula>NOT(ISERROR(SEARCH("Accepted",L2)))</formula>
    </cfRule>
  </conditionalFormatting>
  <conditionalFormatting sqref="J1:J1205 I1:I862">
    <cfRule type="expression" dxfId="101" priority="41">
      <formula>AND(H1&gt;=0,L1="Rejected",TODAY()-I1&gt;14)</formula>
    </cfRule>
    <cfRule type="expression" dxfId="100" priority="42">
      <formula>AND(H1&gt;=0,L1="Rejected",TODAY()-I1&gt;7,TODAY()-I1&lt;=14)</formula>
    </cfRule>
  </conditionalFormatting>
  <conditionalFormatting sqref="P2:P1205">
    <cfRule type="containsText" dxfId="99" priority="43" operator="containsText" text="not yet">
      <formula>NOT(ISERROR(SEARCH("not yet",P2)))</formula>
    </cfRule>
    <cfRule type="notContainsText" dxfId="98" priority="44" operator="notContains" text="not">
      <formula>ISERROR(SEARCH("not",P2))</formula>
    </cfRule>
  </conditionalFormatting>
  <conditionalFormatting sqref="A1:A862">
    <cfRule type="duplicateValues" dxfId="97" priority="56"/>
  </conditionalFormatting>
  <conditionalFormatting sqref="G543">
    <cfRule type="expression" dxfId="96" priority="69">
      <formula>AND(F543&gt;=0,H543="Rejected",TODAY()-G543&gt;14)</formula>
    </cfRule>
    <cfRule type="expression" dxfId="95" priority="70">
      <formula>AND(F543&gt;=0,H543="Rejected",TODAY()-G543&gt;7,TODAY()-G543&lt;=14)</formula>
    </cfRule>
  </conditionalFormatting>
  <conditionalFormatting sqref="M1:M1205">
    <cfRule type="dataBar" priority="7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{9E725D41-A627-4B50-9A4D-6AAA40601D70}</x14:id>
        </ext>
      </extLst>
    </cfRule>
  </conditionalFormatting>
  <conditionalFormatting sqref="N1:N1205">
    <cfRule type="iconSet" priority="76">
      <iconSet iconSet="3Symbols2">
        <cfvo type="percent" val="0"/>
        <cfvo type="percent" val="33"/>
        <cfvo type="percent" val="67"/>
      </iconSet>
    </cfRule>
  </conditionalFormatting>
  <hyperlinks>
    <hyperlink ref="D756" r:id="rId1" xr:uid="{00000000-0004-0000-0200-000000000000}"/>
    <hyperlink ref="D856" r:id="rId2" xr:uid="{00000000-0004-0000-0200-000001000000}"/>
  </hyperlinks>
  <pageMargins left="0.7" right="0.7" top="0.75" bottom="0.75" header="0.511811023622047" footer="0.511811023622047"/>
  <pageSetup paperSize="9" orientation="portrait" horizontalDpi="300" verticalDpi="300"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E725D41-A627-4B50-9A4D-6AAA40601D70}">
            <x14:dataBar gradient="0">
              <x14:cfvo type="autoMin"/>
              <x14:cfvo type="autoMax"/>
              <x14:negativeFillColor rgb="FFFF0000"/>
              <x14:axisColor rgb="FF000000"/>
            </x14:dataBar>
          </x14:cfRule>
          <xm:sqref>M1:M1205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P1205"/>
  <sheetViews>
    <sheetView zoomScaleNormal="100" workbookViewId="0"/>
  </sheetViews>
  <sheetFormatPr defaultColWidth="9.140625" defaultRowHeight="15" x14ac:dyDescent="0.25"/>
  <cols>
    <col min="1" max="1" width="17.5703125" bestFit="1" customWidth="1"/>
    <col min="2" max="2" width="10.5703125" bestFit="1" customWidth="1"/>
    <col min="3" max="3" width="25.42578125" customWidth="1"/>
    <col min="4" max="4" width="17.140625" customWidth="1"/>
    <col min="5" max="5" width="19.28515625" style="1" bestFit="1" customWidth="1"/>
    <col min="6" max="6" width="14.5703125" bestFit="1" customWidth="1"/>
    <col min="7" max="7" width="14.42578125" bestFit="1" customWidth="1"/>
    <col min="8" max="8" width="13.85546875" customWidth="1"/>
    <col min="9" max="9" width="15" customWidth="1"/>
    <col min="10" max="10" width="14" customWidth="1"/>
    <col min="11" max="11" width="14.140625" bestFit="1" customWidth="1"/>
    <col min="12" max="12" width="19.85546875" bestFit="1" customWidth="1"/>
    <col min="13" max="13" width="11.7109375" customWidth="1"/>
    <col min="14" max="14" width="8.42578125" customWidth="1"/>
    <col min="15" max="15" width="12.42578125" style="45" bestFit="1" customWidth="1"/>
    <col min="16" max="16" width="14.5703125" bestFit="1" customWidth="1"/>
  </cols>
  <sheetData>
    <row r="1" spans="1:16" ht="4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  <c r="G1" s="3" t="s">
        <v>6</v>
      </c>
      <c r="H1" s="4" t="s">
        <v>7</v>
      </c>
      <c r="I1" s="3" t="s">
        <v>8</v>
      </c>
      <c r="J1" s="4" t="s">
        <v>2456</v>
      </c>
      <c r="K1" s="2" t="s">
        <v>9</v>
      </c>
      <c r="L1" s="2" t="s">
        <v>10</v>
      </c>
      <c r="M1" s="2" t="s">
        <v>11</v>
      </c>
      <c r="N1" s="2" t="s">
        <v>12</v>
      </c>
      <c r="O1" s="44" t="s">
        <v>13</v>
      </c>
      <c r="P1" s="2" t="s">
        <v>2477</v>
      </c>
    </row>
    <row r="2" spans="1:16" x14ac:dyDescent="0.25">
      <c r="A2" s="26" t="s">
        <v>661</v>
      </c>
      <c r="B2" s="22" t="s">
        <v>15</v>
      </c>
      <c r="C2" s="22" t="s">
        <v>291</v>
      </c>
      <c r="D2" s="23" t="s">
        <v>662</v>
      </c>
      <c r="E2" s="24" t="s">
        <v>661</v>
      </c>
      <c r="F2" s="6">
        <v>44312</v>
      </c>
      <c r="G2" s="13">
        <v>44319</v>
      </c>
      <c r="H2" s="7">
        <v>-784</v>
      </c>
      <c r="I2" s="8">
        <v>44318</v>
      </c>
      <c r="J2" s="9">
        <v>791</v>
      </c>
      <c r="K2" s="10" t="s">
        <v>663</v>
      </c>
      <c r="L2" s="10" t="s">
        <v>2455</v>
      </c>
      <c r="M2" s="11">
        <v>1</v>
      </c>
      <c r="N2" s="10" t="s">
        <v>30</v>
      </c>
      <c r="O2" s="42">
        <v>0</v>
      </c>
      <c r="P2" s="10" t="s">
        <v>2485</v>
      </c>
    </row>
    <row r="3" spans="1:16" x14ac:dyDescent="0.25">
      <c r="A3" s="26" t="s">
        <v>666</v>
      </c>
      <c r="B3" s="22" t="s">
        <v>15</v>
      </c>
      <c r="C3" s="22" t="s">
        <v>291</v>
      </c>
      <c r="D3" s="23" t="s">
        <v>667</v>
      </c>
      <c r="E3" s="24" t="s">
        <v>666</v>
      </c>
      <c r="F3" s="6">
        <v>44312</v>
      </c>
      <c r="G3" s="13">
        <v>44319</v>
      </c>
      <c r="H3" s="7">
        <v>-784</v>
      </c>
      <c r="I3" s="8">
        <v>44318</v>
      </c>
      <c r="J3" s="9">
        <v>791</v>
      </c>
      <c r="K3" s="10" t="s">
        <v>663</v>
      </c>
      <c r="L3" s="10" t="s">
        <v>2455</v>
      </c>
      <c r="M3" s="11">
        <v>1</v>
      </c>
      <c r="N3" s="10" t="s">
        <v>30</v>
      </c>
      <c r="O3" s="42">
        <v>0</v>
      </c>
      <c r="P3" s="10" t="s">
        <v>2485</v>
      </c>
    </row>
    <row r="4" spans="1:16" x14ac:dyDescent="0.25">
      <c r="A4" s="5" t="s">
        <v>668</v>
      </c>
      <c r="B4" s="22" t="s">
        <v>15</v>
      </c>
      <c r="C4" s="22" t="s">
        <v>291</v>
      </c>
      <c r="D4" s="23" t="s">
        <v>669</v>
      </c>
      <c r="E4" s="24" t="s">
        <v>668</v>
      </c>
      <c r="F4" s="6">
        <v>44312</v>
      </c>
      <c r="G4" s="13">
        <v>44319</v>
      </c>
      <c r="H4" s="7">
        <v>-784</v>
      </c>
      <c r="I4" s="13">
        <v>44318</v>
      </c>
      <c r="J4" s="9">
        <v>791</v>
      </c>
      <c r="K4" s="23" t="s">
        <v>663</v>
      </c>
      <c r="L4" s="10" t="s">
        <v>2455</v>
      </c>
      <c r="M4" s="11">
        <v>1</v>
      </c>
      <c r="N4" s="10" t="s">
        <v>18</v>
      </c>
      <c r="O4" s="42">
        <v>0</v>
      </c>
      <c r="P4" s="10" t="s">
        <v>2485</v>
      </c>
    </row>
    <row r="5" spans="1:16" x14ac:dyDescent="0.25">
      <c r="A5" s="5" t="s">
        <v>670</v>
      </c>
      <c r="B5" s="22" t="s">
        <v>15</v>
      </c>
      <c r="C5" s="22" t="s">
        <v>291</v>
      </c>
      <c r="D5" s="23" t="s">
        <v>671</v>
      </c>
      <c r="E5" s="24" t="s">
        <v>670</v>
      </c>
      <c r="F5" s="6">
        <v>44312</v>
      </c>
      <c r="G5" s="13">
        <v>44319</v>
      </c>
      <c r="H5" s="7">
        <v>-784</v>
      </c>
      <c r="I5" s="8">
        <v>44318</v>
      </c>
      <c r="J5" s="9">
        <v>791</v>
      </c>
      <c r="K5" s="10" t="s">
        <v>663</v>
      </c>
      <c r="L5" s="10" t="s">
        <v>2455</v>
      </c>
      <c r="M5" s="11">
        <v>1</v>
      </c>
      <c r="N5" s="10" t="s">
        <v>30</v>
      </c>
      <c r="O5" s="42">
        <v>0</v>
      </c>
      <c r="P5" s="10" t="s">
        <v>2485</v>
      </c>
    </row>
    <row r="6" spans="1:16" x14ac:dyDescent="0.25">
      <c r="A6" s="5" t="s">
        <v>676</v>
      </c>
      <c r="B6" s="22" t="s">
        <v>15</v>
      </c>
      <c r="C6" s="22" t="s">
        <v>291</v>
      </c>
      <c r="D6" s="23" t="s">
        <v>677</v>
      </c>
      <c r="E6" s="24" t="s">
        <v>676</v>
      </c>
      <c r="F6" s="6">
        <v>44312</v>
      </c>
      <c r="G6" s="13">
        <v>44319</v>
      </c>
      <c r="H6" s="7">
        <v>-784</v>
      </c>
      <c r="I6" s="8">
        <v>44318</v>
      </c>
      <c r="J6" s="9">
        <v>791</v>
      </c>
      <c r="K6" s="10" t="s">
        <v>663</v>
      </c>
      <c r="L6" s="10" t="s">
        <v>2455</v>
      </c>
      <c r="M6" s="11">
        <v>1</v>
      </c>
      <c r="N6" s="10" t="s">
        <v>18</v>
      </c>
      <c r="O6" s="42">
        <v>0</v>
      </c>
      <c r="P6" s="10" t="s">
        <v>2485</v>
      </c>
    </row>
    <row r="7" spans="1:16" x14ac:dyDescent="0.25">
      <c r="A7" s="5" t="s">
        <v>678</v>
      </c>
      <c r="B7" s="22" t="s">
        <v>15</v>
      </c>
      <c r="C7" s="22" t="s">
        <v>291</v>
      </c>
      <c r="D7" s="23" t="s">
        <v>679</v>
      </c>
      <c r="E7" s="24" t="s">
        <v>678</v>
      </c>
      <c r="F7" s="6">
        <v>44312</v>
      </c>
      <c r="G7" s="13">
        <v>44319</v>
      </c>
      <c r="H7" s="7">
        <v>-784</v>
      </c>
      <c r="I7" s="8">
        <v>44318</v>
      </c>
      <c r="J7" s="9">
        <v>791</v>
      </c>
      <c r="K7" s="10" t="s">
        <v>663</v>
      </c>
      <c r="L7" s="10" t="s">
        <v>2455</v>
      </c>
      <c r="M7" s="11">
        <v>1</v>
      </c>
      <c r="N7" s="10" t="s">
        <v>30</v>
      </c>
      <c r="O7" s="42">
        <v>0</v>
      </c>
      <c r="P7" s="10" t="s">
        <v>2485</v>
      </c>
    </row>
    <row r="8" spans="1:16" x14ac:dyDescent="0.25">
      <c r="A8" s="5" t="s">
        <v>708</v>
      </c>
      <c r="B8" s="22" t="s">
        <v>15</v>
      </c>
      <c r="C8" s="22" t="s">
        <v>2458</v>
      </c>
      <c r="D8" s="23" t="s">
        <v>709</v>
      </c>
      <c r="E8" s="24" t="s">
        <v>708</v>
      </c>
      <c r="F8" s="6">
        <v>44326</v>
      </c>
      <c r="G8" s="13">
        <v>44333</v>
      </c>
      <c r="H8" s="7">
        <v>-770</v>
      </c>
      <c r="I8" s="8">
        <v>44331</v>
      </c>
      <c r="J8" s="9">
        <v>777</v>
      </c>
      <c r="K8" s="10" t="s">
        <v>663</v>
      </c>
      <c r="L8" s="10" t="s">
        <v>2455</v>
      </c>
      <c r="M8" s="11">
        <v>1</v>
      </c>
      <c r="N8" s="10" t="s">
        <v>18</v>
      </c>
      <c r="O8" s="42">
        <v>0</v>
      </c>
      <c r="P8" s="10" t="s">
        <v>2485</v>
      </c>
    </row>
    <row r="9" spans="1:16" x14ac:dyDescent="0.25">
      <c r="A9" s="5" t="s">
        <v>780</v>
      </c>
      <c r="B9" s="22" t="s">
        <v>716</v>
      </c>
      <c r="C9" s="22" t="s">
        <v>2505</v>
      </c>
      <c r="D9" s="23" t="s">
        <v>781</v>
      </c>
      <c r="E9" s="24" t="s">
        <v>780</v>
      </c>
      <c r="F9" s="6">
        <v>44367</v>
      </c>
      <c r="G9" s="13">
        <v>44373</v>
      </c>
      <c r="H9" s="7">
        <v>-730</v>
      </c>
      <c r="I9" s="8">
        <v>44367</v>
      </c>
      <c r="J9" s="9">
        <v>736</v>
      </c>
      <c r="K9" s="10" t="s">
        <v>771</v>
      </c>
      <c r="L9" s="10" t="s">
        <v>2455</v>
      </c>
      <c r="M9" s="11">
        <v>1</v>
      </c>
      <c r="N9" s="10" t="s">
        <v>18</v>
      </c>
      <c r="O9" s="42">
        <v>0</v>
      </c>
      <c r="P9" s="10" t="s">
        <v>2485</v>
      </c>
    </row>
    <row r="10" spans="1:16" x14ac:dyDescent="0.25">
      <c r="A10" s="5" t="s">
        <v>805</v>
      </c>
      <c r="B10" s="22" t="s">
        <v>716</v>
      </c>
      <c r="C10" s="22" t="s">
        <v>787</v>
      </c>
      <c r="D10" s="23" t="s">
        <v>806</v>
      </c>
      <c r="E10" s="24" t="s">
        <v>805</v>
      </c>
      <c r="F10" s="6">
        <v>44367</v>
      </c>
      <c r="G10" s="13">
        <v>44373</v>
      </c>
      <c r="H10" s="7">
        <v>-730</v>
      </c>
      <c r="I10" s="8">
        <v>44376</v>
      </c>
      <c r="J10" s="9">
        <v>736</v>
      </c>
      <c r="K10" s="10" t="s">
        <v>771</v>
      </c>
      <c r="L10" s="10" t="s">
        <v>2455</v>
      </c>
      <c r="M10" s="11">
        <v>1</v>
      </c>
      <c r="N10" s="10" t="s">
        <v>30</v>
      </c>
      <c r="O10" s="42">
        <v>0</v>
      </c>
      <c r="P10" s="10" t="s">
        <v>2485</v>
      </c>
    </row>
    <row r="11" spans="1:16" x14ac:dyDescent="0.25">
      <c r="A11" s="5" t="s">
        <v>1107</v>
      </c>
      <c r="B11" s="22" t="s">
        <v>716</v>
      </c>
      <c r="C11" s="22" t="s">
        <v>2505</v>
      </c>
      <c r="D11" s="23" t="s">
        <v>1108</v>
      </c>
      <c r="E11" s="24" t="s">
        <v>1107</v>
      </c>
      <c r="F11" s="6">
        <v>44389</v>
      </c>
      <c r="G11" s="13">
        <v>44395</v>
      </c>
      <c r="H11" s="7">
        <v>-708</v>
      </c>
      <c r="I11" s="8">
        <v>44391</v>
      </c>
      <c r="J11" s="9">
        <v>714</v>
      </c>
      <c r="K11" s="10" t="s">
        <v>771</v>
      </c>
      <c r="L11" s="10" t="s">
        <v>2455</v>
      </c>
      <c r="M11" s="11">
        <v>1</v>
      </c>
      <c r="N11" s="10" t="s">
        <v>18</v>
      </c>
      <c r="O11" s="42">
        <v>0</v>
      </c>
      <c r="P11" s="10" t="s">
        <v>2485</v>
      </c>
    </row>
    <row r="12" spans="1:16" x14ac:dyDescent="0.25">
      <c r="A12" s="5" t="s">
        <v>1105</v>
      </c>
      <c r="B12" s="22" t="s">
        <v>716</v>
      </c>
      <c r="C12" s="22" t="s">
        <v>787</v>
      </c>
      <c r="D12" s="23" t="s">
        <v>1106</v>
      </c>
      <c r="E12" s="24" t="s">
        <v>1105</v>
      </c>
      <c r="F12" s="6">
        <v>44389</v>
      </c>
      <c r="G12" s="13">
        <v>44395</v>
      </c>
      <c r="H12" s="7">
        <v>-708</v>
      </c>
      <c r="I12" s="8">
        <v>44392</v>
      </c>
      <c r="J12" s="9">
        <v>714</v>
      </c>
      <c r="K12" s="10" t="s">
        <v>771</v>
      </c>
      <c r="L12" s="10" t="s">
        <v>2455</v>
      </c>
      <c r="M12" s="11">
        <v>1</v>
      </c>
      <c r="N12" s="10" t="s">
        <v>30</v>
      </c>
      <c r="O12" s="42">
        <v>0</v>
      </c>
      <c r="P12" s="10" t="s">
        <v>2485</v>
      </c>
    </row>
    <row r="13" spans="1:16" x14ac:dyDescent="0.25">
      <c r="A13" s="5" t="s">
        <v>1032</v>
      </c>
      <c r="B13" s="22" t="s">
        <v>716</v>
      </c>
      <c r="C13" s="22" t="s">
        <v>992</v>
      </c>
      <c r="D13" s="23" t="s">
        <v>1033</v>
      </c>
      <c r="E13" s="24" t="s">
        <v>1032</v>
      </c>
      <c r="F13" s="6">
        <v>44382</v>
      </c>
      <c r="G13" s="13">
        <v>44388</v>
      </c>
      <c r="H13" s="7">
        <v>-715</v>
      </c>
      <c r="I13" s="8">
        <v>44394</v>
      </c>
      <c r="J13" s="9">
        <v>721</v>
      </c>
      <c r="K13" s="10" t="s">
        <v>771</v>
      </c>
      <c r="L13" s="10" t="s">
        <v>2455</v>
      </c>
      <c r="M13" s="11">
        <v>1</v>
      </c>
      <c r="N13" s="10" t="s">
        <v>30</v>
      </c>
      <c r="O13" s="42">
        <v>0</v>
      </c>
      <c r="P13" s="10" t="s">
        <v>2485</v>
      </c>
    </row>
    <row r="14" spans="1:16" x14ac:dyDescent="0.25">
      <c r="A14" s="5" t="s">
        <v>1034</v>
      </c>
      <c r="B14" s="22" t="s">
        <v>716</v>
      </c>
      <c r="C14" s="22" t="s">
        <v>992</v>
      </c>
      <c r="D14" s="23" t="s">
        <v>1035</v>
      </c>
      <c r="E14" s="24" t="s">
        <v>1034</v>
      </c>
      <c r="F14" s="6">
        <v>44382</v>
      </c>
      <c r="G14" s="13">
        <v>44388</v>
      </c>
      <c r="H14" s="7">
        <v>-715</v>
      </c>
      <c r="I14" s="8">
        <v>44394</v>
      </c>
      <c r="J14" s="9">
        <v>721</v>
      </c>
      <c r="K14" s="10" t="s">
        <v>771</v>
      </c>
      <c r="L14" s="10" t="s">
        <v>2455</v>
      </c>
      <c r="M14" s="11">
        <v>1</v>
      </c>
      <c r="N14" s="10" t="s">
        <v>30</v>
      </c>
      <c r="O14" s="42">
        <v>0</v>
      </c>
      <c r="P14" s="10" t="s">
        <v>2485</v>
      </c>
    </row>
    <row r="15" spans="1:16" x14ac:dyDescent="0.25">
      <c r="A15" s="5" t="s">
        <v>1065</v>
      </c>
      <c r="B15" s="22" t="s">
        <v>716</v>
      </c>
      <c r="C15" s="22" t="s">
        <v>985</v>
      </c>
      <c r="D15" s="23" t="s">
        <v>1066</v>
      </c>
      <c r="E15" s="24" t="s">
        <v>1065</v>
      </c>
      <c r="F15" s="6">
        <v>44382</v>
      </c>
      <c r="G15" s="25">
        <v>44388</v>
      </c>
      <c r="H15" s="7">
        <v>-715</v>
      </c>
      <c r="I15" s="8">
        <v>44394</v>
      </c>
      <c r="J15" s="9">
        <v>721</v>
      </c>
      <c r="K15" s="12" t="s">
        <v>771</v>
      </c>
      <c r="L15" s="10" t="s">
        <v>2455</v>
      </c>
      <c r="M15" s="11">
        <v>1</v>
      </c>
      <c r="N15" s="10" t="s">
        <v>30</v>
      </c>
      <c r="O15" s="42">
        <v>0</v>
      </c>
      <c r="P15" s="10" t="s">
        <v>2485</v>
      </c>
    </row>
    <row r="16" spans="1:16" x14ac:dyDescent="0.25">
      <c r="A16" s="5" t="s">
        <v>1071</v>
      </c>
      <c r="B16" s="22" t="s">
        <v>716</v>
      </c>
      <c r="C16" s="22" t="s">
        <v>985</v>
      </c>
      <c r="D16" s="23" t="s">
        <v>1072</v>
      </c>
      <c r="E16" s="24" t="s">
        <v>1071</v>
      </c>
      <c r="F16" s="6">
        <v>44382</v>
      </c>
      <c r="G16" s="13">
        <v>44388</v>
      </c>
      <c r="H16" s="7">
        <v>-715</v>
      </c>
      <c r="I16" s="8">
        <v>44394</v>
      </c>
      <c r="J16" s="9">
        <v>721</v>
      </c>
      <c r="K16" s="12" t="s">
        <v>771</v>
      </c>
      <c r="L16" s="10" t="s">
        <v>2455</v>
      </c>
      <c r="M16" s="11">
        <v>1</v>
      </c>
      <c r="N16" s="10" t="s">
        <v>30</v>
      </c>
      <c r="O16" s="42">
        <v>0</v>
      </c>
      <c r="P16" s="10" t="s">
        <v>2485</v>
      </c>
    </row>
    <row r="17" spans="1:16" x14ac:dyDescent="0.25">
      <c r="A17" s="5" t="s">
        <v>1113</v>
      </c>
      <c r="B17" s="22" t="s">
        <v>716</v>
      </c>
      <c r="C17" s="22" t="s">
        <v>787</v>
      </c>
      <c r="D17" s="23" t="s">
        <v>1114</v>
      </c>
      <c r="E17" s="24" t="s">
        <v>1113</v>
      </c>
      <c r="F17" s="6">
        <v>44389</v>
      </c>
      <c r="G17" s="13">
        <v>44395</v>
      </c>
      <c r="H17" s="7">
        <v>-708</v>
      </c>
      <c r="I17" s="8">
        <v>44394</v>
      </c>
      <c r="J17" s="9">
        <v>714</v>
      </c>
      <c r="K17" s="12" t="s">
        <v>771</v>
      </c>
      <c r="L17" s="10" t="s">
        <v>2455</v>
      </c>
      <c r="M17" s="11">
        <v>1</v>
      </c>
      <c r="N17" s="10" t="s">
        <v>18</v>
      </c>
      <c r="O17" s="42">
        <v>0</v>
      </c>
      <c r="P17" s="10" t="s">
        <v>2485</v>
      </c>
    </row>
    <row r="18" spans="1:16" x14ac:dyDescent="0.25">
      <c r="A18" s="5" t="s">
        <v>1053</v>
      </c>
      <c r="B18" s="22" t="s">
        <v>716</v>
      </c>
      <c r="C18" s="22" t="s">
        <v>1043</v>
      </c>
      <c r="D18" s="23" t="s">
        <v>1054</v>
      </c>
      <c r="E18" s="24" t="s">
        <v>1053</v>
      </c>
      <c r="F18" s="6">
        <v>44382</v>
      </c>
      <c r="G18" s="13">
        <v>44388</v>
      </c>
      <c r="H18" s="7">
        <v>-715</v>
      </c>
      <c r="I18" s="8">
        <v>44395</v>
      </c>
      <c r="J18" s="9">
        <v>721</v>
      </c>
      <c r="K18" s="10" t="s">
        <v>771</v>
      </c>
      <c r="L18" s="10" t="s">
        <v>2455</v>
      </c>
      <c r="M18" s="11">
        <v>1</v>
      </c>
      <c r="N18" s="10" t="s">
        <v>30</v>
      </c>
      <c r="O18" s="42">
        <v>0</v>
      </c>
      <c r="P18" s="10" t="s">
        <v>2485</v>
      </c>
    </row>
    <row r="19" spans="1:16" x14ac:dyDescent="0.25">
      <c r="A19" s="5" t="s">
        <v>1340</v>
      </c>
      <c r="B19" s="22" t="s">
        <v>716</v>
      </c>
      <c r="C19" s="22" t="s">
        <v>2505</v>
      </c>
      <c r="D19" s="23" t="s">
        <v>1341</v>
      </c>
      <c r="E19" s="24" t="s">
        <v>1340</v>
      </c>
      <c r="F19" s="6">
        <v>44403</v>
      </c>
      <c r="G19" s="13">
        <v>44409</v>
      </c>
      <c r="H19" s="7">
        <v>-694</v>
      </c>
      <c r="I19" s="8">
        <v>44404</v>
      </c>
      <c r="J19" s="9">
        <v>700</v>
      </c>
      <c r="K19" s="10" t="s">
        <v>771</v>
      </c>
      <c r="L19" s="10" t="s">
        <v>2455</v>
      </c>
      <c r="M19" s="11">
        <v>1</v>
      </c>
      <c r="N19" s="10" t="s">
        <v>18</v>
      </c>
      <c r="O19" s="42">
        <v>0</v>
      </c>
      <c r="P19" s="10" t="s">
        <v>2485</v>
      </c>
    </row>
    <row r="20" spans="1:16" x14ac:dyDescent="0.25">
      <c r="A20" s="5" t="s">
        <v>1342</v>
      </c>
      <c r="B20" s="22" t="s">
        <v>716</v>
      </c>
      <c r="C20" s="22" t="s">
        <v>2505</v>
      </c>
      <c r="D20" s="23" t="s">
        <v>1343</v>
      </c>
      <c r="E20" s="24" t="s">
        <v>1342</v>
      </c>
      <c r="F20" s="6">
        <v>44403</v>
      </c>
      <c r="G20" s="13">
        <v>44409</v>
      </c>
      <c r="H20" s="7">
        <v>-694</v>
      </c>
      <c r="I20" s="8">
        <v>44404</v>
      </c>
      <c r="J20" s="9">
        <v>700</v>
      </c>
      <c r="K20" s="10" t="s">
        <v>771</v>
      </c>
      <c r="L20" s="10" t="s">
        <v>2455</v>
      </c>
      <c r="M20" s="11">
        <v>1</v>
      </c>
      <c r="N20" s="10" t="s">
        <v>18</v>
      </c>
      <c r="O20" s="42">
        <v>0</v>
      </c>
      <c r="P20" s="10" t="s">
        <v>2485</v>
      </c>
    </row>
    <row r="21" spans="1:16" x14ac:dyDescent="0.25">
      <c r="A21" s="5" t="s">
        <v>1344</v>
      </c>
      <c r="B21" s="22" t="s">
        <v>716</v>
      </c>
      <c r="C21" s="22" t="s">
        <v>2505</v>
      </c>
      <c r="D21" s="23" t="s">
        <v>1345</v>
      </c>
      <c r="E21" s="24" t="s">
        <v>1344</v>
      </c>
      <c r="F21" s="6">
        <v>44403</v>
      </c>
      <c r="G21" s="13">
        <v>44409</v>
      </c>
      <c r="H21" s="7">
        <v>-694</v>
      </c>
      <c r="I21" s="8">
        <v>44406</v>
      </c>
      <c r="J21" s="9">
        <v>700</v>
      </c>
      <c r="K21" s="10" t="s">
        <v>771</v>
      </c>
      <c r="L21" s="10" t="s">
        <v>2455</v>
      </c>
      <c r="M21" s="11">
        <v>1</v>
      </c>
      <c r="N21" s="10" t="s">
        <v>18</v>
      </c>
      <c r="O21" s="42">
        <v>0</v>
      </c>
      <c r="P21" s="10" t="s">
        <v>2485</v>
      </c>
    </row>
    <row r="22" spans="1:16" x14ac:dyDescent="0.25">
      <c r="A22" s="5" t="s">
        <v>1452</v>
      </c>
      <c r="B22" s="22" t="s">
        <v>716</v>
      </c>
      <c r="C22" s="22" t="s">
        <v>985</v>
      </c>
      <c r="D22" s="23" t="s">
        <v>1453</v>
      </c>
      <c r="E22" s="24" t="s">
        <v>1452</v>
      </c>
      <c r="F22" s="6">
        <v>44410</v>
      </c>
      <c r="G22" s="13">
        <v>44437</v>
      </c>
      <c r="H22" s="7">
        <v>-666</v>
      </c>
      <c r="I22" s="8">
        <v>44411</v>
      </c>
      <c r="J22" s="9">
        <v>693</v>
      </c>
      <c r="K22" s="10" t="s">
        <v>712</v>
      </c>
      <c r="L22" s="10" t="s">
        <v>2455</v>
      </c>
      <c r="M22" s="11">
        <v>1</v>
      </c>
      <c r="N22" s="10" t="s">
        <v>18</v>
      </c>
      <c r="O22" s="42">
        <v>0</v>
      </c>
      <c r="P22" s="10" t="s">
        <v>2485</v>
      </c>
    </row>
    <row r="23" spans="1:16" x14ac:dyDescent="0.25">
      <c r="A23" s="5" t="s">
        <v>1410</v>
      </c>
      <c r="B23" s="22" t="s">
        <v>716</v>
      </c>
      <c r="C23" s="22" t="s">
        <v>2471</v>
      </c>
      <c r="D23" s="23" t="s">
        <v>1411</v>
      </c>
      <c r="E23" s="24" t="s">
        <v>1410</v>
      </c>
      <c r="F23" s="6">
        <v>44410</v>
      </c>
      <c r="G23" s="13">
        <v>44416</v>
      </c>
      <c r="H23" s="7">
        <v>-687</v>
      </c>
      <c r="I23" s="8">
        <v>44413</v>
      </c>
      <c r="J23" s="9">
        <v>693</v>
      </c>
      <c r="K23" s="10" t="s">
        <v>1412</v>
      </c>
      <c r="L23" s="10" t="s">
        <v>2455</v>
      </c>
      <c r="M23" s="11">
        <v>1</v>
      </c>
      <c r="N23" s="10" t="s">
        <v>18</v>
      </c>
      <c r="O23" s="42">
        <v>0</v>
      </c>
      <c r="P23" s="10" t="s">
        <v>2485</v>
      </c>
    </row>
    <row r="24" spans="1:16" x14ac:dyDescent="0.25">
      <c r="A24" s="5" t="s">
        <v>1408</v>
      </c>
      <c r="B24" s="22" t="s">
        <v>716</v>
      </c>
      <c r="C24" s="22" t="s">
        <v>2505</v>
      </c>
      <c r="D24" s="23" t="s">
        <v>1409</v>
      </c>
      <c r="E24" s="24" t="s">
        <v>1408</v>
      </c>
      <c r="F24" s="6">
        <v>44410</v>
      </c>
      <c r="G24" s="13">
        <v>44416</v>
      </c>
      <c r="H24" s="7">
        <v>-687</v>
      </c>
      <c r="I24" s="8">
        <v>44415</v>
      </c>
      <c r="J24" s="9">
        <v>693</v>
      </c>
      <c r="K24" s="10" t="s">
        <v>771</v>
      </c>
      <c r="L24" s="10" t="s">
        <v>2455</v>
      </c>
      <c r="M24" s="11">
        <v>1</v>
      </c>
      <c r="N24" s="10" t="s">
        <v>30</v>
      </c>
      <c r="O24" s="42">
        <v>0</v>
      </c>
      <c r="P24" s="10" t="s">
        <v>2485</v>
      </c>
    </row>
    <row r="25" spans="1:16" x14ac:dyDescent="0.25">
      <c r="A25" s="5" t="s">
        <v>1570</v>
      </c>
      <c r="B25" s="22" t="s">
        <v>716</v>
      </c>
      <c r="C25" s="22" t="s">
        <v>787</v>
      </c>
      <c r="D25" s="23" t="s">
        <v>1571</v>
      </c>
      <c r="E25" s="24" t="s">
        <v>1570</v>
      </c>
      <c r="F25" s="6">
        <v>44424</v>
      </c>
      <c r="G25" s="13">
        <v>44430</v>
      </c>
      <c r="H25" s="7">
        <v>-673</v>
      </c>
      <c r="I25" s="8">
        <v>44426</v>
      </c>
      <c r="J25" s="9">
        <v>679</v>
      </c>
      <c r="K25" s="10" t="s">
        <v>771</v>
      </c>
      <c r="L25" s="10" t="s">
        <v>2455</v>
      </c>
      <c r="M25" s="11">
        <v>1</v>
      </c>
      <c r="N25" s="10" t="s">
        <v>18</v>
      </c>
      <c r="O25" s="42">
        <v>0</v>
      </c>
      <c r="P25" s="10" t="s">
        <v>2485</v>
      </c>
    </row>
    <row r="26" spans="1:16" x14ac:dyDescent="0.25">
      <c r="A26" s="5" t="s">
        <v>1562</v>
      </c>
      <c r="B26" s="22" t="s">
        <v>716</v>
      </c>
      <c r="C26" s="22" t="s">
        <v>985</v>
      </c>
      <c r="D26" s="23" t="s">
        <v>1563</v>
      </c>
      <c r="E26" s="24" t="s">
        <v>1562</v>
      </c>
      <c r="F26" s="6">
        <v>44424</v>
      </c>
      <c r="G26" s="13">
        <v>44430</v>
      </c>
      <c r="H26" s="7">
        <v>-673</v>
      </c>
      <c r="I26" s="8">
        <v>44427</v>
      </c>
      <c r="J26" s="9">
        <v>679</v>
      </c>
      <c r="K26" s="10" t="s">
        <v>712</v>
      </c>
      <c r="L26" s="10" t="s">
        <v>2455</v>
      </c>
      <c r="M26" s="11">
        <v>1</v>
      </c>
      <c r="N26" s="10" t="s">
        <v>18</v>
      </c>
      <c r="O26" s="42">
        <v>0</v>
      </c>
      <c r="P26" s="10" t="s">
        <v>2485</v>
      </c>
    </row>
    <row r="27" spans="1:16" x14ac:dyDescent="0.25">
      <c r="A27" s="5" t="s">
        <v>1564</v>
      </c>
      <c r="B27" s="22" t="s">
        <v>716</v>
      </c>
      <c r="C27" s="22" t="s">
        <v>787</v>
      </c>
      <c r="D27" s="23" t="s">
        <v>1565</v>
      </c>
      <c r="E27" s="24" t="s">
        <v>1564</v>
      </c>
      <c r="F27" s="6">
        <v>44424</v>
      </c>
      <c r="G27" s="13">
        <v>44430</v>
      </c>
      <c r="H27" s="7">
        <v>-673</v>
      </c>
      <c r="I27" s="8">
        <v>44429</v>
      </c>
      <c r="J27" s="9">
        <v>679</v>
      </c>
      <c r="K27" s="10" t="s">
        <v>712</v>
      </c>
      <c r="L27" s="10" t="s">
        <v>2455</v>
      </c>
      <c r="M27" s="11">
        <v>1</v>
      </c>
      <c r="N27" s="10" t="s">
        <v>18</v>
      </c>
      <c r="O27" s="42">
        <v>0</v>
      </c>
      <c r="P27" s="10" t="s">
        <v>2485</v>
      </c>
    </row>
    <row r="28" spans="1:16" x14ac:dyDescent="0.25">
      <c r="A28" s="5" t="s">
        <v>1599</v>
      </c>
      <c r="B28" s="22" t="s">
        <v>716</v>
      </c>
      <c r="C28" s="22" t="s">
        <v>932</v>
      </c>
      <c r="D28" s="23" t="s">
        <v>1600</v>
      </c>
      <c r="E28" s="24" t="s">
        <v>1599</v>
      </c>
      <c r="F28" s="6">
        <v>44424</v>
      </c>
      <c r="G28" s="13">
        <v>44441</v>
      </c>
      <c r="H28" s="7">
        <v>-662</v>
      </c>
      <c r="I28" s="8">
        <v>44429</v>
      </c>
      <c r="J28" s="9">
        <v>679</v>
      </c>
      <c r="K28" s="10" t="s">
        <v>771</v>
      </c>
      <c r="L28" s="10" t="s">
        <v>2455</v>
      </c>
      <c r="M28" s="11">
        <v>1</v>
      </c>
      <c r="N28" s="10" t="s">
        <v>18</v>
      </c>
      <c r="O28" s="42">
        <v>0</v>
      </c>
      <c r="P28" s="10" t="s">
        <v>2485</v>
      </c>
    </row>
    <row r="29" spans="1:16" x14ac:dyDescent="0.25">
      <c r="A29" s="5" t="s">
        <v>1665</v>
      </c>
      <c r="B29" s="22" t="s">
        <v>716</v>
      </c>
      <c r="C29" s="22" t="s">
        <v>1450</v>
      </c>
      <c r="D29" s="23" t="s">
        <v>1666</v>
      </c>
      <c r="E29" s="24" t="s">
        <v>1665</v>
      </c>
      <c r="F29" s="6">
        <v>44431</v>
      </c>
      <c r="G29" s="13">
        <v>44441</v>
      </c>
      <c r="H29" s="7">
        <v>-662</v>
      </c>
      <c r="I29" s="8">
        <v>44432</v>
      </c>
      <c r="J29" s="9">
        <v>672</v>
      </c>
      <c r="K29" s="10" t="s">
        <v>771</v>
      </c>
      <c r="L29" s="10" t="s">
        <v>2455</v>
      </c>
      <c r="M29" s="11">
        <v>1</v>
      </c>
      <c r="N29" s="10" t="s">
        <v>18</v>
      </c>
      <c r="O29" s="42">
        <v>0</v>
      </c>
      <c r="P29" s="10" t="s">
        <v>2485</v>
      </c>
    </row>
    <row r="30" spans="1:16" x14ac:dyDescent="0.25">
      <c r="A30" s="5" t="s">
        <v>1685</v>
      </c>
      <c r="B30" s="22" t="s">
        <v>716</v>
      </c>
      <c r="C30" s="22" t="s">
        <v>932</v>
      </c>
      <c r="D30" s="23" t="s">
        <v>1686</v>
      </c>
      <c r="E30" s="24" t="s">
        <v>1685</v>
      </c>
      <c r="F30" s="6">
        <v>44431</v>
      </c>
      <c r="G30" s="13">
        <v>44434</v>
      </c>
      <c r="H30" s="7">
        <v>-669</v>
      </c>
      <c r="I30" s="8">
        <v>44433</v>
      </c>
      <c r="J30" s="9">
        <v>672</v>
      </c>
      <c r="K30" s="12" t="s">
        <v>712</v>
      </c>
      <c r="L30" s="10" t="s">
        <v>2455</v>
      </c>
      <c r="M30" s="11">
        <v>1</v>
      </c>
      <c r="N30" s="10" t="s">
        <v>18</v>
      </c>
      <c r="O30" s="42">
        <v>0</v>
      </c>
      <c r="P30" s="10" t="s">
        <v>2485</v>
      </c>
    </row>
    <row r="31" spans="1:16" x14ac:dyDescent="0.25">
      <c r="A31" s="5" t="s">
        <v>1661</v>
      </c>
      <c r="B31" s="22" t="s">
        <v>716</v>
      </c>
      <c r="C31" s="22" t="s">
        <v>932</v>
      </c>
      <c r="D31" s="23" t="s">
        <v>1662</v>
      </c>
      <c r="E31" s="24" t="s">
        <v>1661</v>
      </c>
      <c r="F31" s="6">
        <v>44431</v>
      </c>
      <c r="G31" s="13">
        <v>44441</v>
      </c>
      <c r="H31" s="7">
        <v>-662</v>
      </c>
      <c r="I31" s="8">
        <v>44434</v>
      </c>
      <c r="J31" s="9">
        <v>672</v>
      </c>
      <c r="K31" s="12" t="s">
        <v>771</v>
      </c>
      <c r="L31" s="10" t="s">
        <v>2455</v>
      </c>
      <c r="M31" s="11">
        <v>1</v>
      </c>
      <c r="N31" s="10" t="s">
        <v>18</v>
      </c>
      <c r="O31" s="42">
        <v>0</v>
      </c>
      <c r="P31" s="10" t="s">
        <v>2485</v>
      </c>
    </row>
    <row r="32" spans="1:16" x14ac:dyDescent="0.25">
      <c r="A32" s="5" t="s">
        <v>1671</v>
      </c>
      <c r="B32" s="22" t="s">
        <v>716</v>
      </c>
      <c r="C32" s="22" t="s">
        <v>787</v>
      </c>
      <c r="D32" s="23" t="s">
        <v>1672</v>
      </c>
      <c r="E32" s="24" t="s">
        <v>1671</v>
      </c>
      <c r="F32" s="6">
        <v>44431</v>
      </c>
      <c r="G32" s="13">
        <v>44434</v>
      </c>
      <c r="H32" s="7">
        <v>-669</v>
      </c>
      <c r="I32" s="8">
        <v>44435</v>
      </c>
      <c r="J32" s="9">
        <v>672</v>
      </c>
      <c r="K32" s="12" t="s">
        <v>1412</v>
      </c>
      <c r="L32" s="10" t="s">
        <v>2455</v>
      </c>
      <c r="M32" s="11">
        <v>1</v>
      </c>
      <c r="N32" s="10" t="s">
        <v>18</v>
      </c>
      <c r="O32" s="42">
        <v>0</v>
      </c>
      <c r="P32" s="10" t="s">
        <v>2485</v>
      </c>
    </row>
    <row r="33" spans="1:16" x14ac:dyDescent="0.25">
      <c r="A33" s="5" t="s">
        <v>1669</v>
      </c>
      <c r="B33" s="22" t="s">
        <v>716</v>
      </c>
      <c r="C33" s="22" t="s">
        <v>985</v>
      </c>
      <c r="D33" s="23" t="s">
        <v>1670</v>
      </c>
      <c r="E33" s="24" t="s">
        <v>1669</v>
      </c>
      <c r="F33" s="6">
        <v>44431</v>
      </c>
      <c r="G33" s="13">
        <v>44434</v>
      </c>
      <c r="H33" s="7">
        <v>-669</v>
      </c>
      <c r="I33" s="8">
        <v>44437</v>
      </c>
      <c r="J33" s="9">
        <v>672</v>
      </c>
      <c r="K33" s="12" t="s">
        <v>771</v>
      </c>
      <c r="L33" s="10" t="s">
        <v>2455</v>
      </c>
      <c r="M33" s="11">
        <v>1</v>
      </c>
      <c r="N33" s="10" t="s">
        <v>18</v>
      </c>
      <c r="O33" s="42">
        <v>0</v>
      </c>
      <c r="P33" s="10" t="s">
        <v>2485</v>
      </c>
    </row>
    <row r="34" spans="1:16" x14ac:dyDescent="0.25">
      <c r="A34" s="5" t="s">
        <v>1663</v>
      </c>
      <c r="B34" s="22" t="s">
        <v>716</v>
      </c>
      <c r="C34" s="22" t="s">
        <v>787</v>
      </c>
      <c r="D34" s="23" t="s">
        <v>1664</v>
      </c>
      <c r="E34" s="24" t="s">
        <v>1663</v>
      </c>
      <c r="F34" s="6">
        <v>44431</v>
      </c>
      <c r="G34" s="13">
        <v>44441</v>
      </c>
      <c r="H34" s="7">
        <v>-662</v>
      </c>
      <c r="I34" s="8">
        <v>44437</v>
      </c>
      <c r="J34" s="9">
        <v>672</v>
      </c>
      <c r="K34" s="12" t="s">
        <v>771</v>
      </c>
      <c r="L34" s="10" t="s">
        <v>2455</v>
      </c>
      <c r="M34" s="11">
        <v>1</v>
      </c>
      <c r="N34" s="10" t="s">
        <v>18</v>
      </c>
      <c r="O34" s="42">
        <v>0</v>
      </c>
      <c r="P34" s="10" t="s">
        <v>2485</v>
      </c>
    </row>
    <row r="35" spans="1:16" x14ac:dyDescent="0.25">
      <c r="A35" s="5" t="s">
        <v>1667</v>
      </c>
      <c r="B35" s="22" t="s">
        <v>716</v>
      </c>
      <c r="C35" s="22" t="s">
        <v>2473</v>
      </c>
      <c r="D35" s="23" t="s">
        <v>1668</v>
      </c>
      <c r="E35" s="24" t="s">
        <v>1667</v>
      </c>
      <c r="F35" s="6">
        <v>44431</v>
      </c>
      <c r="G35" s="13">
        <v>44441</v>
      </c>
      <c r="H35" s="7">
        <v>-662</v>
      </c>
      <c r="I35" s="8">
        <v>44437</v>
      </c>
      <c r="J35" s="9">
        <v>672</v>
      </c>
      <c r="K35" s="12" t="s">
        <v>771</v>
      </c>
      <c r="L35" s="10" t="s">
        <v>2455</v>
      </c>
      <c r="M35" s="11">
        <v>1</v>
      </c>
      <c r="N35" s="10" t="s">
        <v>18</v>
      </c>
      <c r="O35" s="42">
        <v>0</v>
      </c>
      <c r="P35" s="10" t="s">
        <v>2485</v>
      </c>
    </row>
    <row r="36" spans="1:16" x14ac:dyDescent="0.25">
      <c r="A36" s="5" t="s">
        <v>1754</v>
      </c>
      <c r="B36" s="22" t="s">
        <v>716</v>
      </c>
      <c r="C36" s="22" t="s">
        <v>2472</v>
      </c>
      <c r="D36" s="23" t="s">
        <v>1755</v>
      </c>
      <c r="E36" s="24" t="s">
        <v>1754</v>
      </c>
      <c r="F36" s="6">
        <v>44438</v>
      </c>
      <c r="G36" s="13">
        <v>44451</v>
      </c>
      <c r="H36" s="7">
        <v>-652</v>
      </c>
      <c r="I36" s="8">
        <v>44440</v>
      </c>
      <c r="J36" s="9">
        <v>665</v>
      </c>
      <c r="K36" s="12" t="s">
        <v>712</v>
      </c>
      <c r="L36" s="10" t="s">
        <v>2455</v>
      </c>
      <c r="M36" s="11">
        <v>1</v>
      </c>
      <c r="N36" s="10" t="s">
        <v>18</v>
      </c>
      <c r="O36" s="42">
        <v>0</v>
      </c>
      <c r="P36" s="10" t="s">
        <v>2485</v>
      </c>
    </row>
    <row r="37" spans="1:16" x14ac:dyDescent="0.25">
      <c r="A37" s="5" t="s">
        <v>1818</v>
      </c>
      <c r="B37" s="22" t="s">
        <v>716</v>
      </c>
      <c r="C37" s="22" t="s">
        <v>2472</v>
      </c>
      <c r="D37" s="23" t="s">
        <v>1819</v>
      </c>
      <c r="E37" s="24" t="s">
        <v>1818</v>
      </c>
      <c r="F37" s="6">
        <v>44442</v>
      </c>
      <c r="G37" s="13">
        <v>44444</v>
      </c>
      <c r="H37" s="7">
        <v>-659</v>
      </c>
      <c r="I37" s="8">
        <v>44443</v>
      </c>
      <c r="J37" s="9">
        <v>661</v>
      </c>
      <c r="K37" s="12" t="s">
        <v>771</v>
      </c>
      <c r="L37" s="10" t="s">
        <v>2455</v>
      </c>
      <c r="M37" s="11">
        <v>1</v>
      </c>
      <c r="N37" s="10" t="s">
        <v>18</v>
      </c>
      <c r="O37" s="42">
        <v>0</v>
      </c>
      <c r="P37" s="10" t="s">
        <v>2485</v>
      </c>
    </row>
    <row r="38" spans="1:16" x14ac:dyDescent="0.25">
      <c r="A38" s="5" t="s">
        <v>1679</v>
      </c>
      <c r="B38" s="22" t="s">
        <v>716</v>
      </c>
      <c r="C38" s="22" t="s">
        <v>787</v>
      </c>
      <c r="D38" s="23" t="s">
        <v>1680</v>
      </c>
      <c r="E38" s="24" t="s">
        <v>1679</v>
      </c>
      <c r="F38" s="6">
        <v>44431</v>
      </c>
      <c r="G38" s="13">
        <v>44472</v>
      </c>
      <c r="H38" s="7">
        <v>-631</v>
      </c>
      <c r="I38" s="8">
        <v>44443</v>
      </c>
      <c r="J38" s="9">
        <v>672</v>
      </c>
      <c r="K38" s="12" t="s">
        <v>771</v>
      </c>
      <c r="L38" s="10" t="s">
        <v>2455</v>
      </c>
      <c r="M38" s="11">
        <v>1</v>
      </c>
      <c r="N38" s="10" t="s">
        <v>30</v>
      </c>
      <c r="O38" s="42">
        <v>0</v>
      </c>
      <c r="P38" s="10" t="s">
        <v>2485</v>
      </c>
    </row>
    <row r="39" spans="1:16" x14ac:dyDescent="0.25">
      <c r="A39" s="5" t="s">
        <v>1834</v>
      </c>
      <c r="B39" s="22" t="s">
        <v>716</v>
      </c>
      <c r="C39" s="22" t="s">
        <v>787</v>
      </c>
      <c r="D39" s="23" t="s">
        <v>1835</v>
      </c>
      <c r="E39" s="24" t="s">
        <v>1834</v>
      </c>
      <c r="F39" s="6">
        <v>44443</v>
      </c>
      <c r="G39" s="13">
        <v>44450</v>
      </c>
      <c r="H39" s="7">
        <v>-653</v>
      </c>
      <c r="I39" s="8">
        <v>44444</v>
      </c>
      <c r="J39" s="9">
        <v>660</v>
      </c>
      <c r="K39" s="12" t="s">
        <v>663</v>
      </c>
      <c r="L39" s="10" t="s">
        <v>2455</v>
      </c>
      <c r="M39" s="11">
        <v>2</v>
      </c>
      <c r="N39" s="10" t="s">
        <v>18</v>
      </c>
      <c r="O39" s="42">
        <v>0</v>
      </c>
      <c r="P39" s="10" t="s">
        <v>2485</v>
      </c>
    </row>
    <row r="40" spans="1:16" x14ac:dyDescent="0.25">
      <c r="A40" s="5" t="s">
        <v>1940</v>
      </c>
      <c r="B40" s="22" t="s">
        <v>716</v>
      </c>
      <c r="C40" s="22" t="s">
        <v>787</v>
      </c>
      <c r="D40" s="23" t="s">
        <v>1941</v>
      </c>
      <c r="E40" s="24" t="s">
        <v>1940</v>
      </c>
      <c r="F40" s="6">
        <v>44449</v>
      </c>
      <c r="G40" s="13">
        <v>44455</v>
      </c>
      <c r="H40" s="7">
        <v>-648</v>
      </c>
      <c r="I40" s="8">
        <v>44450</v>
      </c>
      <c r="J40" s="9">
        <v>654</v>
      </c>
      <c r="K40" s="12" t="s">
        <v>1412</v>
      </c>
      <c r="L40" s="10" t="s">
        <v>2455</v>
      </c>
      <c r="M40" s="11">
        <v>1</v>
      </c>
      <c r="N40" s="10" t="s">
        <v>30</v>
      </c>
      <c r="O40" s="42">
        <v>0</v>
      </c>
      <c r="P40" s="10" t="s">
        <v>2485</v>
      </c>
    </row>
    <row r="41" spans="1:16" x14ac:dyDescent="0.25">
      <c r="A41" s="5" t="s">
        <v>1934</v>
      </c>
      <c r="B41" s="22" t="s">
        <v>716</v>
      </c>
      <c r="C41" s="22" t="s">
        <v>787</v>
      </c>
      <c r="D41" s="23" t="s">
        <v>1935</v>
      </c>
      <c r="E41" s="24" t="s">
        <v>1934</v>
      </c>
      <c r="F41" s="6">
        <v>44449</v>
      </c>
      <c r="G41" s="13">
        <v>44456</v>
      </c>
      <c r="H41" s="7">
        <v>-647</v>
      </c>
      <c r="I41" s="8">
        <v>44450</v>
      </c>
      <c r="J41" s="9">
        <v>654</v>
      </c>
      <c r="K41" s="12" t="s">
        <v>663</v>
      </c>
      <c r="L41" s="10" t="s">
        <v>2455</v>
      </c>
      <c r="M41" s="11">
        <v>2</v>
      </c>
      <c r="N41" s="10" t="s">
        <v>18</v>
      </c>
      <c r="O41" s="42">
        <v>0</v>
      </c>
      <c r="P41" s="10" t="s">
        <v>2485</v>
      </c>
    </row>
    <row r="42" spans="1:16" x14ac:dyDescent="0.25">
      <c r="A42" s="5" t="s">
        <v>1976</v>
      </c>
      <c r="B42" s="22" t="s">
        <v>716</v>
      </c>
      <c r="C42" s="22" t="s">
        <v>2472</v>
      </c>
      <c r="D42" s="23" t="s">
        <v>1977</v>
      </c>
      <c r="E42" s="24" t="s">
        <v>1976</v>
      </c>
      <c r="F42" s="6">
        <v>44452</v>
      </c>
      <c r="G42" s="13">
        <v>44455</v>
      </c>
      <c r="H42" s="7">
        <v>-648</v>
      </c>
      <c r="I42" s="8">
        <v>44454</v>
      </c>
      <c r="J42" s="9">
        <v>651</v>
      </c>
      <c r="K42" s="12" t="s">
        <v>771</v>
      </c>
      <c r="L42" s="10" t="s">
        <v>2455</v>
      </c>
      <c r="M42" s="11">
        <v>1</v>
      </c>
      <c r="N42" s="10" t="s">
        <v>30</v>
      </c>
      <c r="O42" s="42">
        <v>0</v>
      </c>
      <c r="P42" s="10" t="s">
        <v>2485</v>
      </c>
    </row>
    <row r="43" spans="1:16" x14ac:dyDescent="0.25">
      <c r="A43" s="5" t="s">
        <v>2006</v>
      </c>
      <c r="B43" s="22" t="s">
        <v>716</v>
      </c>
      <c r="C43" s="22" t="s">
        <v>752</v>
      </c>
      <c r="D43" s="23" t="s">
        <v>2007</v>
      </c>
      <c r="E43" s="24" t="s">
        <v>2006</v>
      </c>
      <c r="F43" s="6">
        <v>44452</v>
      </c>
      <c r="G43" s="13">
        <v>44455</v>
      </c>
      <c r="H43" s="7">
        <v>-648</v>
      </c>
      <c r="I43" s="8">
        <v>44455</v>
      </c>
      <c r="J43" s="9">
        <v>651</v>
      </c>
      <c r="K43" s="12" t="s">
        <v>771</v>
      </c>
      <c r="L43" s="10" t="s">
        <v>2455</v>
      </c>
      <c r="M43" s="11">
        <v>1</v>
      </c>
      <c r="N43" s="10" t="s">
        <v>30</v>
      </c>
      <c r="O43" s="42">
        <v>0</v>
      </c>
      <c r="P43" s="10" t="s">
        <v>2485</v>
      </c>
    </row>
    <row r="44" spans="1:16" x14ac:dyDescent="0.25">
      <c r="A44" s="5" t="s">
        <v>2060</v>
      </c>
      <c r="B44" s="22" t="s">
        <v>716</v>
      </c>
      <c r="C44" s="22" t="s">
        <v>2061</v>
      </c>
      <c r="D44" s="23" t="s">
        <v>2062</v>
      </c>
      <c r="E44" s="24" t="s">
        <v>2060</v>
      </c>
      <c r="F44" s="6">
        <v>44456</v>
      </c>
      <c r="G44" s="13">
        <v>44458</v>
      </c>
      <c r="H44" s="7">
        <v>-645</v>
      </c>
      <c r="I44" s="8">
        <v>44457</v>
      </c>
      <c r="J44" s="9">
        <v>647</v>
      </c>
      <c r="K44" s="12" t="s">
        <v>771</v>
      </c>
      <c r="L44" s="10" t="s">
        <v>2455</v>
      </c>
      <c r="M44" s="11">
        <v>1</v>
      </c>
      <c r="N44" s="10" t="s">
        <v>18</v>
      </c>
      <c r="O44" s="42">
        <v>0</v>
      </c>
      <c r="P44" s="10" t="s">
        <v>2485</v>
      </c>
    </row>
    <row r="45" spans="1:16" x14ac:dyDescent="0.25">
      <c r="A45" s="5" t="s">
        <v>2063</v>
      </c>
      <c r="B45" s="22" t="s">
        <v>716</v>
      </c>
      <c r="C45" s="22" t="s">
        <v>2061</v>
      </c>
      <c r="D45" s="23" t="s">
        <v>2064</v>
      </c>
      <c r="E45" s="24" t="s">
        <v>2063</v>
      </c>
      <c r="F45" s="6">
        <v>44456</v>
      </c>
      <c r="G45" s="13">
        <v>44458</v>
      </c>
      <c r="H45" s="7">
        <v>-645</v>
      </c>
      <c r="I45" s="8">
        <v>44457</v>
      </c>
      <c r="J45" s="9">
        <v>647</v>
      </c>
      <c r="K45" s="12" t="s">
        <v>771</v>
      </c>
      <c r="L45" s="10" t="s">
        <v>2455</v>
      </c>
      <c r="M45" s="11">
        <v>1</v>
      </c>
      <c r="N45" s="10" t="s">
        <v>18</v>
      </c>
      <c r="O45" s="42">
        <v>0</v>
      </c>
      <c r="P45" s="10" t="s">
        <v>2485</v>
      </c>
    </row>
    <row r="46" spans="1:16" x14ac:dyDescent="0.25">
      <c r="A46" s="5" t="s">
        <v>2038</v>
      </c>
      <c r="B46" s="22" t="s">
        <v>716</v>
      </c>
      <c r="C46" s="22" t="s">
        <v>752</v>
      </c>
      <c r="D46" s="23" t="s">
        <v>2039</v>
      </c>
      <c r="E46" s="24" t="s">
        <v>2038</v>
      </c>
      <c r="F46" s="6">
        <v>44454</v>
      </c>
      <c r="G46" s="13">
        <v>44472</v>
      </c>
      <c r="H46" s="7">
        <v>-631</v>
      </c>
      <c r="I46" s="8">
        <v>44457</v>
      </c>
      <c r="J46" s="9">
        <v>649</v>
      </c>
      <c r="K46" s="12" t="s">
        <v>771</v>
      </c>
      <c r="L46" s="10" t="s">
        <v>2455</v>
      </c>
      <c r="M46" s="11">
        <v>1</v>
      </c>
      <c r="N46" s="10" t="s">
        <v>18</v>
      </c>
      <c r="O46" s="42">
        <v>0</v>
      </c>
      <c r="P46" s="10" t="s">
        <v>2485</v>
      </c>
    </row>
    <row r="47" spans="1:16" x14ac:dyDescent="0.25">
      <c r="A47" s="5" t="s">
        <v>2235</v>
      </c>
      <c r="B47" s="22" t="s">
        <v>716</v>
      </c>
      <c r="C47" s="22" t="s">
        <v>735</v>
      </c>
      <c r="D47" s="23" t="s">
        <v>2236</v>
      </c>
      <c r="E47" s="24" t="s">
        <v>2235</v>
      </c>
      <c r="F47" s="6">
        <v>44463</v>
      </c>
      <c r="G47" s="13">
        <v>44479</v>
      </c>
      <c r="H47" s="7">
        <v>-624</v>
      </c>
      <c r="I47" s="8">
        <v>44465</v>
      </c>
      <c r="J47" s="9">
        <v>640</v>
      </c>
      <c r="K47" s="12" t="s">
        <v>771</v>
      </c>
      <c r="L47" s="10" t="s">
        <v>2455</v>
      </c>
      <c r="M47" s="11">
        <v>1</v>
      </c>
      <c r="N47" s="10" t="s">
        <v>18</v>
      </c>
      <c r="O47" s="42">
        <v>0</v>
      </c>
      <c r="P47" s="10" t="s">
        <v>2485</v>
      </c>
    </row>
    <row r="48" spans="1:16" x14ac:dyDescent="0.25">
      <c r="A48" s="5" t="s">
        <v>2083</v>
      </c>
      <c r="B48" s="22" t="s">
        <v>716</v>
      </c>
      <c r="C48" s="22" t="s">
        <v>2061</v>
      </c>
      <c r="D48" s="23" t="s">
        <v>2084</v>
      </c>
      <c r="E48" s="24" t="s">
        <v>2083</v>
      </c>
      <c r="F48" s="6">
        <v>44459</v>
      </c>
      <c r="G48" s="13">
        <v>44479</v>
      </c>
      <c r="H48" s="7">
        <v>-624</v>
      </c>
      <c r="I48" s="8">
        <v>44467</v>
      </c>
      <c r="J48" s="9">
        <v>644</v>
      </c>
      <c r="K48" s="12" t="s">
        <v>712</v>
      </c>
      <c r="L48" s="10" t="s">
        <v>2455</v>
      </c>
      <c r="M48" s="11">
        <v>1</v>
      </c>
      <c r="N48" s="10" t="s">
        <v>18</v>
      </c>
      <c r="O48" s="42">
        <v>0</v>
      </c>
      <c r="P48" s="10" t="s">
        <v>2485</v>
      </c>
    </row>
    <row r="49" spans="1:16" x14ac:dyDescent="0.25">
      <c r="A49" s="5" t="s">
        <v>2223</v>
      </c>
      <c r="B49" s="22" t="s">
        <v>716</v>
      </c>
      <c r="C49" s="22" t="s">
        <v>1694</v>
      </c>
      <c r="D49" s="23" t="s">
        <v>2224</v>
      </c>
      <c r="E49" s="24" t="s">
        <v>2223</v>
      </c>
      <c r="F49" s="6">
        <v>44463</v>
      </c>
      <c r="G49" s="13">
        <v>44472</v>
      </c>
      <c r="H49" s="7">
        <v>-631</v>
      </c>
      <c r="I49" s="8">
        <v>44472</v>
      </c>
      <c r="J49" s="9">
        <v>640</v>
      </c>
      <c r="K49" s="12" t="s">
        <v>771</v>
      </c>
      <c r="L49" s="10" t="s">
        <v>2455</v>
      </c>
      <c r="M49" s="11">
        <v>1</v>
      </c>
      <c r="N49" s="10" t="s">
        <v>30</v>
      </c>
      <c r="O49" s="42">
        <v>0</v>
      </c>
      <c r="P49" s="10" t="s">
        <v>2485</v>
      </c>
    </row>
    <row r="50" spans="1:16" x14ac:dyDescent="0.25">
      <c r="A50" s="5" t="s">
        <v>2279</v>
      </c>
      <c r="B50" s="22" t="s">
        <v>716</v>
      </c>
      <c r="C50" s="22" t="s">
        <v>1694</v>
      </c>
      <c r="D50" s="23" t="s">
        <v>2280</v>
      </c>
      <c r="E50" s="24" t="s">
        <v>2279</v>
      </c>
      <c r="F50" s="6">
        <v>44466</v>
      </c>
      <c r="G50" s="13">
        <v>44472</v>
      </c>
      <c r="H50" s="7">
        <v>-631</v>
      </c>
      <c r="I50" s="8">
        <v>44472</v>
      </c>
      <c r="J50" s="9">
        <v>637</v>
      </c>
      <c r="K50" s="12" t="s">
        <v>771</v>
      </c>
      <c r="L50" s="10" t="s">
        <v>2455</v>
      </c>
      <c r="M50" s="11">
        <v>1</v>
      </c>
      <c r="N50" s="10" t="s">
        <v>18</v>
      </c>
      <c r="O50" s="42">
        <v>0</v>
      </c>
      <c r="P50" s="10" t="s">
        <v>2485</v>
      </c>
    </row>
    <row r="51" spans="1:16" x14ac:dyDescent="0.25">
      <c r="A51" s="26" t="s">
        <v>2319</v>
      </c>
      <c r="B51" s="22" t="s">
        <v>716</v>
      </c>
      <c r="C51" s="22" t="s">
        <v>2505</v>
      </c>
      <c r="D51" s="23" t="s">
        <v>2320</v>
      </c>
      <c r="E51" s="24" t="s">
        <v>2319</v>
      </c>
      <c r="F51" s="6">
        <v>44470</v>
      </c>
      <c r="G51" s="13">
        <v>44472</v>
      </c>
      <c r="H51" s="7">
        <v>-631</v>
      </c>
      <c r="I51" s="8">
        <v>44472</v>
      </c>
      <c r="J51" s="9">
        <v>633</v>
      </c>
      <c r="K51" s="10" t="s">
        <v>771</v>
      </c>
      <c r="L51" s="10" t="s">
        <v>2455</v>
      </c>
      <c r="M51" s="11">
        <v>1</v>
      </c>
      <c r="N51" s="10" t="s">
        <v>18</v>
      </c>
      <c r="O51" s="42">
        <v>0</v>
      </c>
      <c r="P51" s="10" t="s">
        <v>2485</v>
      </c>
    </row>
    <row r="52" spans="1:16" x14ac:dyDescent="0.25">
      <c r="A52" s="26" t="s">
        <v>2321</v>
      </c>
      <c r="B52" s="22" t="s">
        <v>716</v>
      </c>
      <c r="C52" s="22" t="s">
        <v>2505</v>
      </c>
      <c r="D52" s="23" t="s">
        <v>2322</v>
      </c>
      <c r="E52" s="24" t="s">
        <v>2321</v>
      </c>
      <c r="F52" s="6">
        <v>44470</v>
      </c>
      <c r="G52" s="13">
        <v>44472</v>
      </c>
      <c r="H52" s="7">
        <v>-631</v>
      </c>
      <c r="I52" s="8">
        <v>44472</v>
      </c>
      <c r="J52" s="9">
        <v>633</v>
      </c>
      <c r="K52" s="10" t="s">
        <v>771</v>
      </c>
      <c r="L52" s="10" t="s">
        <v>2455</v>
      </c>
      <c r="M52" s="11">
        <v>1</v>
      </c>
      <c r="N52" s="10" t="s">
        <v>18</v>
      </c>
      <c r="O52" s="42">
        <v>0</v>
      </c>
      <c r="P52" s="10" t="s">
        <v>2485</v>
      </c>
    </row>
    <row r="53" spans="1:16" x14ac:dyDescent="0.25">
      <c r="A53" s="5" t="s">
        <v>2173</v>
      </c>
      <c r="B53" s="22" t="s">
        <v>716</v>
      </c>
      <c r="C53" s="22" t="s">
        <v>1694</v>
      </c>
      <c r="D53" s="23" t="s">
        <v>2174</v>
      </c>
      <c r="E53" s="24" t="s">
        <v>2173</v>
      </c>
      <c r="F53" s="6">
        <v>44461</v>
      </c>
      <c r="G53" s="13">
        <v>44479</v>
      </c>
      <c r="H53" s="7">
        <v>-624</v>
      </c>
      <c r="I53" s="8">
        <v>44472</v>
      </c>
      <c r="J53" s="9">
        <v>642</v>
      </c>
      <c r="K53" s="10" t="s">
        <v>712</v>
      </c>
      <c r="L53" s="10" t="s">
        <v>2455</v>
      </c>
      <c r="M53" s="11">
        <v>1</v>
      </c>
      <c r="N53" s="10" t="s">
        <v>18</v>
      </c>
      <c r="O53" s="42">
        <v>0</v>
      </c>
      <c r="P53" s="10" t="s">
        <v>2485</v>
      </c>
    </row>
    <row r="54" spans="1:16" x14ac:dyDescent="0.25">
      <c r="A54" s="15" t="s">
        <v>2431</v>
      </c>
      <c r="B54" s="22" t="s">
        <v>716</v>
      </c>
      <c r="C54" s="22" t="s">
        <v>1043</v>
      </c>
      <c r="D54" s="23" t="s">
        <v>2432</v>
      </c>
      <c r="E54" s="24" t="s">
        <v>2431</v>
      </c>
      <c r="F54" s="6">
        <v>44480</v>
      </c>
      <c r="G54" s="13">
        <v>44486</v>
      </c>
      <c r="H54" s="7">
        <v>-617</v>
      </c>
      <c r="I54" s="8">
        <v>44482</v>
      </c>
      <c r="J54" s="9">
        <v>623</v>
      </c>
      <c r="K54" s="10" t="s">
        <v>712</v>
      </c>
      <c r="L54" s="10" t="s">
        <v>2455</v>
      </c>
      <c r="M54" s="11">
        <v>1</v>
      </c>
      <c r="N54" s="10" t="s">
        <v>18</v>
      </c>
      <c r="O54" s="42">
        <v>0</v>
      </c>
      <c r="P54" s="10" t="s">
        <v>2485</v>
      </c>
    </row>
    <row r="55" spans="1:16" x14ac:dyDescent="0.25">
      <c r="A55" s="15" t="s">
        <v>2423</v>
      </c>
      <c r="B55" s="22" t="s">
        <v>716</v>
      </c>
      <c r="C55" s="22" t="s">
        <v>2472</v>
      </c>
      <c r="D55" s="23" t="s">
        <v>2424</v>
      </c>
      <c r="E55" s="24" t="s">
        <v>2423</v>
      </c>
      <c r="F55" s="6">
        <v>44480</v>
      </c>
      <c r="G55" s="13">
        <v>44486</v>
      </c>
      <c r="H55" s="7">
        <v>-617</v>
      </c>
      <c r="I55" s="8">
        <v>44485</v>
      </c>
      <c r="J55" s="9">
        <v>623</v>
      </c>
      <c r="K55" s="10" t="s">
        <v>2489</v>
      </c>
      <c r="L55" s="10" t="s">
        <v>2455</v>
      </c>
      <c r="M55" s="11">
        <v>1</v>
      </c>
      <c r="N55" s="10" t="s">
        <v>18</v>
      </c>
      <c r="O55" s="42">
        <v>0</v>
      </c>
      <c r="P55" s="10" t="s">
        <v>2485</v>
      </c>
    </row>
    <row r="56" spans="1:16" x14ac:dyDescent="0.25">
      <c r="A56" s="15" t="s">
        <v>2295</v>
      </c>
      <c r="B56" s="22" t="s">
        <v>716</v>
      </c>
      <c r="C56" s="22" t="s">
        <v>735</v>
      </c>
      <c r="D56" s="23" t="s">
        <v>2296</v>
      </c>
      <c r="E56" s="24" t="s">
        <v>2295</v>
      </c>
      <c r="F56" s="6">
        <v>44466</v>
      </c>
      <c r="G56" s="13">
        <v>44493</v>
      </c>
      <c r="H56" s="7">
        <v>-610</v>
      </c>
      <c r="I56" s="8">
        <v>44493</v>
      </c>
      <c r="J56" s="9">
        <v>637</v>
      </c>
      <c r="K56" s="10" t="s">
        <v>2489</v>
      </c>
      <c r="L56" s="10" t="s">
        <v>2455</v>
      </c>
      <c r="M56" s="11">
        <v>2</v>
      </c>
      <c r="N56" s="10" t="s">
        <v>18</v>
      </c>
      <c r="O56" s="42">
        <v>0</v>
      </c>
      <c r="P56" s="10" t="s">
        <v>2485</v>
      </c>
    </row>
    <row r="57" spans="1:16" x14ac:dyDescent="0.25">
      <c r="A57" s="15" t="s">
        <v>2365</v>
      </c>
      <c r="B57" s="22" t="s">
        <v>716</v>
      </c>
      <c r="C57" s="22" t="s">
        <v>2472</v>
      </c>
      <c r="D57" s="23" t="s">
        <v>2366</v>
      </c>
      <c r="E57" s="24" t="s">
        <v>2365</v>
      </c>
      <c r="F57" s="6">
        <v>44473</v>
      </c>
      <c r="G57" s="13">
        <v>44493</v>
      </c>
      <c r="H57" s="7">
        <v>-610</v>
      </c>
      <c r="I57" s="8">
        <v>44493</v>
      </c>
      <c r="J57" s="9">
        <v>630</v>
      </c>
      <c r="K57" s="10" t="s">
        <v>2489</v>
      </c>
      <c r="L57" s="10" t="s">
        <v>2455</v>
      </c>
      <c r="M57" s="11">
        <v>1</v>
      </c>
      <c r="N57" s="10" t="s">
        <v>30</v>
      </c>
      <c r="O57" s="42">
        <v>0</v>
      </c>
      <c r="P57" s="10" t="s">
        <v>2485</v>
      </c>
    </row>
    <row r="58" spans="1:16" x14ac:dyDescent="0.25">
      <c r="A58" s="15" t="s">
        <v>2401</v>
      </c>
      <c r="B58" s="22" t="s">
        <v>716</v>
      </c>
      <c r="C58" s="22" t="s">
        <v>787</v>
      </c>
      <c r="D58" s="23" t="s">
        <v>2402</v>
      </c>
      <c r="E58" s="24" t="s">
        <v>2401</v>
      </c>
      <c r="F58" s="6">
        <v>44473</v>
      </c>
      <c r="G58" s="13">
        <v>44493</v>
      </c>
      <c r="H58" s="7">
        <v>-610</v>
      </c>
      <c r="I58" s="8">
        <v>44493</v>
      </c>
      <c r="J58" s="9">
        <v>630</v>
      </c>
      <c r="K58" s="10" t="s">
        <v>2489</v>
      </c>
      <c r="L58" s="10" t="s">
        <v>2455</v>
      </c>
      <c r="M58" s="11">
        <v>1</v>
      </c>
      <c r="N58" s="10" t="s">
        <v>18</v>
      </c>
      <c r="O58" s="42">
        <v>0</v>
      </c>
      <c r="P58" s="10" t="s">
        <v>2485</v>
      </c>
    </row>
    <row r="59" spans="1:16" x14ac:dyDescent="0.25">
      <c r="A59" s="15" t="s">
        <v>2417</v>
      </c>
      <c r="B59" s="22" t="s">
        <v>716</v>
      </c>
      <c r="C59" s="22" t="s">
        <v>1694</v>
      </c>
      <c r="D59" s="23" t="s">
        <v>2418</v>
      </c>
      <c r="E59" s="24" t="s">
        <v>2417</v>
      </c>
      <c r="F59" s="6">
        <v>44473</v>
      </c>
      <c r="G59" s="13">
        <v>44493</v>
      </c>
      <c r="H59" s="7">
        <v>-610</v>
      </c>
      <c r="I59" s="8">
        <v>44493</v>
      </c>
      <c r="J59" s="9">
        <v>630</v>
      </c>
      <c r="K59" s="10" t="s">
        <v>2489</v>
      </c>
      <c r="L59" s="10" t="s">
        <v>2455</v>
      </c>
      <c r="M59" s="11">
        <v>1</v>
      </c>
      <c r="N59" s="10" t="s">
        <v>18</v>
      </c>
      <c r="O59" s="42">
        <v>0</v>
      </c>
      <c r="P59" s="10" t="s">
        <v>2485</v>
      </c>
    </row>
    <row r="60" spans="1:16" x14ac:dyDescent="0.25">
      <c r="A60" s="15" t="s">
        <v>2435</v>
      </c>
      <c r="B60" s="22" t="s">
        <v>716</v>
      </c>
      <c r="C60" s="22" t="s">
        <v>932</v>
      </c>
      <c r="D60" s="23" t="s">
        <v>2436</v>
      </c>
      <c r="E60" s="24" t="s">
        <v>2435</v>
      </c>
      <c r="F60" s="6">
        <v>44480</v>
      </c>
      <c r="G60" s="13">
        <v>44493</v>
      </c>
      <c r="H60" s="7">
        <v>-610</v>
      </c>
      <c r="I60" s="8">
        <v>44493</v>
      </c>
      <c r="J60" s="9">
        <v>623</v>
      </c>
      <c r="K60" s="10" t="s">
        <v>2489</v>
      </c>
      <c r="L60" s="10" t="s">
        <v>2455</v>
      </c>
      <c r="M60" s="11">
        <v>1</v>
      </c>
      <c r="N60" s="10" t="s">
        <v>30</v>
      </c>
      <c r="O60" s="42">
        <v>0</v>
      </c>
      <c r="P60" s="10" t="s">
        <v>2485</v>
      </c>
    </row>
    <row r="61" spans="1:16" x14ac:dyDescent="0.25">
      <c r="A61" s="15" t="s">
        <v>710</v>
      </c>
      <c r="B61" s="22" t="s">
        <v>15</v>
      </c>
      <c r="C61" s="22" t="s">
        <v>238</v>
      </c>
      <c r="D61" s="23" t="s">
        <v>711</v>
      </c>
      <c r="E61" s="24" t="s">
        <v>710</v>
      </c>
      <c r="F61" s="6">
        <v>44326</v>
      </c>
      <c r="G61" s="13">
        <v>44333</v>
      </c>
      <c r="H61" s="7">
        <v>-770</v>
      </c>
      <c r="I61" s="8"/>
      <c r="J61" s="9">
        <v>777</v>
      </c>
      <c r="K61" s="10" t="s">
        <v>712</v>
      </c>
      <c r="L61" s="10" t="s">
        <v>2455</v>
      </c>
      <c r="M61" s="11">
        <v>1</v>
      </c>
      <c r="N61" s="10" t="s">
        <v>18</v>
      </c>
      <c r="O61" s="42">
        <v>0</v>
      </c>
      <c r="P61" s="10" t="s">
        <v>2485</v>
      </c>
    </row>
    <row r="62" spans="1:16" x14ac:dyDescent="0.25">
      <c r="A62" s="15" t="s">
        <v>769</v>
      </c>
      <c r="B62" s="22" t="s">
        <v>716</v>
      </c>
      <c r="C62" s="22" t="s">
        <v>752</v>
      </c>
      <c r="D62" s="23" t="s">
        <v>770</v>
      </c>
      <c r="E62" s="24" t="s">
        <v>769</v>
      </c>
      <c r="F62" s="6">
        <v>44365</v>
      </c>
      <c r="G62" s="13">
        <v>44371</v>
      </c>
      <c r="H62" s="7">
        <v>-732</v>
      </c>
      <c r="I62" s="8"/>
      <c r="J62" s="9">
        <v>738</v>
      </c>
      <c r="K62" s="10" t="s">
        <v>771</v>
      </c>
      <c r="L62" s="10" t="s">
        <v>2455</v>
      </c>
      <c r="M62" s="11">
        <v>1</v>
      </c>
      <c r="N62" s="10" t="s">
        <v>18</v>
      </c>
      <c r="O62" s="42">
        <v>0</v>
      </c>
      <c r="P62" s="10" t="s">
        <v>2485</v>
      </c>
    </row>
    <row r="63" spans="1:16" x14ac:dyDescent="0.25">
      <c r="A63" s="15" t="s">
        <v>772</v>
      </c>
      <c r="B63" s="22" t="s">
        <v>716</v>
      </c>
      <c r="C63" s="22" t="s">
        <v>2471</v>
      </c>
      <c r="D63" s="23" t="s">
        <v>773</v>
      </c>
      <c r="E63" s="24" t="s">
        <v>772</v>
      </c>
      <c r="F63" s="6">
        <v>44365</v>
      </c>
      <c r="G63" s="13">
        <v>44371</v>
      </c>
      <c r="H63" s="7">
        <v>-732</v>
      </c>
      <c r="I63" s="8"/>
      <c r="J63" s="9">
        <v>738</v>
      </c>
      <c r="K63" s="10" t="s">
        <v>771</v>
      </c>
      <c r="L63" s="10" t="s">
        <v>2455</v>
      </c>
      <c r="M63" s="11">
        <v>1</v>
      </c>
      <c r="N63" s="10" t="s">
        <v>18</v>
      </c>
      <c r="O63" s="42">
        <v>0</v>
      </c>
      <c r="P63" s="10" t="s">
        <v>2485</v>
      </c>
    </row>
    <row r="64" spans="1:16" x14ac:dyDescent="0.25">
      <c r="A64" s="15" t="s">
        <v>1250</v>
      </c>
      <c r="B64" s="22" t="s">
        <v>716</v>
      </c>
      <c r="C64" s="22" t="s">
        <v>2470</v>
      </c>
      <c r="D64" s="23" t="s">
        <v>1251</v>
      </c>
      <c r="E64" s="24" t="s">
        <v>1250</v>
      </c>
      <c r="F64" s="6">
        <v>44396</v>
      </c>
      <c r="G64" s="13">
        <v>44402</v>
      </c>
      <c r="H64" s="7">
        <v>-701</v>
      </c>
      <c r="I64" s="8"/>
      <c r="J64" s="9">
        <v>707</v>
      </c>
      <c r="K64" s="10" t="s">
        <v>663</v>
      </c>
      <c r="L64" s="10" t="s">
        <v>2455</v>
      </c>
      <c r="M64" s="11">
        <v>1</v>
      </c>
      <c r="N64" s="10" t="s">
        <v>18</v>
      </c>
      <c r="O64" s="42">
        <v>0</v>
      </c>
      <c r="P64" s="10" t="s">
        <v>2485</v>
      </c>
    </row>
    <row r="65" spans="1:16" x14ac:dyDescent="0.25">
      <c r="A65" s="15" t="s">
        <v>1748</v>
      </c>
      <c r="B65" s="22" t="s">
        <v>716</v>
      </c>
      <c r="C65" s="22" t="s">
        <v>787</v>
      </c>
      <c r="D65" s="23" t="s">
        <v>1749</v>
      </c>
      <c r="E65" s="24" t="s">
        <v>1748</v>
      </c>
      <c r="F65" s="6">
        <v>44435</v>
      </c>
      <c r="G65" s="13">
        <v>44437</v>
      </c>
      <c r="H65" s="7">
        <v>-666</v>
      </c>
      <c r="I65" s="8"/>
      <c r="J65" s="9">
        <v>668</v>
      </c>
      <c r="K65" s="10" t="s">
        <v>1412</v>
      </c>
      <c r="L65" s="10" t="s">
        <v>2455</v>
      </c>
      <c r="M65" s="11">
        <v>1</v>
      </c>
      <c r="N65" s="10" t="s">
        <v>18</v>
      </c>
      <c r="O65" s="42">
        <v>0</v>
      </c>
      <c r="P65" s="10" t="s">
        <v>2485</v>
      </c>
    </row>
    <row r="66" spans="1:16" x14ac:dyDescent="0.25">
      <c r="A66" s="15" t="s">
        <v>1750</v>
      </c>
      <c r="B66" s="22" t="s">
        <v>716</v>
      </c>
      <c r="C66" s="22" t="s">
        <v>787</v>
      </c>
      <c r="D66" s="23" t="s">
        <v>1751</v>
      </c>
      <c r="E66" s="24" t="s">
        <v>1750</v>
      </c>
      <c r="F66" s="6">
        <v>44435</v>
      </c>
      <c r="G66" s="13">
        <v>44437</v>
      </c>
      <c r="H66" s="7">
        <v>-666</v>
      </c>
      <c r="I66" s="8"/>
      <c r="J66" s="9">
        <v>668</v>
      </c>
      <c r="K66" s="10" t="s">
        <v>1412</v>
      </c>
      <c r="L66" s="10" t="s">
        <v>2455</v>
      </c>
      <c r="M66" s="11">
        <v>1</v>
      </c>
      <c r="N66" s="10" t="s">
        <v>18</v>
      </c>
      <c r="O66" s="42">
        <v>0</v>
      </c>
      <c r="P66" s="10" t="s">
        <v>2485</v>
      </c>
    </row>
    <row r="67" spans="1:16" x14ac:dyDescent="0.25">
      <c r="A67" s="15" t="s">
        <v>1752</v>
      </c>
      <c r="B67" s="22" t="s">
        <v>716</v>
      </c>
      <c r="C67" s="22" t="s">
        <v>985</v>
      </c>
      <c r="D67" s="23" t="s">
        <v>1753</v>
      </c>
      <c r="E67" s="24" t="s">
        <v>1752</v>
      </c>
      <c r="F67" s="6">
        <v>44435</v>
      </c>
      <c r="G67" s="13">
        <v>44437</v>
      </c>
      <c r="H67" s="7">
        <v>-666</v>
      </c>
      <c r="I67" s="8"/>
      <c r="J67" s="9">
        <v>668</v>
      </c>
      <c r="K67" s="10" t="s">
        <v>771</v>
      </c>
      <c r="L67" s="10" t="s">
        <v>2455</v>
      </c>
      <c r="M67" s="11">
        <v>1</v>
      </c>
      <c r="N67" s="10" t="s">
        <v>18</v>
      </c>
      <c r="O67" s="42">
        <v>0</v>
      </c>
      <c r="P67" s="10" t="s">
        <v>2485</v>
      </c>
    </row>
    <row r="68" spans="1:16" x14ac:dyDescent="0.25">
      <c r="A68" s="15" t="s">
        <v>1806</v>
      </c>
      <c r="B68" s="22" t="s">
        <v>716</v>
      </c>
      <c r="C68" s="22" t="s">
        <v>2473</v>
      </c>
      <c r="D68" s="23" t="s">
        <v>1807</v>
      </c>
      <c r="E68" s="24" t="s">
        <v>1806</v>
      </c>
      <c r="F68" s="6">
        <v>44442</v>
      </c>
      <c r="G68" s="13">
        <v>44444</v>
      </c>
      <c r="H68" s="7">
        <v>-659</v>
      </c>
      <c r="I68" s="8"/>
      <c r="J68" s="9">
        <v>661</v>
      </c>
      <c r="K68" s="10" t="s">
        <v>771</v>
      </c>
      <c r="L68" s="10" t="s">
        <v>2455</v>
      </c>
      <c r="M68" s="11">
        <v>1</v>
      </c>
      <c r="N68" s="10" t="s">
        <v>18</v>
      </c>
      <c r="O68" s="42">
        <v>0</v>
      </c>
      <c r="P68" s="10" t="s">
        <v>2485</v>
      </c>
    </row>
    <row r="69" spans="1:16" x14ac:dyDescent="0.25">
      <c r="A69" s="15" t="s">
        <v>1942</v>
      </c>
      <c r="B69" s="22" t="s">
        <v>716</v>
      </c>
      <c r="C69" s="22" t="s">
        <v>787</v>
      </c>
      <c r="D69" s="23" t="s">
        <v>1943</v>
      </c>
      <c r="E69" s="24" t="s">
        <v>1942</v>
      </c>
      <c r="F69" s="6">
        <v>44449</v>
      </c>
      <c r="G69" s="13">
        <v>44455</v>
      </c>
      <c r="H69" s="7">
        <v>-648</v>
      </c>
      <c r="I69" s="8"/>
      <c r="J69" s="9">
        <v>654</v>
      </c>
      <c r="K69" s="10" t="s">
        <v>1412</v>
      </c>
      <c r="L69" s="10" t="s">
        <v>2455</v>
      </c>
      <c r="M69" s="11">
        <v>1</v>
      </c>
      <c r="N69" s="10" t="s">
        <v>18</v>
      </c>
      <c r="O69" s="42">
        <v>0</v>
      </c>
      <c r="P69" s="10" t="s">
        <v>2485</v>
      </c>
    </row>
    <row r="70" spans="1:16" x14ac:dyDescent="0.25">
      <c r="A70" s="15" t="s">
        <v>1338</v>
      </c>
      <c r="B70" s="22" t="s">
        <v>716</v>
      </c>
      <c r="C70" s="22" t="s">
        <v>992</v>
      </c>
      <c r="D70" s="23" t="s">
        <v>1339</v>
      </c>
      <c r="E70" s="24" t="s">
        <v>1338</v>
      </c>
      <c r="F70" s="6">
        <v>44396</v>
      </c>
      <c r="G70" s="13">
        <v>44462</v>
      </c>
      <c r="H70" s="7">
        <v>-641</v>
      </c>
      <c r="I70" s="8"/>
      <c r="J70" s="9">
        <v>707</v>
      </c>
      <c r="K70" s="10" t="s">
        <v>771</v>
      </c>
      <c r="L70" s="10" t="s">
        <v>2455</v>
      </c>
      <c r="M70" s="11">
        <v>1</v>
      </c>
      <c r="N70" s="10" t="s">
        <v>18</v>
      </c>
      <c r="O70" s="42">
        <v>0</v>
      </c>
      <c r="P70" s="10" t="s">
        <v>2485</v>
      </c>
    </row>
    <row r="71" spans="1:16" x14ac:dyDescent="0.25">
      <c r="A71" s="15" t="s">
        <v>2099</v>
      </c>
      <c r="B71" s="22" t="s">
        <v>716</v>
      </c>
      <c r="C71" s="22" t="s">
        <v>2470</v>
      </c>
      <c r="D71" s="23" t="s">
        <v>2100</v>
      </c>
      <c r="E71" s="24" t="s">
        <v>2099</v>
      </c>
      <c r="F71" s="6">
        <v>44459</v>
      </c>
      <c r="G71" s="13">
        <v>44462</v>
      </c>
      <c r="H71" s="7">
        <v>-641</v>
      </c>
      <c r="I71" s="8"/>
      <c r="J71" s="9">
        <v>644</v>
      </c>
      <c r="K71" s="10" t="s">
        <v>1412</v>
      </c>
      <c r="L71" s="10" t="s">
        <v>2455</v>
      </c>
      <c r="M71" s="11">
        <v>1</v>
      </c>
      <c r="N71" s="10" t="s">
        <v>18</v>
      </c>
      <c r="O71" s="42">
        <v>0</v>
      </c>
      <c r="P71" s="10" t="s">
        <v>2485</v>
      </c>
    </row>
    <row r="72" spans="1:16" x14ac:dyDescent="0.25">
      <c r="A72" s="15" t="s">
        <v>2104</v>
      </c>
      <c r="B72" s="22" t="s">
        <v>716</v>
      </c>
      <c r="C72" s="22" t="s">
        <v>932</v>
      </c>
      <c r="D72" s="23" t="s">
        <v>2105</v>
      </c>
      <c r="E72" s="24" t="s">
        <v>2104</v>
      </c>
      <c r="F72" s="6">
        <v>44459</v>
      </c>
      <c r="G72" s="13">
        <v>44462</v>
      </c>
      <c r="H72" s="7">
        <v>-641</v>
      </c>
      <c r="I72" s="8"/>
      <c r="J72" s="9">
        <v>644</v>
      </c>
      <c r="K72" s="10" t="s">
        <v>771</v>
      </c>
      <c r="L72" s="10" t="s">
        <v>2455</v>
      </c>
      <c r="M72" s="11">
        <v>1</v>
      </c>
      <c r="N72" s="10" t="s">
        <v>18</v>
      </c>
      <c r="O72" s="42">
        <v>0</v>
      </c>
      <c r="P72" s="10" t="s">
        <v>2485</v>
      </c>
    </row>
    <row r="73" spans="1:16" x14ac:dyDescent="0.25">
      <c r="A73" s="15" t="s">
        <v>2116</v>
      </c>
      <c r="B73" s="22" t="s">
        <v>716</v>
      </c>
      <c r="C73" s="22" t="s">
        <v>992</v>
      </c>
      <c r="D73" s="23" t="s">
        <v>2117</v>
      </c>
      <c r="E73" s="24" t="s">
        <v>2116</v>
      </c>
      <c r="F73" s="6">
        <v>44459</v>
      </c>
      <c r="G73" s="13">
        <v>44462</v>
      </c>
      <c r="H73" s="7">
        <v>-641</v>
      </c>
      <c r="I73" s="8"/>
      <c r="J73" s="9">
        <v>644</v>
      </c>
      <c r="K73" s="10" t="s">
        <v>771</v>
      </c>
      <c r="L73" s="10" t="s">
        <v>2455</v>
      </c>
      <c r="M73" s="11">
        <v>1</v>
      </c>
      <c r="N73" s="10" t="s">
        <v>18</v>
      </c>
      <c r="O73" s="42">
        <v>0</v>
      </c>
      <c r="P73" s="10" t="s">
        <v>2485</v>
      </c>
    </row>
    <row r="74" spans="1:16" x14ac:dyDescent="0.25">
      <c r="A74" s="16" t="s">
        <v>2120</v>
      </c>
      <c r="B74" s="22" t="s">
        <v>716</v>
      </c>
      <c r="C74" s="22" t="s">
        <v>787</v>
      </c>
      <c r="D74" s="23" t="s">
        <v>2121</v>
      </c>
      <c r="E74" s="24" t="s">
        <v>2120</v>
      </c>
      <c r="F74" s="6">
        <v>44459</v>
      </c>
      <c r="G74" s="13">
        <v>44462</v>
      </c>
      <c r="H74" s="7">
        <v>-641</v>
      </c>
      <c r="I74" s="8"/>
      <c r="J74" s="9">
        <v>644</v>
      </c>
      <c r="K74" s="10" t="s">
        <v>663</v>
      </c>
      <c r="L74" s="10" t="s">
        <v>2455</v>
      </c>
      <c r="M74" s="11">
        <v>1</v>
      </c>
      <c r="N74" s="10" t="s">
        <v>18</v>
      </c>
      <c r="O74" s="42">
        <v>0</v>
      </c>
      <c r="P74" s="10" t="s">
        <v>2485</v>
      </c>
    </row>
    <row r="75" spans="1:16" x14ac:dyDescent="0.25">
      <c r="A75" s="16" t="s">
        <v>2126</v>
      </c>
      <c r="B75" s="22" t="s">
        <v>716</v>
      </c>
      <c r="C75" s="22" t="s">
        <v>787</v>
      </c>
      <c r="D75" s="23" t="s">
        <v>2127</v>
      </c>
      <c r="E75" s="24" t="s">
        <v>2126</v>
      </c>
      <c r="F75" s="6">
        <v>44459</v>
      </c>
      <c r="G75" s="13">
        <v>44462</v>
      </c>
      <c r="H75" s="7">
        <v>-641</v>
      </c>
      <c r="I75" s="8"/>
      <c r="J75" s="9">
        <v>644</v>
      </c>
      <c r="K75" s="10" t="s">
        <v>771</v>
      </c>
      <c r="L75" s="10" t="s">
        <v>2455</v>
      </c>
      <c r="M75" s="11">
        <v>1</v>
      </c>
      <c r="N75" s="10" t="s">
        <v>18</v>
      </c>
      <c r="O75" s="42">
        <v>0</v>
      </c>
      <c r="P75" s="10" t="s">
        <v>2485</v>
      </c>
    </row>
    <row r="76" spans="1:16" x14ac:dyDescent="0.25">
      <c r="A76" s="16" t="s">
        <v>2128</v>
      </c>
      <c r="B76" s="22" t="s">
        <v>716</v>
      </c>
      <c r="C76" s="22" t="s">
        <v>787</v>
      </c>
      <c r="D76" s="23" t="s">
        <v>2129</v>
      </c>
      <c r="E76" s="24" t="s">
        <v>2128</v>
      </c>
      <c r="F76" s="6">
        <v>44459</v>
      </c>
      <c r="G76" s="13">
        <v>44462</v>
      </c>
      <c r="H76" s="7">
        <v>-641</v>
      </c>
      <c r="I76" s="8"/>
      <c r="J76" s="9">
        <v>644</v>
      </c>
      <c r="K76" s="10" t="s">
        <v>771</v>
      </c>
      <c r="L76" s="10" t="s">
        <v>2455</v>
      </c>
      <c r="M76" s="11">
        <v>1</v>
      </c>
      <c r="N76" s="10" t="s">
        <v>18</v>
      </c>
      <c r="O76" s="42">
        <v>0</v>
      </c>
      <c r="P76" s="10" t="s">
        <v>2485</v>
      </c>
    </row>
    <row r="77" spans="1:16" x14ac:dyDescent="0.25">
      <c r="A77" s="16" t="s">
        <v>2130</v>
      </c>
      <c r="B77" s="22" t="s">
        <v>716</v>
      </c>
      <c r="C77" s="22" t="s">
        <v>932</v>
      </c>
      <c r="D77" s="23" t="s">
        <v>2131</v>
      </c>
      <c r="E77" s="24" t="s">
        <v>2130</v>
      </c>
      <c r="F77" s="6">
        <v>44459</v>
      </c>
      <c r="G77" s="13">
        <v>44462</v>
      </c>
      <c r="H77" s="7">
        <v>-641</v>
      </c>
      <c r="I77" s="8"/>
      <c r="J77" s="9">
        <v>644</v>
      </c>
      <c r="K77" s="10" t="s">
        <v>771</v>
      </c>
      <c r="L77" s="10" t="s">
        <v>2455</v>
      </c>
      <c r="M77" s="11">
        <v>1</v>
      </c>
      <c r="N77" s="10" t="s">
        <v>18</v>
      </c>
      <c r="O77" s="42">
        <v>0</v>
      </c>
      <c r="P77" s="10" t="s">
        <v>2485</v>
      </c>
    </row>
    <row r="78" spans="1:16" x14ac:dyDescent="0.25">
      <c r="A78" s="16" t="s">
        <v>2132</v>
      </c>
      <c r="B78" s="22" t="s">
        <v>716</v>
      </c>
      <c r="C78" s="22" t="s">
        <v>992</v>
      </c>
      <c r="D78" s="23" t="s">
        <v>2133</v>
      </c>
      <c r="E78" s="24" t="s">
        <v>2132</v>
      </c>
      <c r="F78" s="6">
        <v>44459</v>
      </c>
      <c r="G78" s="13">
        <v>44462</v>
      </c>
      <c r="H78" s="7">
        <v>-641</v>
      </c>
      <c r="I78" s="8"/>
      <c r="J78" s="9">
        <v>644</v>
      </c>
      <c r="K78" s="10" t="s">
        <v>771</v>
      </c>
      <c r="L78" s="10" t="s">
        <v>2455</v>
      </c>
      <c r="M78" s="11">
        <v>1</v>
      </c>
      <c r="N78" s="10" t="s">
        <v>18</v>
      </c>
      <c r="O78" s="42">
        <v>0</v>
      </c>
      <c r="P78" s="10" t="s">
        <v>2485</v>
      </c>
    </row>
    <row r="79" spans="1:16" x14ac:dyDescent="0.25">
      <c r="A79" s="16" t="s">
        <v>2144</v>
      </c>
      <c r="B79" s="22" t="s">
        <v>716</v>
      </c>
      <c r="C79" s="22" t="s">
        <v>985</v>
      </c>
      <c r="D79" s="23" t="s">
        <v>2145</v>
      </c>
      <c r="E79" s="24" t="s">
        <v>2144</v>
      </c>
      <c r="F79" s="6">
        <v>44459</v>
      </c>
      <c r="G79" s="13">
        <v>44462</v>
      </c>
      <c r="H79" s="7">
        <v>-641</v>
      </c>
      <c r="I79" s="8"/>
      <c r="J79" s="9">
        <v>644</v>
      </c>
      <c r="K79" s="10" t="s">
        <v>771</v>
      </c>
      <c r="L79" s="10" t="s">
        <v>2455</v>
      </c>
      <c r="M79" s="11">
        <v>1</v>
      </c>
      <c r="N79" s="10" t="s">
        <v>18</v>
      </c>
      <c r="O79" s="42">
        <v>0</v>
      </c>
      <c r="P79" s="10" t="s">
        <v>2485</v>
      </c>
    </row>
    <row r="80" spans="1:16" x14ac:dyDescent="0.25">
      <c r="A80" s="16" t="s">
        <v>2161</v>
      </c>
      <c r="B80" s="22" t="s">
        <v>716</v>
      </c>
      <c r="C80" s="22" t="s">
        <v>752</v>
      </c>
      <c r="D80" s="23" t="s">
        <v>2162</v>
      </c>
      <c r="E80" s="24" t="s">
        <v>2161</v>
      </c>
      <c r="F80" s="6">
        <v>44459</v>
      </c>
      <c r="G80" s="13">
        <v>44462</v>
      </c>
      <c r="H80" s="7">
        <v>-641</v>
      </c>
      <c r="I80" s="8"/>
      <c r="J80" s="9">
        <v>644</v>
      </c>
      <c r="K80" s="10" t="s">
        <v>771</v>
      </c>
      <c r="L80" s="10" t="s">
        <v>2455</v>
      </c>
      <c r="M80" s="11">
        <v>1</v>
      </c>
      <c r="N80" s="10" t="s">
        <v>18</v>
      </c>
      <c r="O80" s="42">
        <v>0</v>
      </c>
      <c r="P80" s="10" t="s">
        <v>2485</v>
      </c>
    </row>
    <row r="81" spans="1:16" x14ac:dyDescent="0.25">
      <c r="A81" s="16" t="s">
        <v>2315</v>
      </c>
      <c r="B81" s="22" t="s">
        <v>716</v>
      </c>
      <c r="C81" s="22" t="s">
        <v>752</v>
      </c>
      <c r="D81" s="23" t="s">
        <v>2316</v>
      </c>
      <c r="E81" s="24" t="s">
        <v>2315</v>
      </c>
      <c r="F81" s="6">
        <v>44466</v>
      </c>
      <c r="G81" s="13">
        <v>44472</v>
      </c>
      <c r="H81" s="7">
        <v>-631</v>
      </c>
      <c r="I81" s="8"/>
      <c r="J81" s="9">
        <v>637</v>
      </c>
      <c r="K81" s="10" t="s">
        <v>663</v>
      </c>
      <c r="L81" s="10" t="s">
        <v>2455</v>
      </c>
      <c r="M81" s="11">
        <v>1</v>
      </c>
      <c r="N81" s="10" t="s">
        <v>18</v>
      </c>
      <c r="O81" s="42">
        <v>0</v>
      </c>
      <c r="P81" s="10" t="s">
        <v>2485</v>
      </c>
    </row>
    <row r="82" spans="1:16" x14ac:dyDescent="0.25">
      <c r="A82" s="16" t="s">
        <v>2357</v>
      </c>
      <c r="B82" s="22" t="s">
        <v>716</v>
      </c>
      <c r="C82" s="22" t="s">
        <v>1043</v>
      </c>
      <c r="D82" s="23" t="s">
        <v>2358</v>
      </c>
      <c r="E82" s="24" t="s">
        <v>2357</v>
      </c>
      <c r="F82" s="6">
        <v>44473</v>
      </c>
      <c r="G82" s="13">
        <v>44479</v>
      </c>
      <c r="H82" s="7">
        <v>-624</v>
      </c>
      <c r="I82" s="8"/>
      <c r="J82" s="9">
        <v>630</v>
      </c>
      <c r="K82" s="10" t="s">
        <v>1412</v>
      </c>
      <c r="L82" s="10" t="s">
        <v>2455</v>
      </c>
      <c r="M82" s="11">
        <v>1</v>
      </c>
      <c r="N82" s="10" t="s">
        <v>18</v>
      </c>
      <c r="O82" s="42">
        <v>0</v>
      </c>
      <c r="P82" s="10" t="s">
        <v>2485</v>
      </c>
    </row>
    <row r="83" spans="1:16" x14ac:dyDescent="0.25">
      <c r="A83" s="16" t="s">
        <v>2361</v>
      </c>
      <c r="B83" s="22" t="s">
        <v>716</v>
      </c>
      <c r="C83" s="22" t="s">
        <v>787</v>
      </c>
      <c r="D83" s="23" t="s">
        <v>2362</v>
      </c>
      <c r="E83" s="24" t="s">
        <v>2361</v>
      </c>
      <c r="F83" s="6">
        <v>44473</v>
      </c>
      <c r="G83" s="13">
        <v>44479</v>
      </c>
      <c r="H83" s="7">
        <v>-624</v>
      </c>
      <c r="I83" s="8"/>
      <c r="J83" s="9">
        <v>630</v>
      </c>
      <c r="K83" s="10" t="s">
        <v>771</v>
      </c>
      <c r="L83" s="10" t="s">
        <v>2455</v>
      </c>
      <c r="M83" s="11">
        <v>1</v>
      </c>
      <c r="N83" s="10" t="s">
        <v>18</v>
      </c>
      <c r="O83" s="42">
        <v>0</v>
      </c>
      <c r="P83" s="10" t="s">
        <v>2485</v>
      </c>
    </row>
    <row r="84" spans="1:16" x14ac:dyDescent="0.25">
      <c r="A84" s="16" t="s">
        <v>2363</v>
      </c>
      <c r="B84" s="22" t="s">
        <v>716</v>
      </c>
      <c r="C84" s="22" t="s">
        <v>735</v>
      </c>
      <c r="D84" s="23" t="s">
        <v>2364</v>
      </c>
      <c r="E84" s="24" t="s">
        <v>2363</v>
      </c>
      <c r="F84" s="6">
        <v>44473</v>
      </c>
      <c r="G84" s="13">
        <v>44479</v>
      </c>
      <c r="H84" s="7">
        <v>-624</v>
      </c>
      <c r="I84" s="8"/>
      <c r="J84" s="9">
        <v>630</v>
      </c>
      <c r="K84" s="10" t="s">
        <v>771</v>
      </c>
      <c r="L84" s="10" t="s">
        <v>2455</v>
      </c>
      <c r="M84" s="11">
        <v>1</v>
      </c>
      <c r="N84" s="10" t="s">
        <v>18</v>
      </c>
      <c r="O84" s="42">
        <v>0</v>
      </c>
      <c r="P84" s="10" t="s">
        <v>2485</v>
      </c>
    </row>
    <row r="85" spans="1:16" x14ac:dyDescent="0.25">
      <c r="A85" s="16" t="s">
        <v>1103</v>
      </c>
      <c r="B85" s="22" t="s">
        <v>716</v>
      </c>
      <c r="C85" s="22" t="s">
        <v>985</v>
      </c>
      <c r="D85" s="23" t="s">
        <v>1104</v>
      </c>
      <c r="E85" s="24" t="s">
        <v>1103</v>
      </c>
      <c r="F85" s="6">
        <v>44382</v>
      </c>
      <c r="G85" s="13">
        <v>44486</v>
      </c>
      <c r="H85" s="7">
        <v>-617</v>
      </c>
      <c r="I85" s="8"/>
      <c r="J85" s="9">
        <v>721</v>
      </c>
      <c r="K85" s="10" t="s">
        <v>771</v>
      </c>
      <c r="L85" s="10" t="s">
        <v>2455</v>
      </c>
      <c r="M85" s="11">
        <v>1</v>
      </c>
      <c r="N85" s="10" t="s">
        <v>18</v>
      </c>
      <c r="O85" s="42">
        <v>0</v>
      </c>
      <c r="P85" s="10" t="s">
        <v>2485</v>
      </c>
    </row>
    <row r="86" spans="1:16" x14ac:dyDescent="0.25">
      <c r="A86" s="16"/>
      <c r="B86" s="22"/>
      <c r="C86" s="22"/>
      <c r="D86" s="23"/>
      <c r="E86" s="24"/>
      <c r="F86" s="6"/>
      <c r="G86" s="13"/>
      <c r="H86" s="7"/>
      <c r="I86" s="8"/>
      <c r="J86" s="9"/>
      <c r="K86" s="10"/>
      <c r="L86" s="10"/>
      <c r="M86" s="11"/>
      <c r="N86" s="10"/>
      <c r="O86" s="42"/>
      <c r="P86" s="10"/>
    </row>
    <row r="87" spans="1:16" x14ac:dyDescent="0.25">
      <c r="A87" s="16"/>
      <c r="B87" s="22"/>
      <c r="C87" s="22"/>
      <c r="D87" s="23"/>
      <c r="E87" s="24"/>
      <c r="F87" s="6"/>
      <c r="G87" s="13"/>
      <c r="H87" s="7"/>
      <c r="I87" s="8"/>
      <c r="J87" s="9"/>
      <c r="K87" s="10"/>
      <c r="L87" s="10"/>
      <c r="M87" s="11"/>
      <c r="N87" s="10"/>
      <c r="O87" s="42"/>
      <c r="P87" s="10"/>
    </row>
    <row r="88" spans="1:16" x14ac:dyDescent="0.25">
      <c r="A88" s="16"/>
      <c r="B88" s="22"/>
      <c r="C88" s="22"/>
      <c r="D88" s="23"/>
      <c r="E88" s="24"/>
      <c r="F88" s="6"/>
      <c r="G88" s="13"/>
      <c r="H88" s="7"/>
      <c r="I88" s="8"/>
      <c r="J88" s="9"/>
      <c r="K88" s="10"/>
      <c r="L88" s="10"/>
      <c r="M88" s="11"/>
      <c r="N88" s="10"/>
      <c r="O88" s="42"/>
      <c r="P88" s="10"/>
    </row>
    <row r="89" spans="1:16" x14ac:dyDescent="0.25">
      <c r="A89" s="16"/>
      <c r="B89" s="22"/>
      <c r="C89" s="22"/>
      <c r="D89" s="23"/>
      <c r="E89" s="24"/>
      <c r="F89" s="6"/>
      <c r="G89" s="13"/>
      <c r="H89" s="7"/>
      <c r="I89" s="8"/>
      <c r="J89" s="9"/>
      <c r="K89" s="10"/>
      <c r="L89" s="10"/>
      <c r="M89" s="11"/>
      <c r="N89" s="10"/>
      <c r="O89" s="42"/>
      <c r="P89" s="10"/>
    </row>
    <row r="90" spans="1:16" x14ac:dyDescent="0.25">
      <c r="A90" s="16"/>
      <c r="B90" s="22"/>
      <c r="C90" s="22"/>
      <c r="D90" s="23"/>
      <c r="E90" s="24"/>
      <c r="F90" s="6"/>
      <c r="G90" s="13"/>
      <c r="H90" s="7"/>
      <c r="I90" s="8"/>
      <c r="J90" s="9"/>
      <c r="K90" s="10"/>
      <c r="L90" s="10"/>
      <c r="M90" s="11"/>
      <c r="N90" s="10"/>
      <c r="O90" s="42"/>
      <c r="P90" s="10"/>
    </row>
    <row r="91" spans="1:16" x14ac:dyDescent="0.25">
      <c r="A91" s="16"/>
      <c r="B91" s="22"/>
      <c r="C91" s="22"/>
      <c r="D91" s="23"/>
      <c r="E91" s="24"/>
      <c r="F91" s="6"/>
      <c r="G91" s="13"/>
      <c r="H91" s="7"/>
      <c r="I91" s="8"/>
      <c r="J91" s="9"/>
      <c r="K91" s="10"/>
      <c r="L91" s="10"/>
      <c r="M91" s="11"/>
      <c r="N91" s="10"/>
      <c r="O91" s="42"/>
      <c r="P91" s="10"/>
    </row>
    <row r="92" spans="1:16" x14ac:dyDescent="0.25">
      <c r="A92" s="16"/>
      <c r="B92" s="22"/>
      <c r="C92" s="22"/>
      <c r="D92" s="23"/>
      <c r="E92" s="24"/>
      <c r="F92" s="6"/>
      <c r="G92" s="13"/>
      <c r="H92" s="7"/>
      <c r="I92" s="8"/>
      <c r="J92" s="9"/>
      <c r="K92" s="10"/>
      <c r="L92" s="10"/>
      <c r="M92" s="11"/>
      <c r="N92" s="10"/>
      <c r="O92" s="42"/>
      <c r="P92" s="10"/>
    </row>
    <row r="93" spans="1:16" x14ac:dyDescent="0.25">
      <c r="A93" s="16"/>
      <c r="B93" s="22"/>
      <c r="C93" s="22"/>
      <c r="D93" s="23"/>
      <c r="E93" s="24"/>
      <c r="F93" s="6"/>
      <c r="G93" s="13"/>
      <c r="H93" s="7"/>
      <c r="I93" s="8"/>
      <c r="J93" s="9"/>
      <c r="K93" s="10"/>
      <c r="L93" s="10"/>
      <c r="M93" s="11"/>
      <c r="N93" s="10"/>
      <c r="O93" s="42"/>
      <c r="P93" s="10"/>
    </row>
    <row r="94" spans="1:16" x14ac:dyDescent="0.25">
      <c r="A94" s="16"/>
      <c r="B94" s="22"/>
      <c r="C94" s="22"/>
      <c r="D94" s="23"/>
      <c r="E94" s="24"/>
      <c r="F94" s="6"/>
      <c r="G94" s="13"/>
      <c r="H94" s="7"/>
      <c r="I94" s="8"/>
      <c r="J94" s="9"/>
      <c r="K94" s="10"/>
      <c r="L94" s="10"/>
      <c r="M94" s="11"/>
      <c r="N94" s="10"/>
      <c r="O94" s="42"/>
      <c r="P94" s="10"/>
    </row>
    <row r="95" spans="1:16" x14ac:dyDescent="0.25">
      <c r="A95" s="16"/>
      <c r="B95" s="22"/>
      <c r="C95" s="22"/>
      <c r="D95" s="23"/>
      <c r="E95" s="24"/>
      <c r="F95" s="6"/>
      <c r="G95" s="13"/>
      <c r="H95" s="7"/>
      <c r="I95" s="8"/>
      <c r="J95" s="9"/>
      <c r="K95" s="10"/>
      <c r="L95" s="10"/>
      <c r="M95" s="11"/>
      <c r="N95" s="10"/>
      <c r="O95" s="42"/>
      <c r="P95" s="10"/>
    </row>
    <row r="96" spans="1:16" x14ac:dyDescent="0.25">
      <c r="A96" s="16"/>
      <c r="B96" s="22"/>
      <c r="C96" s="22"/>
      <c r="D96" s="23"/>
      <c r="E96" s="24"/>
      <c r="F96" s="13"/>
      <c r="G96" s="13"/>
      <c r="H96" s="7"/>
      <c r="I96" s="8"/>
      <c r="J96" s="9"/>
      <c r="K96" s="10"/>
      <c r="L96" s="10"/>
      <c r="M96" s="11"/>
      <c r="N96" s="10"/>
      <c r="O96" s="42"/>
      <c r="P96" s="10"/>
    </row>
    <row r="97" spans="1:16" x14ac:dyDescent="0.25">
      <c r="A97" s="16"/>
      <c r="B97" s="22"/>
      <c r="C97" s="22"/>
      <c r="D97" s="23"/>
      <c r="E97" s="24"/>
      <c r="F97" s="13"/>
      <c r="G97" s="13"/>
      <c r="H97" s="7"/>
      <c r="I97" s="8"/>
      <c r="J97" s="9"/>
      <c r="K97" s="10"/>
      <c r="L97" s="10"/>
      <c r="M97" s="11"/>
      <c r="N97" s="10"/>
      <c r="O97" s="42"/>
      <c r="P97" s="10"/>
    </row>
    <row r="98" spans="1:16" x14ac:dyDescent="0.25">
      <c r="A98" s="16"/>
      <c r="B98" s="22"/>
      <c r="C98" s="22"/>
      <c r="D98" s="23"/>
      <c r="E98" s="24"/>
      <c r="F98" s="13"/>
      <c r="G98" s="13"/>
      <c r="H98" s="7"/>
      <c r="I98" s="8"/>
      <c r="J98" s="9"/>
      <c r="K98" s="10"/>
      <c r="L98" s="10"/>
      <c r="M98" s="11"/>
      <c r="N98" s="10"/>
      <c r="O98" s="42"/>
      <c r="P98" s="10"/>
    </row>
    <row r="99" spans="1:16" x14ac:dyDescent="0.25">
      <c r="A99" s="5"/>
      <c r="B99" s="22"/>
      <c r="C99" s="22"/>
      <c r="D99" s="23"/>
      <c r="E99" s="24"/>
      <c r="F99" s="6"/>
      <c r="G99" s="13"/>
      <c r="H99" s="7"/>
      <c r="I99" s="8"/>
      <c r="J99" s="9"/>
      <c r="K99" s="10"/>
      <c r="L99" s="10"/>
      <c r="M99" s="11"/>
      <c r="N99" s="10"/>
      <c r="O99" s="42"/>
      <c r="P99" s="10"/>
    </row>
    <row r="100" spans="1:16" x14ac:dyDescent="0.25">
      <c r="A100" s="5"/>
      <c r="B100" s="22"/>
      <c r="C100" s="22"/>
      <c r="D100" s="23"/>
      <c r="E100" s="24"/>
      <c r="F100" s="6"/>
      <c r="G100" s="13"/>
      <c r="H100" s="7"/>
      <c r="I100" s="8"/>
      <c r="J100" s="9"/>
      <c r="K100" s="10"/>
      <c r="L100" s="10"/>
      <c r="M100" s="11"/>
      <c r="N100" s="10"/>
      <c r="O100" s="42"/>
      <c r="P100" s="10"/>
    </row>
    <row r="101" spans="1:16" x14ac:dyDescent="0.25">
      <c r="A101" s="5"/>
      <c r="B101" s="22"/>
      <c r="C101" s="22"/>
      <c r="D101" s="23"/>
      <c r="E101" s="24"/>
      <c r="F101" s="6"/>
      <c r="G101" s="13"/>
      <c r="H101" s="7"/>
      <c r="I101" s="8"/>
      <c r="J101" s="9"/>
      <c r="K101" s="10"/>
      <c r="L101" s="10"/>
      <c r="M101" s="11"/>
      <c r="N101" s="10"/>
      <c r="O101" s="42"/>
      <c r="P101" s="10"/>
    </row>
    <row r="102" spans="1:16" x14ac:dyDescent="0.25">
      <c r="A102" s="5"/>
      <c r="B102" s="22"/>
      <c r="C102" s="22"/>
      <c r="D102" s="23"/>
      <c r="E102" s="24"/>
      <c r="F102" s="6"/>
      <c r="G102" s="13"/>
      <c r="H102" s="7"/>
      <c r="I102" s="8"/>
      <c r="J102" s="9"/>
      <c r="K102" s="10"/>
      <c r="L102" s="10"/>
      <c r="M102" s="11"/>
      <c r="N102" s="10"/>
      <c r="O102" s="42"/>
      <c r="P102" s="10"/>
    </row>
    <row r="103" spans="1:16" x14ac:dyDescent="0.25">
      <c r="A103" s="14"/>
      <c r="B103" s="22"/>
      <c r="C103" s="22"/>
      <c r="D103" s="23"/>
      <c r="E103" s="24"/>
      <c r="F103" s="6"/>
      <c r="G103" s="13"/>
      <c r="H103" s="7"/>
      <c r="I103" s="8"/>
      <c r="J103" s="9"/>
      <c r="K103" s="10"/>
      <c r="L103" s="10"/>
      <c r="M103" s="11"/>
      <c r="N103" s="10"/>
      <c r="O103" s="42"/>
      <c r="P103" s="10"/>
    </row>
    <row r="104" spans="1:16" x14ac:dyDescent="0.25">
      <c r="A104" s="5"/>
      <c r="B104" s="22"/>
      <c r="C104" s="22"/>
      <c r="D104" s="23"/>
      <c r="E104" s="24"/>
      <c r="F104" s="6"/>
      <c r="G104" s="13"/>
      <c r="H104" s="7"/>
      <c r="I104" s="8"/>
      <c r="J104" s="9"/>
      <c r="K104" s="10"/>
      <c r="L104" s="10"/>
      <c r="M104" s="11"/>
      <c r="N104" s="10"/>
      <c r="O104" s="42"/>
      <c r="P104" s="10"/>
    </row>
    <row r="105" spans="1:16" x14ac:dyDescent="0.25">
      <c r="A105" s="5"/>
      <c r="B105" s="22"/>
      <c r="C105" s="22"/>
      <c r="D105" s="23"/>
      <c r="E105" s="24"/>
      <c r="F105" s="6"/>
      <c r="G105" s="13"/>
      <c r="H105" s="7"/>
      <c r="I105" s="13"/>
      <c r="J105" s="9"/>
      <c r="K105" s="13"/>
      <c r="L105" s="10"/>
      <c r="M105" s="11"/>
      <c r="N105" s="10"/>
      <c r="O105" s="42"/>
      <c r="P105" s="10"/>
    </row>
    <row r="106" spans="1:16" x14ac:dyDescent="0.25">
      <c r="A106" s="5"/>
      <c r="B106" s="22"/>
      <c r="C106" s="22"/>
      <c r="D106" s="23"/>
      <c r="E106" s="24"/>
      <c r="F106" s="6"/>
      <c r="G106" s="13"/>
      <c r="H106" s="7"/>
      <c r="I106" s="8"/>
      <c r="J106" s="9"/>
      <c r="K106" s="10"/>
      <c r="L106" s="10"/>
      <c r="M106" s="11"/>
      <c r="N106" s="10"/>
      <c r="O106" s="42"/>
      <c r="P106" s="10"/>
    </row>
    <row r="107" spans="1:16" x14ac:dyDescent="0.25">
      <c r="A107" s="5"/>
      <c r="B107" s="22"/>
      <c r="C107" s="22"/>
      <c r="D107" s="23"/>
      <c r="E107" s="24"/>
      <c r="F107" s="6"/>
      <c r="G107" s="13"/>
      <c r="H107" s="7"/>
      <c r="I107" s="8"/>
      <c r="J107" s="9"/>
      <c r="K107" s="10"/>
      <c r="L107" s="10"/>
      <c r="M107" s="11"/>
      <c r="N107" s="10"/>
      <c r="O107" s="42"/>
      <c r="P107" s="10"/>
    </row>
    <row r="108" spans="1:16" x14ac:dyDescent="0.25">
      <c r="A108" s="5"/>
      <c r="B108" s="22"/>
      <c r="C108" s="22"/>
      <c r="D108" s="23"/>
      <c r="E108" s="24"/>
      <c r="F108" s="6"/>
      <c r="G108" s="13"/>
      <c r="H108" s="7"/>
      <c r="I108" s="8"/>
      <c r="J108" s="9"/>
      <c r="K108" s="10"/>
      <c r="L108" s="10"/>
      <c r="M108" s="11"/>
      <c r="N108" s="10"/>
      <c r="O108" s="42"/>
      <c r="P108" s="10"/>
    </row>
    <row r="109" spans="1:16" x14ac:dyDescent="0.25">
      <c r="A109" s="5"/>
      <c r="B109" s="22"/>
      <c r="C109" s="22"/>
      <c r="D109" s="23"/>
      <c r="E109" s="24"/>
      <c r="F109" s="6"/>
      <c r="G109" s="13"/>
      <c r="H109" s="7"/>
      <c r="I109" s="8"/>
      <c r="J109" s="9"/>
      <c r="K109" s="10"/>
      <c r="L109" s="10"/>
      <c r="M109" s="11"/>
      <c r="N109" s="10"/>
      <c r="O109" s="42"/>
      <c r="P109" s="10"/>
    </row>
    <row r="110" spans="1:16" x14ac:dyDescent="0.25">
      <c r="A110" s="5"/>
      <c r="B110" s="22"/>
      <c r="C110" s="22"/>
      <c r="D110" s="23"/>
      <c r="E110" s="24"/>
      <c r="F110" s="13"/>
      <c r="G110" s="13"/>
      <c r="H110" s="7"/>
      <c r="I110" s="8"/>
      <c r="J110" s="9"/>
      <c r="K110" s="10"/>
      <c r="L110" s="10"/>
      <c r="M110" s="11"/>
      <c r="N110" s="10"/>
      <c r="O110" s="42"/>
      <c r="P110" s="10"/>
    </row>
    <row r="111" spans="1:16" x14ac:dyDescent="0.25">
      <c r="A111" s="5"/>
      <c r="B111" s="22"/>
      <c r="C111" s="22"/>
      <c r="D111" s="23"/>
      <c r="E111" s="24"/>
      <c r="F111" s="13"/>
      <c r="G111" s="13"/>
      <c r="H111" s="7"/>
      <c r="I111" s="8"/>
      <c r="J111" s="9"/>
      <c r="K111" s="10"/>
      <c r="L111" s="10"/>
      <c r="M111" s="11"/>
      <c r="N111" s="10"/>
      <c r="O111" s="42"/>
      <c r="P111" s="10"/>
    </row>
    <row r="112" spans="1:16" x14ac:dyDescent="0.25">
      <c r="A112" s="5"/>
      <c r="B112" s="22"/>
      <c r="C112" s="22"/>
      <c r="D112" s="23"/>
      <c r="E112" s="24"/>
      <c r="F112" s="13"/>
      <c r="G112" s="13"/>
      <c r="H112" s="7"/>
      <c r="I112" s="8"/>
      <c r="J112" s="9"/>
      <c r="K112" s="10"/>
      <c r="L112" s="10"/>
      <c r="M112" s="11"/>
      <c r="N112" s="10"/>
      <c r="O112" s="42"/>
      <c r="P112" s="10"/>
    </row>
    <row r="113" spans="1:16" x14ac:dyDescent="0.25">
      <c r="A113" s="5"/>
      <c r="B113" s="22"/>
      <c r="C113" s="22"/>
      <c r="D113" s="23"/>
      <c r="E113" s="24"/>
      <c r="F113" s="6"/>
      <c r="G113" s="13"/>
      <c r="H113" s="7"/>
      <c r="I113" s="8"/>
      <c r="J113" s="9"/>
      <c r="K113" s="10"/>
      <c r="L113" s="10"/>
      <c r="M113" s="11"/>
      <c r="N113" s="10"/>
      <c r="O113" s="42"/>
      <c r="P113" s="10"/>
    </row>
    <row r="114" spans="1:16" x14ac:dyDescent="0.25">
      <c r="A114" s="5"/>
      <c r="B114" s="22"/>
      <c r="C114" s="22"/>
      <c r="D114" s="23"/>
      <c r="E114" s="24"/>
      <c r="F114" s="6"/>
      <c r="G114" s="13"/>
      <c r="H114" s="7"/>
      <c r="I114" s="8"/>
      <c r="J114" s="9"/>
      <c r="K114" s="10"/>
      <c r="L114" s="10"/>
      <c r="M114" s="11"/>
      <c r="N114" s="10"/>
      <c r="O114" s="42"/>
      <c r="P114" s="10"/>
    </row>
    <row r="115" spans="1:16" x14ac:dyDescent="0.25">
      <c r="A115" s="5"/>
      <c r="B115" s="22"/>
      <c r="C115" s="22"/>
      <c r="D115" s="23"/>
      <c r="E115" s="24"/>
      <c r="F115" s="13"/>
      <c r="G115" s="13"/>
      <c r="H115" s="7"/>
      <c r="I115" s="8"/>
      <c r="J115" s="9"/>
      <c r="K115" s="10"/>
      <c r="L115" s="10"/>
      <c r="M115" s="11"/>
      <c r="N115" s="10"/>
      <c r="O115" s="42"/>
      <c r="P115" s="10"/>
    </row>
    <row r="116" spans="1:16" x14ac:dyDescent="0.25">
      <c r="A116" s="5"/>
      <c r="B116" s="22"/>
      <c r="C116" s="22"/>
      <c r="D116" s="23"/>
      <c r="E116" s="24"/>
      <c r="F116" s="13"/>
      <c r="G116" s="13"/>
      <c r="H116" s="7"/>
      <c r="I116" s="8"/>
      <c r="J116" s="9"/>
      <c r="K116" s="10"/>
      <c r="L116" s="10"/>
      <c r="M116" s="11"/>
      <c r="N116" s="10"/>
      <c r="O116" s="42"/>
      <c r="P116" s="10"/>
    </row>
    <row r="117" spans="1:16" x14ac:dyDescent="0.25">
      <c r="A117" s="5"/>
      <c r="B117" s="22"/>
      <c r="C117" s="22"/>
      <c r="D117" s="23"/>
      <c r="E117" s="24"/>
      <c r="F117" s="13"/>
      <c r="G117" s="13"/>
      <c r="H117" s="7"/>
      <c r="I117" s="8"/>
      <c r="J117" s="9"/>
      <c r="K117" s="10"/>
      <c r="L117" s="10"/>
      <c r="M117" s="11"/>
      <c r="N117" s="10"/>
      <c r="O117" s="42"/>
      <c r="P117" s="10"/>
    </row>
    <row r="118" spans="1:16" x14ac:dyDescent="0.25">
      <c r="A118" s="5"/>
      <c r="B118" s="22"/>
      <c r="C118" s="22"/>
      <c r="D118" s="23"/>
      <c r="E118" s="24"/>
      <c r="F118" s="13"/>
      <c r="G118" s="13"/>
      <c r="H118" s="7"/>
      <c r="I118" s="8"/>
      <c r="J118" s="9"/>
      <c r="K118" s="10"/>
      <c r="L118" s="10"/>
      <c r="M118" s="11"/>
      <c r="N118" s="10"/>
      <c r="O118" s="42"/>
      <c r="P118" s="10"/>
    </row>
    <row r="119" spans="1:16" x14ac:dyDescent="0.25">
      <c r="A119" s="5"/>
      <c r="B119" s="22"/>
      <c r="C119" s="22"/>
      <c r="D119" s="23"/>
      <c r="E119" s="24"/>
      <c r="F119" s="13"/>
      <c r="G119" s="13"/>
      <c r="H119" s="7"/>
      <c r="I119" s="8"/>
      <c r="J119" s="9"/>
      <c r="K119" s="10"/>
      <c r="L119" s="10"/>
      <c r="M119" s="11"/>
      <c r="N119" s="10"/>
      <c r="O119" s="42"/>
      <c r="P119" s="10"/>
    </row>
    <row r="120" spans="1:16" x14ac:dyDescent="0.25">
      <c r="A120" s="5"/>
      <c r="B120" s="22"/>
      <c r="C120" s="22"/>
      <c r="D120" s="23"/>
      <c r="E120" s="24"/>
      <c r="F120" s="13"/>
      <c r="G120" s="13"/>
      <c r="H120" s="7"/>
      <c r="I120" s="8"/>
      <c r="J120" s="9"/>
      <c r="K120" s="10"/>
      <c r="L120" s="10"/>
      <c r="M120" s="11"/>
      <c r="N120" s="10"/>
      <c r="O120" s="42"/>
      <c r="P120" s="10"/>
    </row>
    <row r="121" spans="1:16" x14ac:dyDescent="0.25">
      <c r="A121" s="5"/>
      <c r="B121" s="22"/>
      <c r="C121" s="22"/>
      <c r="D121" s="23"/>
      <c r="E121" s="24"/>
      <c r="F121" s="13"/>
      <c r="G121" s="13"/>
      <c r="H121" s="7"/>
      <c r="I121" s="8"/>
      <c r="J121" s="9"/>
      <c r="K121" s="10"/>
      <c r="L121" s="10"/>
      <c r="M121" s="11"/>
      <c r="N121" s="10"/>
      <c r="O121" s="42"/>
      <c r="P121" s="10"/>
    </row>
    <row r="122" spans="1:16" x14ac:dyDescent="0.25">
      <c r="A122" s="5"/>
      <c r="B122" s="22"/>
      <c r="C122" s="22"/>
      <c r="D122" s="23"/>
      <c r="E122" s="24"/>
      <c r="F122" s="13"/>
      <c r="G122" s="13"/>
      <c r="H122" s="7"/>
      <c r="I122" s="8"/>
      <c r="J122" s="9"/>
      <c r="K122" s="10"/>
      <c r="L122" s="10"/>
      <c r="M122" s="11"/>
      <c r="N122" s="10"/>
      <c r="O122" s="42"/>
      <c r="P122" s="10"/>
    </row>
    <row r="123" spans="1:16" x14ac:dyDescent="0.25">
      <c r="A123" s="5"/>
      <c r="B123" s="22"/>
      <c r="C123" s="22"/>
      <c r="D123" s="23"/>
      <c r="E123" s="24"/>
      <c r="F123" s="13"/>
      <c r="G123" s="13"/>
      <c r="H123" s="7"/>
      <c r="I123" s="8"/>
      <c r="J123" s="9"/>
      <c r="K123" s="10"/>
      <c r="L123" s="10"/>
      <c r="M123" s="11"/>
      <c r="N123" s="10"/>
      <c r="O123" s="42"/>
      <c r="P123" s="10"/>
    </row>
    <row r="124" spans="1:16" x14ac:dyDescent="0.25">
      <c r="A124" s="5"/>
      <c r="B124" s="22"/>
      <c r="C124" s="22"/>
      <c r="D124" s="23"/>
      <c r="E124" s="24"/>
      <c r="F124" s="13"/>
      <c r="G124" s="13"/>
      <c r="H124" s="7"/>
      <c r="I124" s="8"/>
      <c r="J124" s="9"/>
      <c r="K124" s="10"/>
      <c r="L124" s="10"/>
      <c r="M124" s="11"/>
      <c r="N124" s="10"/>
      <c r="O124" s="42"/>
      <c r="P124" s="10"/>
    </row>
    <row r="125" spans="1:16" x14ac:dyDescent="0.25">
      <c r="A125" s="5"/>
      <c r="B125" s="22"/>
      <c r="C125" s="22"/>
      <c r="D125" s="23"/>
      <c r="E125" s="24"/>
      <c r="F125" s="13"/>
      <c r="G125" s="13"/>
      <c r="H125" s="7"/>
      <c r="I125" s="8"/>
      <c r="J125" s="9"/>
      <c r="K125" s="10"/>
      <c r="L125" s="10"/>
      <c r="M125" s="11"/>
      <c r="N125" s="10"/>
      <c r="O125" s="42"/>
      <c r="P125" s="10"/>
    </row>
    <row r="126" spans="1:16" x14ac:dyDescent="0.25">
      <c r="A126" s="5"/>
      <c r="B126" s="22"/>
      <c r="C126" s="22"/>
      <c r="D126" s="23"/>
      <c r="E126" s="24"/>
      <c r="F126" s="13"/>
      <c r="G126" s="13"/>
      <c r="H126" s="7"/>
      <c r="I126" s="8"/>
      <c r="J126" s="9"/>
      <c r="K126" s="10"/>
      <c r="L126" s="10"/>
      <c r="M126" s="11"/>
      <c r="N126" s="10"/>
      <c r="O126" s="42"/>
      <c r="P126" s="10"/>
    </row>
    <row r="127" spans="1:16" x14ac:dyDescent="0.25">
      <c r="A127" s="5"/>
      <c r="B127" s="22"/>
      <c r="C127" s="22"/>
      <c r="D127" s="23"/>
      <c r="E127" s="24"/>
      <c r="F127" s="6"/>
      <c r="G127" s="13"/>
      <c r="H127" s="7"/>
      <c r="I127" s="8"/>
      <c r="J127" s="9"/>
      <c r="K127" s="10"/>
      <c r="L127" s="10"/>
      <c r="M127" s="11"/>
      <c r="N127" s="10"/>
      <c r="O127" s="42"/>
      <c r="P127" s="10"/>
    </row>
    <row r="128" spans="1:16" x14ac:dyDescent="0.25">
      <c r="A128" s="5"/>
      <c r="B128" s="22"/>
      <c r="C128" s="22"/>
      <c r="D128" s="23"/>
      <c r="E128" s="24"/>
      <c r="F128" s="13"/>
      <c r="G128" s="13"/>
      <c r="H128" s="7"/>
      <c r="I128" s="8"/>
      <c r="J128" s="9"/>
      <c r="K128" s="10"/>
      <c r="L128" s="10"/>
      <c r="M128" s="11"/>
      <c r="N128" s="10"/>
      <c r="O128" s="42"/>
      <c r="P128" s="10"/>
    </row>
    <row r="129" spans="1:16" x14ac:dyDescent="0.25">
      <c r="A129" s="5"/>
      <c r="B129" s="22"/>
      <c r="C129" s="22"/>
      <c r="D129" s="23"/>
      <c r="E129" s="24"/>
      <c r="F129" s="13"/>
      <c r="G129" s="13"/>
      <c r="H129" s="7"/>
      <c r="I129" s="8"/>
      <c r="J129" s="9"/>
      <c r="K129" s="10"/>
      <c r="L129" s="10"/>
      <c r="M129" s="11"/>
      <c r="N129" s="10"/>
      <c r="O129" s="42"/>
      <c r="P129" s="10"/>
    </row>
    <row r="130" spans="1:16" x14ac:dyDescent="0.25">
      <c r="A130" s="5"/>
      <c r="B130" s="22"/>
      <c r="C130" s="22"/>
      <c r="D130" s="23"/>
      <c r="E130" s="24"/>
      <c r="F130" s="13"/>
      <c r="G130" s="13"/>
      <c r="H130" s="7"/>
      <c r="I130" s="8"/>
      <c r="J130" s="9"/>
      <c r="K130" s="10"/>
      <c r="L130" s="10"/>
      <c r="M130" s="11"/>
      <c r="N130" s="10"/>
      <c r="O130" s="42"/>
      <c r="P130" s="10"/>
    </row>
    <row r="131" spans="1:16" x14ac:dyDescent="0.25">
      <c r="A131" s="5"/>
      <c r="B131" s="22"/>
      <c r="C131" s="22"/>
      <c r="D131" s="23"/>
      <c r="E131" s="24"/>
      <c r="F131" s="13"/>
      <c r="G131" s="13"/>
      <c r="H131" s="7"/>
      <c r="I131" s="8"/>
      <c r="J131" s="9"/>
      <c r="K131" s="10"/>
      <c r="L131" s="10"/>
      <c r="M131" s="11"/>
      <c r="N131" s="10"/>
      <c r="O131" s="42"/>
      <c r="P131" s="10"/>
    </row>
    <row r="132" spans="1:16" x14ac:dyDescent="0.25">
      <c r="A132" s="5"/>
      <c r="B132" s="22"/>
      <c r="C132" s="22"/>
      <c r="D132" s="23"/>
      <c r="E132" s="24"/>
      <c r="F132" s="13"/>
      <c r="G132" s="13"/>
      <c r="H132" s="7"/>
      <c r="I132" s="8"/>
      <c r="J132" s="9"/>
      <c r="K132" s="10"/>
      <c r="L132" s="10"/>
      <c r="M132" s="11"/>
      <c r="N132" s="10"/>
      <c r="O132" s="42"/>
      <c r="P132" s="10"/>
    </row>
    <row r="133" spans="1:16" x14ac:dyDescent="0.25">
      <c r="A133" s="5"/>
      <c r="B133" s="22"/>
      <c r="C133" s="22"/>
      <c r="D133" s="23"/>
      <c r="E133" s="24"/>
      <c r="F133" s="13"/>
      <c r="G133" s="13"/>
      <c r="H133" s="7"/>
      <c r="I133" s="8"/>
      <c r="J133" s="9"/>
      <c r="K133" s="10"/>
      <c r="L133" s="10"/>
      <c r="M133" s="11"/>
      <c r="N133" s="10"/>
      <c r="O133" s="42"/>
      <c r="P133" s="10"/>
    </row>
    <row r="134" spans="1:16" x14ac:dyDescent="0.25">
      <c r="A134" s="5"/>
      <c r="B134" s="22"/>
      <c r="C134" s="22"/>
      <c r="D134" s="23"/>
      <c r="E134" s="24"/>
      <c r="F134" s="13"/>
      <c r="G134" s="13"/>
      <c r="H134" s="7"/>
      <c r="I134" s="8"/>
      <c r="J134" s="9"/>
      <c r="K134" s="10"/>
      <c r="L134" s="10"/>
      <c r="M134" s="11"/>
      <c r="N134" s="10"/>
      <c r="O134" s="42"/>
      <c r="P134" s="10"/>
    </row>
    <row r="135" spans="1:16" x14ac:dyDescent="0.25">
      <c r="A135" s="5"/>
      <c r="B135" s="22"/>
      <c r="C135" s="22"/>
      <c r="D135" s="23"/>
      <c r="E135" s="24"/>
      <c r="F135" s="13"/>
      <c r="G135" s="13"/>
      <c r="H135" s="7"/>
      <c r="I135" s="8"/>
      <c r="J135" s="9"/>
      <c r="K135" s="10"/>
      <c r="L135" s="10"/>
      <c r="M135" s="11"/>
      <c r="N135" s="10"/>
      <c r="O135" s="42"/>
      <c r="P135" s="10"/>
    </row>
    <row r="136" spans="1:16" x14ac:dyDescent="0.25">
      <c r="A136" s="5"/>
      <c r="B136" s="22"/>
      <c r="C136" s="22"/>
      <c r="D136" s="23"/>
      <c r="E136" s="24"/>
      <c r="F136" s="13"/>
      <c r="G136" s="13"/>
      <c r="H136" s="7"/>
      <c r="I136" s="8"/>
      <c r="J136" s="9"/>
      <c r="K136" s="10"/>
      <c r="L136" s="10"/>
      <c r="M136" s="11"/>
      <c r="N136" s="10"/>
      <c r="O136" s="42"/>
      <c r="P136" s="10"/>
    </row>
    <row r="137" spans="1:16" x14ac:dyDescent="0.25">
      <c r="A137" s="5"/>
      <c r="B137" s="22"/>
      <c r="C137" s="22"/>
      <c r="D137" s="23"/>
      <c r="E137" s="24"/>
      <c r="F137" s="13"/>
      <c r="G137" s="13"/>
      <c r="H137" s="7"/>
      <c r="I137" s="8"/>
      <c r="J137" s="9"/>
      <c r="K137" s="10"/>
      <c r="L137" s="10"/>
      <c r="M137" s="11"/>
      <c r="N137" s="10"/>
      <c r="O137" s="42"/>
      <c r="P137" s="10"/>
    </row>
    <row r="138" spans="1:16" x14ac:dyDescent="0.25">
      <c r="A138" s="5"/>
      <c r="B138" s="22"/>
      <c r="C138" s="22"/>
      <c r="D138" s="23"/>
      <c r="E138" s="24"/>
      <c r="F138" s="13"/>
      <c r="G138" s="13"/>
      <c r="H138" s="7"/>
      <c r="I138" s="8"/>
      <c r="J138" s="9"/>
      <c r="K138" s="10"/>
      <c r="L138" s="10"/>
      <c r="M138" s="11"/>
      <c r="N138" s="10"/>
      <c r="O138" s="42"/>
      <c r="P138" s="10"/>
    </row>
    <row r="139" spans="1:16" x14ac:dyDescent="0.25">
      <c r="A139" s="5"/>
      <c r="B139" s="22"/>
      <c r="C139" s="22"/>
      <c r="D139" s="23"/>
      <c r="E139" s="24"/>
      <c r="F139" s="13"/>
      <c r="G139" s="13"/>
      <c r="H139" s="7"/>
      <c r="I139" s="8"/>
      <c r="J139" s="9"/>
      <c r="K139" s="10"/>
      <c r="L139" s="10"/>
      <c r="M139" s="11"/>
      <c r="N139" s="10"/>
      <c r="O139" s="42"/>
      <c r="P139" s="10"/>
    </row>
    <row r="140" spans="1:16" x14ac:dyDescent="0.25">
      <c r="A140" s="5"/>
      <c r="B140" s="22"/>
      <c r="C140" s="22"/>
      <c r="D140" s="23"/>
      <c r="E140" s="24"/>
      <c r="F140" s="13"/>
      <c r="G140" s="13"/>
      <c r="H140" s="7"/>
      <c r="I140" s="8"/>
      <c r="J140" s="9"/>
      <c r="K140" s="10"/>
      <c r="L140" s="10"/>
      <c r="M140" s="11"/>
      <c r="N140" s="10"/>
      <c r="O140" s="42"/>
      <c r="P140" s="10"/>
    </row>
    <row r="141" spans="1:16" x14ac:dyDescent="0.25">
      <c r="A141" s="5"/>
      <c r="B141" s="22"/>
      <c r="C141" s="22"/>
      <c r="D141" s="23"/>
      <c r="E141" s="24"/>
      <c r="F141" s="13"/>
      <c r="G141" s="13"/>
      <c r="H141" s="7"/>
      <c r="I141" s="8"/>
      <c r="J141" s="9"/>
      <c r="K141" s="10"/>
      <c r="L141" s="10"/>
      <c r="M141" s="11"/>
      <c r="N141" s="10"/>
      <c r="O141" s="42"/>
      <c r="P141" s="10"/>
    </row>
    <row r="142" spans="1:16" x14ac:dyDescent="0.25">
      <c r="A142" s="5"/>
      <c r="B142" s="22"/>
      <c r="C142" s="22"/>
      <c r="D142" s="23"/>
      <c r="E142" s="24"/>
      <c r="F142" s="13"/>
      <c r="G142" s="13"/>
      <c r="H142" s="7"/>
      <c r="I142" s="8"/>
      <c r="J142" s="9"/>
      <c r="K142" s="10"/>
      <c r="L142" s="10"/>
      <c r="M142" s="11"/>
      <c r="N142" s="10"/>
      <c r="O142" s="42"/>
      <c r="P142" s="10"/>
    </row>
    <row r="143" spans="1:16" x14ac:dyDescent="0.25">
      <c r="A143" s="5"/>
      <c r="B143" s="22"/>
      <c r="C143" s="22"/>
      <c r="D143" s="23"/>
      <c r="E143" s="24"/>
      <c r="F143" s="13"/>
      <c r="G143" s="13"/>
      <c r="H143" s="7"/>
      <c r="I143" s="8"/>
      <c r="J143" s="9"/>
      <c r="K143" s="10"/>
      <c r="L143" s="10"/>
      <c r="M143" s="11"/>
      <c r="N143" s="10"/>
      <c r="O143" s="42"/>
      <c r="P143" s="10"/>
    </row>
    <row r="144" spans="1:16" x14ac:dyDescent="0.25">
      <c r="A144" s="5"/>
      <c r="B144" s="22"/>
      <c r="C144" s="22"/>
      <c r="D144" s="23"/>
      <c r="E144" s="24"/>
      <c r="F144" s="13"/>
      <c r="G144" s="13"/>
      <c r="H144" s="7"/>
      <c r="I144" s="8"/>
      <c r="J144" s="9"/>
      <c r="K144" s="10"/>
      <c r="L144" s="10"/>
      <c r="M144" s="11"/>
      <c r="N144" s="10"/>
      <c r="O144" s="42"/>
      <c r="P144" s="10"/>
    </row>
    <row r="145" spans="1:16" x14ac:dyDescent="0.25">
      <c r="A145" s="5"/>
      <c r="B145" s="22"/>
      <c r="C145" s="22"/>
      <c r="D145" s="23"/>
      <c r="E145" s="24"/>
      <c r="F145" s="13"/>
      <c r="G145" s="13"/>
      <c r="H145" s="7"/>
      <c r="I145" s="8"/>
      <c r="J145" s="9"/>
      <c r="K145" s="10"/>
      <c r="L145" s="10"/>
      <c r="M145" s="11"/>
      <c r="N145" s="10"/>
      <c r="O145" s="42"/>
      <c r="P145" s="10"/>
    </row>
    <row r="146" spans="1:16" x14ac:dyDescent="0.25">
      <c r="A146" s="5"/>
      <c r="B146" s="22"/>
      <c r="C146" s="22"/>
      <c r="D146" s="23"/>
      <c r="E146" s="24"/>
      <c r="F146" s="13"/>
      <c r="G146" s="13"/>
      <c r="H146" s="7"/>
      <c r="I146" s="8"/>
      <c r="J146" s="9"/>
      <c r="K146" s="10"/>
      <c r="L146" s="10"/>
      <c r="M146" s="11"/>
      <c r="N146" s="10"/>
      <c r="O146" s="42"/>
      <c r="P146" s="10"/>
    </row>
    <row r="147" spans="1:16" x14ac:dyDescent="0.25">
      <c r="A147" s="5"/>
      <c r="B147" s="22"/>
      <c r="C147" s="22"/>
      <c r="D147" s="23"/>
      <c r="E147" s="24"/>
      <c r="F147" s="13"/>
      <c r="G147" s="13"/>
      <c r="H147" s="7"/>
      <c r="I147" s="8"/>
      <c r="J147" s="9"/>
      <c r="K147" s="10"/>
      <c r="L147" s="10"/>
      <c r="M147" s="11"/>
      <c r="N147" s="10"/>
      <c r="O147" s="42"/>
      <c r="P147" s="10"/>
    </row>
    <row r="148" spans="1:16" x14ac:dyDescent="0.25">
      <c r="A148" s="5"/>
      <c r="B148" s="22"/>
      <c r="C148" s="22"/>
      <c r="D148" s="23"/>
      <c r="E148" s="24"/>
      <c r="F148" s="13"/>
      <c r="G148" s="13"/>
      <c r="H148" s="7"/>
      <c r="I148" s="8"/>
      <c r="J148" s="9"/>
      <c r="K148" s="10"/>
      <c r="L148" s="10"/>
      <c r="M148" s="11"/>
      <c r="N148" s="10"/>
      <c r="O148" s="42"/>
      <c r="P148" s="10"/>
    </row>
    <row r="149" spans="1:16" x14ac:dyDescent="0.25">
      <c r="A149" s="5"/>
      <c r="B149" s="22"/>
      <c r="C149" s="22"/>
      <c r="D149" s="23"/>
      <c r="E149" s="24"/>
      <c r="F149" s="13"/>
      <c r="G149" s="13"/>
      <c r="H149" s="7"/>
      <c r="I149" s="8"/>
      <c r="J149" s="9"/>
      <c r="K149" s="10"/>
      <c r="L149" s="10"/>
      <c r="M149" s="11"/>
      <c r="N149" s="10"/>
      <c r="O149" s="42"/>
      <c r="P149" s="10"/>
    </row>
    <row r="150" spans="1:16" x14ac:dyDescent="0.25">
      <c r="A150" s="5"/>
      <c r="B150" s="22"/>
      <c r="C150" s="22"/>
      <c r="D150" s="23"/>
      <c r="E150" s="24"/>
      <c r="F150" s="13"/>
      <c r="G150" s="13"/>
      <c r="H150" s="7"/>
      <c r="I150" s="8"/>
      <c r="J150" s="9"/>
      <c r="K150" s="10"/>
      <c r="L150" s="10"/>
      <c r="M150" s="11"/>
      <c r="N150" s="10"/>
      <c r="O150" s="42"/>
      <c r="P150" s="10"/>
    </row>
    <row r="151" spans="1:16" x14ac:dyDescent="0.25">
      <c r="A151" s="5"/>
      <c r="B151" s="22"/>
      <c r="C151" s="22"/>
      <c r="D151" s="23"/>
      <c r="E151" s="24"/>
      <c r="F151" s="13"/>
      <c r="G151" s="13"/>
      <c r="H151" s="7"/>
      <c r="I151" s="8"/>
      <c r="J151" s="9"/>
      <c r="K151" s="10"/>
      <c r="L151" s="10"/>
      <c r="M151" s="11"/>
      <c r="N151" s="10"/>
      <c r="O151" s="42"/>
      <c r="P151" s="10"/>
    </row>
    <row r="152" spans="1:16" x14ac:dyDescent="0.25">
      <c r="A152" s="5"/>
      <c r="B152" s="22"/>
      <c r="C152" s="22"/>
      <c r="D152" s="23"/>
      <c r="E152" s="24"/>
      <c r="F152" s="13"/>
      <c r="G152" s="13"/>
      <c r="H152" s="7"/>
      <c r="I152" s="8"/>
      <c r="J152" s="9"/>
      <c r="K152" s="17"/>
      <c r="L152" s="10"/>
      <c r="M152" s="11"/>
      <c r="N152" s="10"/>
      <c r="O152" s="42"/>
      <c r="P152" s="10"/>
    </row>
    <row r="153" spans="1:16" x14ac:dyDescent="0.25">
      <c r="A153" s="5"/>
      <c r="B153" s="22"/>
      <c r="C153" s="22"/>
      <c r="D153" s="23"/>
      <c r="E153" s="24"/>
      <c r="F153" s="13"/>
      <c r="G153" s="13"/>
      <c r="H153" s="7"/>
      <c r="I153" s="8"/>
      <c r="J153" s="9"/>
      <c r="K153" s="10"/>
      <c r="L153" s="10"/>
      <c r="M153" s="11"/>
      <c r="N153" s="10"/>
      <c r="O153" s="42"/>
      <c r="P153" s="10"/>
    </row>
    <row r="154" spans="1:16" x14ac:dyDescent="0.25">
      <c r="A154" s="5"/>
      <c r="B154" s="22"/>
      <c r="C154" s="22"/>
      <c r="D154" s="23"/>
      <c r="E154" s="24"/>
      <c r="F154" s="13"/>
      <c r="G154" s="13"/>
      <c r="H154" s="7"/>
      <c r="I154" s="8"/>
      <c r="J154" s="9"/>
      <c r="K154" s="10"/>
      <c r="L154" s="10"/>
      <c r="M154" s="11"/>
      <c r="N154" s="10"/>
      <c r="O154" s="42"/>
      <c r="P154" s="10"/>
    </row>
    <row r="155" spans="1:16" x14ac:dyDescent="0.25">
      <c r="A155" s="5"/>
      <c r="B155" s="22"/>
      <c r="C155" s="22"/>
      <c r="D155" s="23"/>
      <c r="E155" s="24"/>
      <c r="F155" s="13"/>
      <c r="G155" s="13"/>
      <c r="H155" s="7"/>
      <c r="I155" s="8"/>
      <c r="J155" s="9"/>
      <c r="K155" s="10"/>
      <c r="L155" s="10"/>
      <c r="M155" s="11"/>
      <c r="N155" s="10"/>
      <c r="O155" s="42"/>
      <c r="P155" s="10"/>
    </row>
    <row r="156" spans="1:16" x14ac:dyDescent="0.25">
      <c r="A156" s="5"/>
      <c r="B156" s="22"/>
      <c r="C156" s="22"/>
      <c r="D156" s="23"/>
      <c r="E156" s="24"/>
      <c r="F156" s="13"/>
      <c r="G156" s="13"/>
      <c r="H156" s="7"/>
      <c r="I156" s="8"/>
      <c r="J156" s="9"/>
      <c r="K156" s="10"/>
      <c r="L156" s="10"/>
      <c r="M156" s="11"/>
      <c r="N156" s="10"/>
      <c r="O156" s="42"/>
      <c r="P156" s="10"/>
    </row>
    <row r="157" spans="1:16" x14ac:dyDescent="0.25">
      <c r="A157" s="5"/>
      <c r="B157" s="22"/>
      <c r="C157" s="22"/>
      <c r="D157" s="23"/>
      <c r="E157" s="24"/>
      <c r="F157" s="13"/>
      <c r="G157" s="13"/>
      <c r="H157" s="7"/>
      <c r="I157" s="8"/>
      <c r="J157" s="9"/>
      <c r="K157" s="10"/>
      <c r="L157" s="10"/>
      <c r="M157" s="11"/>
      <c r="N157" s="10"/>
      <c r="O157" s="42"/>
      <c r="P157" s="10"/>
    </row>
    <row r="158" spans="1:16" x14ac:dyDescent="0.25">
      <c r="A158" s="5"/>
      <c r="B158" s="22"/>
      <c r="C158" s="22"/>
      <c r="D158" s="23"/>
      <c r="E158" s="24"/>
      <c r="F158" s="13"/>
      <c r="G158" s="13"/>
      <c r="H158" s="7"/>
      <c r="I158" s="8"/>
      <c r="J158" s="9"/>
      <c r="K158" s="10"/>
      <c r="L158" s="10"/>
      <c r="M158" s="11"/>
      <c r="N158" s="10"/>
      <c r="O158" s="42"/>
      <c r="P158" s="10"/>
    </row>
    <row r="159" spans="1:16" x14ac:dyDescent="0.25">
      <c r="A159" s="5"/>
      <c r="B159" s="22"/>
      <c r="C159" s="22"/>
      <c r="D159" s="23"/>
      <c r="E159" s="24"/>
      <c r="F159" s="13"/>
      <c r="G159" s="13"/>
      <c r="H159" s="7"/>
      <c r="I159" s="8"/>
      <c r="J159" s="9"/>
      <c r="K159" s="10"/>
      <c r="L159" s="10"/>
      <c r="M159" s="11"/>
      <c r="N159" s="10"/>
      <c r="O159" s="42"/>
      <c r="P159" s="10"/>
    </row>
    <row r="160" spans="1:16" x14ac:dyDescent="0.25">
      <c r="A160" s="5"/>
      <c r="B160" s="22"/>
      <c r="C160" s="22"/>
      <c r="D160" s="23"/>
      <c r="E160" s="24"/>
      <c r="F160" s="13"/>
      <c r="G160" s="13"/>
      <c r="H160" s="7"/>
      <c r="I160" s="8"/>
      <c r="J160" s="9"/>
      <c r="K160" s="10"/>
      <c r="L160" s="10"/>
      <c r="M160" s="11"/>
      <c r="N160" s="10"/>
      <c r="O160" s="42"/>
      <c r="P160" s="10"/>
    </row>
    <row r="161" spans="1:16" x14ac:dyDescent="0.25">
      <c r="A161" s="5"/>
      <c r="B161" s="22"/>
      <c r="C161" s="22"/>
      <c r="D161" s="23"/>
      <c r="E161" s="24"/>
      <c r="F161" s="13"/>
      <c r="G161" s="13"/>
      <c r="H161" s="7"/>
      <c r="I161" s="8"/>
      <c r="J161" s="9"/>
      <c r="K161" s="10"/>
      <c r="L161" s="10"/>
      <c r="M161" s="11"/>
      <c r="N161" s="10"/>
      <c r="O161" s="42"/>
      <c r="P161" s="10"/>
    </row>
    <row r="162" spans="1:16" x14ac:dyDescent="0.25">
      <c r="A162" s="5"/>
      <c r="B162" s="22"/>
      <c r="C162" s="22"/>
      <c r="D162" s="23"/>
      <c r="E162" s="24"/>
      <c r="F162" s="13"/>
      <c r="G162" s="13"/>
      <c r="H162" s="7"/>
      <c r="I162" s="8"/>
      <c r="J162" s="9"/>
      <c r="K162" s="10"/>
      <c r="L162" s="10"/>
      <c r="M162" s="11"/>
      <c r="N162" s="10"/>
      <c r="O162" s="42"/>
      <c r="P162" s="10"/>
    </row>
    <row r="163" spans="1:16" x14ac:dyDescent="0.25">
      <c r="A163" s="16"/>
      <c r="B163" s="22"/>
      <c r="C163" s="22"/>
      <c r="D163" s="23"/>
      <c r="E163" s="24"/>
      <c r="F163" s="13"/>
      <c r="G163" s="13"/>
      <c r="H163" s="7"/>
      <c r="I163" s="8"/>
      <c r="J163" s="9"/>
      <c r="K163" s="10"/>
      <c r="L163" s="10"/>
      <c r="M163" s="11"/>
      <c r="N163" s="10"/>
      <c r="O163" s="42"/>
      <c r="P163" s="10"/>
    </row>
    <row r="164" spans="1:16" x14ac:dyDescent="0.25">
      <c r="A164" s="16"/>
      <c r="B164" s="22"/>
      <c r="C164" s="22"/>
      <c r="D164" s="23"/>
      <c r="E164" s="24"/>
      <c r="F164" s="13"/>
      <c r="G164" s="13"/>
      <c r="H164" s="7"/>
      <c r="I164" s="8"/>
      <c r="J164" s="9"/>
      <c r="K164" s="10"/>
      <c r="L164" s="10"/>
      <c r="M164" s="11"/>
      <c r="N164" s="10"/>
      <c r="O164" s="42"/>
      <c r="P164" s="10"/>
    </row>
    <row r="165" spans="1:16" x14ac:dyDescent="0.25">
      <c r="A165" s="16"/>
      <c r="B165" s="22"/>
      <c r="C165" s="22"/>
      <c r="D165" s="23"/>
      <c r="E165" s="24"/>
      <c r="F165" s="13"/>
      <c r="G165" s="13"/>
      <c r="H165" s="7"/>
      <c r="I165" s="8"/>
      <c r="J165" s="9"/>
      <c r="K165" s="10"/>
      <c r="L165" s="10"/>
      <c r="M165" s="11"/>
      <c r="N165" s="10"/>
      <c r="O165" s="42"/>
      <c r="P165" s="10"/>
    </row>
    <row r="166" spans="1:16" x14ac:dyDescent="0.25">
      <c r="A166" s="16"/>
      <c r="B166" s="22"/>
      <c r="C166" s="22"/>
      <c r="D166" s="23"/>
      <c r="E166" s="24"/>
      <c r="F166" s="13"/>
      <c r="G166" s="13"/>
      <c r="H166" s="7"/>
      <c r="I166" s="8"/>
      <c r="J166" s="9"/>
      <c r="K166" s="10"/>
      <c r="L166" s="10"/>
      <c r="M166" s="11"/>
      <c r="N166" s="10"/>
      <c r="O166" s="42"/>
      <c r="P166" s="10"/>
    </row>
    <row r="167" spans="1:16" x14ac:dyDescent="0.25">
      <c r="A167" s="16"/>
      <c r="B167" s="22"/>
      <c r="C167" s="22"/>
      <c r="D167" s="23"/>
      <c r="E167" s="24"/>
      <c r="F167" s="13"/>
      <c r="G167" s="13"/>
      <c r="H167" s="7"/>
      <c r="I167" s="8"/>
      <c r="J167" s="9"/>
      <c r="K167" s="10"/>
      <c r="L167" s="10"/>
      <c r="M167" s="11"/>
      <c r="N167" s="10"/>
      <c r="O167" s="42"/>
      <c r="P167" s="10"/>
    </row>
    <row r="168" spans="1:16" x14ac:dyDescent="0.25">
      <c r="A168" s="5"/>
      <c r="B168" s="22"/>
      <c r="C168" s="22"/>
      <c r="D168" s="23"/>
      <c r="E168" s="24"/>
      <c r="F168" s="13"/>
      <c r="G168" s="13"/>
      <c r="H168" s="7"/>
      <c r="I168" s="8"/>
      <c r="J168" s="9"/>
      <c r="K168" s="10"/>
      <c r="L168" s="10"/>
      <c r="M168" s="11"/>
      <c r="N168" s="10"/>
      <c r="O168" s="42"/>
      <c r="P168" s="10"/>
    </row>
    <row r="169" spans="1:16" x14ac:dyDescent="0.25">
      <c r="A169" s="5"/>
      <c r="B169" s="22"/>
      <c r="C169" s="22"/>
      <c r="D169" s="23"/>
      <c r="E169" s="24"/>
      <c r="F169" s="13"/>
      <c r="G169" s="13"/>
      <c r="H169" s="7"/>
      <c r="I169" s="8"/>
      <c r="J169" s="9"/>
      <c r="K169" s="10"/>
      <c r="L169" s="10"/>
      <c r="M169" s="11"/>
      <c r="N169" s="10"/>
      <c r="O169" s="42"/>
      <c r="P169" s="10"/>
    </row>
    <row r="170" spans="1:16" x14ac:dyDescent="0.25">
      <c r="A170" s="5"/>
      <c r="B170" s="22"/>
      <c r="C170" s="22"/>
      <c r="D170" s="23"/>
      <c r="E170" s="24"/>
      <c r="F170" s="13"/>
      <c r="G170" s="13"/>
      <c r="H170" s="7"/>
      <c r="I170" s="8"/>
      <c r="J170" s="9"/>
      <c r="K170" s="10"/>
      <c r="L170" s="10"/>
      <c r="M170" s="11"/>
      <c r="N170" s="10"/>
      <c r="O170" s="42"/>
      <c r="P170" s="10"/>
    </row>
    <row r="171" spans="1:16" x14ac:dyDescent="0.25">
      <c r="A171" s="5"/>
      <c r="B171" s="22"/>
      <c r="C171" s="22"/>
      <c r="D171" s="23"/>
      <c r="E171" s="24"/>
      <c r="F171" s="13"/>
      <c r="G171" s="13"/>
      <c r="H171" s="7"/>
      <c r="I171" s="8"/>
      <c r="J171" s="9"/>
      <c r="K171" s="10"/>
      <c r="L171" s="10"/>
      <c r="M171" s="11"/>
      <c r="N171" s="10"/>
      <c r="O171" s="42"/>
      <c r="P171" s="10"/>
    </row>
    <row r="172" spans="1:16" x14ac:dyDescent="0.25">
      <c r="A172" s="5"/>
      <c r="B172" s="22"/>
      <c r="C172" s="22"/>
      <c r="D172" s="23"/>
      <c r="E172" s="24"/>
      <c r="F172" s="13"/>
      <c r="G172" s="13"/>
      <c r="H172" s="7"/>
      <c r="I172" s="8"/>
      <c r="J172" s="9"/>
      <c r="K172" s="10"/>
      <c r="L172" s="10"/>
      <c r="M172" s="11"/>
      <c r="N172" s="10"/>
      <c r="O172" s="42"/>
      <c r="P172" s="10"/>
    </row>
    <row r="173" spans="1:16" x14ac:dyDescent="0.25">
      <c r="A173" s="5"/>
      <c r="B173" s="22"/>
      <c r="C173" s="22"/>
      <c r="D173" s="23"/>
      <c r="E173" s="24"/>
      <c r="F173" s="13"/>
      <c r="G173" s="13"/>
      <c r="H173" s="7"/>
      <c r="I173" s="8"/>
      <c r="J173" s="9"/>
      <c r="K173" s="10"/>
      <c r="L173" s="10"/>
      <c r="M173" s="11"/>
      <c r="N173" s="10"/>
      <c r="O173" s="42"/>
      <c r="P173" s="10"/>
    </row>
    <row r="174" spans="1:16" x14ac:dyDescent="0.25">
      <c r="A174" s="5"/>
      <c r="B174" s="22"/>
      <c r="C174" s="22"/>
      <c r="D174" s="23"/>
      <c r="E174" s="24"/>
      <c r="F174" s="13"/>
      <c r="G174" s="13"/>
      <c r="H174" s="7"/>
      <c r="I174" s="8"/>
      <c r="J174" s="9"/>
      <c r="K174" s="10"/>
      <c r="L174" s="10"/>
      <c r="M174" s="11"/>
      <c r="N174" s="10"/>
      <c r="O174" s="42"/>
      <c r="P174" s="10"/>
    </row>
    <row r="175" spans="1:16" x14ac:dyDescent="0.25">
      <c r="A175" s="5"/>
      <c r="B175" s="22"/>
      <c r="C175" s="22"/>
      <c r="D175" s="23"/>
      <c r="E175" s="24"/>
      <c r="F175" s="13"/>
      <c r="G175" s="13"/>
      <c r="H175" s="7"/>
      <c r="I175" s="8"/>
      <c r="J175" s="9"/>
      <c r="K175" s="10"/>
      <c r="L175" s="10"/>
      <c r="M175" s="11"/>
      <c r="N175" s="10"/>
      <c r="O175" s="42"/>
      <c r="P175" s="10"/>
    </row>
    <row r="176" spans="1:16" x14ac:dyDescent="0.25">
      <c r="A176" s="5"/>
      <c r="B176" s="22"/>
      <c r="C176" s="22"/>
      <c r="D176" s="23"/>
      <c r="E176" s="24"/>
      <c r="F176" s="13"/>
      <c r="G176" s="13"/>
      <c r="H176" s="7"/>
      <c r="I176" s="8"/>
      <c r="J176" s="9"/>
      <c r="K176" s="10"/>
      <c r="L176" s="10"/>
      <c r="M176" s="11"/>
      <c r="N176" s="10"/>
      <c r="O176" s="42"/>
      <c r="P176" s="10"/>
    </row>
    <row r="177" spans="1:16" x14ac:dyDescent="0.25">
      <c r="A177" s="5"/>
      <c r="B177" s="22"/>
      <c r="C177" s="22"/>
      <c r="D177" s="23"/>
      <c r="E177" s="24"/>
      <c r="F177" s="13"/>
      <c r="G177" s="13"/>
      <c r="H177" s="7"/>
      <c r="I177" s="8"/>
      <c r="J177" s="9"/>
      <c r="K177" s="10"/>
      <c r="L177" s="10"/>
      <c r="M177" s="11"/>
      <c r="N177" s="10"/>
      <c r="O177" s="42"/>
      <c r="P177" s="10"/>
    </row>
    <row r="178" spans="1:16" x14ac:dyDescent="0.25">
      <c r="A178" s="5"/>
      <c r="B178" s="22"/>
      <c r="C178" s="22"/>
      <c r="D178" s="23"/>
      <c r="E178" s="24"/>
      <c r="F178" s="13"/>
      <c r="G178" s="13"/>
      <c r="H178" s="7"/>
      <c r="I178" s="8"/>
      <c r="J178" s="9"/>
      <c r="K178" s="10"/>
      <c r="L178" s="10"/>
      <c r="M178" s="11"/>
      <c r="N178" s="10"/>
      <c r="O178" s="42"/>
      <c r="P178" s="10"/>
    </row>
    <row r="179" spans="1:16" x14ac:dyDescent="0.25">
      <c r="A179" s="5"/>
      <c r="B179" s="22"/>
      <c r="C179" s="22"/>
      <c r="D179" s="23"/>
      <c r="E179" s="24"/>
      <c r="F179" s="13"/>
      <c r="G179" s="13"/>
      <c r="H179" s="7"/>
      <c r="I179" s="8"/>
      <c r="J179" s="9"/>
      <c r="K179" s="10"/>
      <c r="L179" s="10"/>
      <c r="M179" s="11"/>
      <c r="N179" s="10"/>
      <c r="O179" s="42"/>
      <c r="P179" s="10"/>
    </row>
    <row r="180" spans="1:16" x14ac:dyDescent="0.25">
      <c r="A180" s="5"/>
      <c r="B180" s="22"/>
      <c r="C180" s="22"/>
      <c r="D180" s="23"/>
      <c r="E180" s="24"/>
      <c r="F180" s="13"/>
      <c r="G180" s="13"/>
      <c r="H180" s="7"/>
      <c r="I180" s="8"/>
      <c r="J180" s="9"/>
      <c r="K180" s="10"/>
      <c r="L180" s="10"/>
      <c r="M180" s="11"/>
      <c r="N180" s="10"/>
      <c r="O180" s="42"/>
      <c r="P180" s="10"/>
    </row>
    <row r="181" spans="1:16" x14ac:dyDescent="0.25">
      <c r="A181" s="5"/>
      <c r="B181" s="22"/>
      <c r="C181" s="22"/>
      <c r="D181" s="23"/>
      <c r="E181" s="24"/>
      <c r="F181" s="13"/>
      <c r="G181" s="13"/>
      <c r="H181" s="7"/>
      <c r="I181" s="8"/>
      <c r="J181" s="9"/>
      <c r="K181" s="10"/>
      <c r="L181" s="10"/>
      <c r="M181" s="11"/>
      <c r="N181" s="10"/>
      <c r="O181" s="42"/>
      <c r="P181" s="10"/>
    </row>
    <row r="182" spans="1:16" x14ac:dyDescent="0.25">
      <c r="A182" s="5"/>
      <c r="B182" s="22"/>
      <c r="C182" s="22"/>
      <c r="D182" s="23"/>
      <c r="E182" s="24"/>
      <c r="F182" s="13"/>
      <c r="G182" s="13"/>
      <c r="H182" s="7"/>
      <c r="I182" s="8"/>
      <c r="J182" s="9"/>
      <c r="K182" s="10"/>
      <c r="L182" s="10"/>
      <c r="M182" s="11"/>
      <c r="N182" s="10"/>
      <c r="O182" s="42"/>
      <c r="P182" s="10"/>
    </row>
    <row r="183" spans="1:16" x14ac:dyDescent="0.25">
      <c r="A183" s="5"/>
      <c r="B183" s="22"/>
      <c r="C183" s="22"/>
      <c r="D183" s="23"/>
      <c r="E183" s="24"/>
      <c r="F183" s="13"/>
      <c r="G183" s="13"/>
      <c r="H183" s="7"/>
      <c r="I183" s="8"/>
      <c r="J183" s="9"/>
      <c r="K183" s="10"/>
      <c r="L183" s="10"/>
      <c r="M183" s="11"/>
      <c r="N183" s="10"/>
      <c r="O183" s="42"/>
      <c r="P183" s="10"/>
    </row>
    <row r="184" spans="1:16" x14ac:dyDescent="0.25">
      <c r="A184" s="5"/>
      <c r="B184" s="22"/>
      <c r="C184" s="22"/>
      <c r="D184" s="23"/>
      <c r="E184" s="24"/>
      <c r="F184" s="13"/>
      <c r="G184" s="13"/>
      <c r="H184" s="7"/>
      <c r="I184" s="8"/>
      <c r="J184" s="9"/>
      <c r="K184" s="10"/>
      <c r="L184" s="10"/>
      <c r="M184" s="11"/>
      <c r="N184" s="10"/>
      <c r="O184" s="42"/>
      <c r="P184" s="10"/>
    </row>
    <row r="185" spans="1:16" x14ac:dyDescent="0.25">
      <c r="A185" s="5"/>
      <c r="B185" s="22"/>
      <c r="C185" s="22"/>
      <c r="D185" s="23"/>
      <c r="E185" s="24"/>
      <c r="F185" s="13"/>
      <c r="G185" s="13"/>
      <c r="H185" s="7"/>
      <c r="I185" s="8"/>
      <c r="J185" s="9"/>
      <c r="K185" s="10"/>
      <c r="L185" s="10"/>
      <c r="M185" s="11"/>
      <c r="N185" s="10"/>
      <c r="O185" s="42"/>
      <c r="P185" s="10"/>
    </row>
    <row r="186" spans="1:16" x14ac:dyDescent="0.25">
      <c r="A186" s="5"/>
      <c r="B186" s="22"/>
      <c r="C186" s="22"/>
      <c r="D186" s="23"/>
      <c r="E186" s="24"/>
      <c r="F186" s="13"/>
      <c r="G186" s="13"/>
      <c r="H186" s="7"/>
      <c r="I186" s="8"/>
      <c r="J186" s="9"/>
      <c r="K186" s="10"/>
      <c r="L186" s="10"/>
      <c r="M186" s="11"/>
      <c r="N186" s="10"/>
      <c r="O186" s="42"/>
      <c r="P186" s="10"/>
    </row>
    <row r="187" spans="1:16" x14ac:dyDescent="0.25">
      <c r="A187" s="5"/>
      <c r="B187" s="22"/>
      <c r="C187" s="22"/>
      <c r="D187" s="23"/>
      <c r="E187" s="24"/>
      <c r="F187" s="13"/>
      <c r="G187" s="13"/>
      <c r="H187" s="7"/>
      <c r="I187" s="8"/>
      <c r="J187" s="9"/>
      <c r="K187" s="10"/>
      <c r="L187" s="10"/>
      <c r="M187" s="11"/>
      <c r="N187" s="10"/>
      <c r="O187" s="42"/>
      <c r="P187" s="10"/>
    </row>
    <row r="188" spans="1:16" x14ac:dyDescent="0.25">
      <c r="A188" s="5"/>
      <c r="B188" s="22"/>
      <c r="C188" s="22"/>
      <c r="D188" s="23"/>
      <c r="E188" s="24"/>
      <c r="F188" s="13"/>
      <c r="G188" s="13"/>
      <c r="H188" s="7"/>
      <c r="I188" s="8"/>
      <c r="J188" s="9"/>
      <c r="K188" s="10"/>
      <c r="L188" s="10"/>
      <c r="M188" s="11"/>
      <c r="N188" s="10"/>
      <c r="O188" s="42"/>
      <c r="P188" s="10"/>
    </row>
    <row r="189" spans="1:16" x14ac:dyDescent="0.25">
      <c r="A189" s="5"/>
      <c r="B189" s="22"/>
      <c r="C189" s="22"/>
      <c r="D189" s="23"/>
      <c r="E189" s="24"/>
      <c r="F189" s="13"/>
      <c r="G189" s="13"/>
      <c r="H189" s="7"/>
      <c r="I189" s="8"/>
      <c r="J189" s="9"/>
      <c r="K189" s="10"/>
      <c r="L189" s="10"/>
      <c r="M189" s="11"/>
      <c r="N189" s="10"/>
      <c r="O189" s="42"/>
      <c r="P189" s="10"/>
    </row>
    <row r="190" spans="1:16" x14ac:dyDescent="0.25">
      <c r="A190" s="5"/>
      <c r="B190" s="22"/>
      <c r="C190" s="22"/>
      <c r="D190" s="23"/>
      <c r="E190" s="24"/>
      <c r="F190" s="13"/>
      <c r="G190" s="13"/>
      <c r="H190" s="7"/>
      <c r="I190" s="8"/>
      <c r="J190" s="9"/>
      <c r="K190" s="10"/>
      <c r="L190" s="10"/>
      <c r="M190" s="11"/>
      <c r="N190" s="10"/>
      <c r="O190" s="42"/>
      <c r="P190" s="10"/>
    </row>
    <row r="191" spans="1:16" x14ac:dyDescent="0.25">
      <c r="A191" s="5"/>
      <c r="B191" s="22"/>
      <c r="C191" s="22"/>
      <c r="D191" s="23"/>
      <c r="E191" s="24"/>
      <c r="F191" s="13"/>
      <c r="G191" s="13"/>
      <c r="H191" s="7"/>
      <c r="I191" s="8"/>
      <c r="J191" s="9"/>
      <c r="K191" s="10"/>
      <c r="L191" s="10"/>
      <c r="M191" s="11"/>
      <c r="N191" s="10"/>
      <c r="O191" s="42"/>
      <c r="P191" s="10"/>
    </row>
    <row r="192" spans="1:16" x14ac:dyDescent="0.25">
      <c r="A192" s="5"/>
      <c r="B192" s="22"/>
      <c r="C192" s="22"/>
      <c r="D192" s="23"/>
      <c r="E192" s="24"/>
      <c r="F192" s="13"/>
      <c r="G192" s="13"/>
      <c r="H192" s="7"/>
      <c r="I192" s="8"/>
      <c r="J192" s="9"/>
      <c r="K192" s="10"/>
      <c r="L192" s="10"/>
      <c r="M192" s="11"/>
      <c r="N192" s="10"/>
      <c r="O192" s="42"/>
      <c r="P192" s="10"/>
    </row>
    <row r="193" spans="1:16" x14ac:dyDescent="0.25">
      <c r="A193" s="5"/>
      <c r="B193" s="22"/>
      <c r="C193" s="22"/>
      <c r="D193" s="23"/>
      <c r="E193" s="24"/>
      <c r="F193" s="13"/>
      <c r="G193" s="13"/>
      <c r="H193" s="7"/>
      <c r="I193" s="8"/>
      <c r="J193" s="9"/>
      <c r="K193" s="10"/>
      <c r="L193" s="10"/>
      <c r="M193" s="11"/>
      <c r="N193" s="10"/>
      <c r="O193" s="42"/>
      <c r="P193" s="10"/>
    </row>
    <row r="194" spans="1:16" x14ac:dyDescent="0.25">
      <c r="A194" s="5"/>
      <c r="B194" s="22"/>
      <c r="C194" s="22"/>
      <c r="D194" s="23"/>
      <c r="E194" s="24"/>
      <c r="F194" s="13"/>
      <c r="G194" s="13"/>
      <c r="H194" s="7"/>
      <c r="I194" s="8"/>
      <c r="J194" s="9"/>
      <c r="K194" s="10"/>
      <c r="L194" s="10"/>
      <c r="M194" s="11"/>
      <c r="N194" s="10"/>
      <c r="O194" s="42"/>
      <c r="P194" s="10"/>
    </row>
    <row r="195" spans="1:16" x14ac:dyDescent="0.25">
      <c r="A195" s="5"/>
      <c r="B195" s="22"/>
      <c r="C195" s="22"/>
      <c r="D195" s="23"/>
      <c r="E195" s="24"/>
      <c r="F195" s="13"/>
      <c r="G195" s="13"/>
      <c r="H195" s="7"/>
      <c r="I195" s="8"/>
      <c r="J195" s="9"/>
      <c r="K195" s="10"/>
      <c r="L195" s="10"/>
      <c r="M195" s="11"/>
      <c r="N195" s="10"/>
      <c r="O195" s="42"/>
      <c r="P195" s="10"/>
    </row>
    <row r="196" spans="1:16" x14ac:dyDescent="0.25">
      <c r="A196" s="5"/>
      <c r="B196" s="22"/>
      <c r="C196" s="22"/>
      <c r="D196" s="23"/>
      <c r="E196" s="24"/>
      <c r="F196" s="13"/>
      <c r="G196" s="13"/>
      <c r="H196" s="7"/>
      <c r="I196" s="8"/>
      <c r="J196" s="9"/>
      <c r="K196" s="10"/>
      <c r="L196" s="10"/>
      <c r="M196" s="11"/>
      <c r="N196" s="10"/>
      <c r="O196" s="42"/>
      <c r="P196" s="10"/>
    </row>
    <row r="197" spans="1:16" x14ac:dyDescent="0.25">
      <c r="A197" s="5"/>
      <c r="B197" s="22"/>
      <c r="C197" s="22"/>
      <c r="D197" s="23"/>
      <c r="E197" s="24"/>
      <c r="F197" s="13"/>
      <c r="G197" s="13"/>
      <c r="H197" s="7"/>
      <c r="I197" s="8"/>
      <c r="J197" s="9"/>
      <c r="K197" s="10"/>
      <c r="L197" s="10"/>
      <c r="M197" s="11"/>
      <c r="N197" s="10"/>
      <c r="O197" s="42"/>
      <c r="P197" s="10"/>
    </row>
    <row r="198" spans="1:16" x14ac:dyDescent="0.25">
      <c r="A198" s="5"/>
      <c r="B198" s="22"/>
      <c r="C198" s="22"/>
      <c r="D198" s="23"/>
      <c r="E198" s="24"/>
      <c r="F198" s="13"/>
      <c r="G198" s="13"/>
      <c r="H198" s="7"/>
      <c r="I198" s="8"/>
      <c r="J198" s="9"/>
      <c r="K198" s="10"/>
      <c r="L198" s="10"/>
      <c r="M198" s="11"/>
      <c r="N198" s="10"/>
      <c r="O198" s="42"/>
      <c r="P198" s="10"/>
    </row>
    <row r="199" spans="1:16" x14ac:dyDescent="0.25">
      <c r="A199" s="5"/>
      <c r="B199" s="22"/>
      <c r="C199" s="22"/>
      <c r="D199" s="23"/>
      <c r="E199" s="24"/>
      <c r="F199" s="13"/>
      <c r="G199" s="13"/>
      <c r="H199" s="7"/>
      <c r="I199" s="8"/>
      <c r="J199" s="9"/>
      <c r="K199" s="10"/>
      <c r="L199" s="10"/>
      <c r="M199" s="11"/>
      <c r="N199" s="10"/>
      <c r="O199" s="42"/>
      <c r="P199" s="10"/>
    </row>
    <row r="200" spans="1:16" x14ac:dyDescent="0.25">
      <c r="A200" s="5"/>
      <c r="B200" s="22"/>
      <c r="C200" s="22"/>
      <c r="D200" s="23"/>
      <c r="E200" s="24"/>
      <c r="F200" s="13"/>
      <c r="G200" s="13"/>
      <c r="H200" s="7"/>
      <c r="I200" s="8"/>
      <c r="J200" s="9"/>
      <c r="K200" s="10"/>
      <c r="L200" s="10"/>
      <c r="M200" s="11"/>
      <c r="N200" s="10"/>
      <c r="O200" s="42"/>
      <c r="P200" s="10"/>
    </row>
    <row r="201" spans="1:16" x14ac:dyDescent="0.25">
      <c r="A201" s="5"/>
      <c r="B201" s="22"/>
      <c r="C201" s="22"/>
      <c r="D201" s="23"/>
      <c r="E201" s="24"/>
      <c r="F201" s="13"/>
      <c r="G201" s="13"/>
      <c r="H201" s="7"/>
      <c r="I201" s="8"/>
      <c r="J201" s="9"/>
      <c r="K201" s="10"/>
      <c r="L201" s="10"/>
      <c r="M201" s="11"/>
      <c r="N201" s="10"/>
      <c r="O201" s="42"/>
      <c r="P201" s="10"/>
    </row>
    <row r="202" spans="1:16" x14ac:dyDescent="0.25">
      <c r="A202" s="5"/>
      <c r="B202" s="22"/>
      <c r="C202" s="22"/>
      <c r="D202" s="23"/>
      <c r="E202" s="24"/>
      <c r="F202" s="13"/>
      <c r="G202" s="13"/>
      <c r="H202" s="7"/>
      <c r="I202" s="8"/>
      <c r="J202" s="9"/>
      <c r="K202" s="10"/>
      <c r="L202" s="10"/>
      <c r="M202" s="11"/>
      <c r="N202" s="10"/>
      <c r="O202" s="42"/>
      <c r="P202" s="10"/>
    </row>
    <row r="203" spans="1:16" x14ac:dyDescent="0.25">
      <c r="A203" s="26"/>
      <c r="B203" s="22"/>
      <c r="C203" s="22"/>
      <c r="D203" s="23"/>
      <c r="E203" s="24"/>
      <c r="F203" s="6"/>
      <c r="G203" s="13"/>
      <c r="H203" s="7"/>
      <c r="I203" s="8"/>
      <c r="J203" s="9"/>
      <c r="K203" s="10"/>
      <c r="L203" s="10"/>
      <c r="M203" s="11"/>
      <c r="N203" s="10"/>
      <c r="O203" s="42"/>
      <c r="P203" s="10"/>
    </row>
    <row r="204" spans="1:16" x14ac:dyDescent="0.25">
      <c r="A204" s="5"/>
      <c r="B204" s="22"/>
      <c r="C204" s="22"/>
      <c r="D204" s="23"/>
      <c r="E204" s="24"/>
      <c r="F204" s="6"/>
      <c r="G204" s="13"/>
      <c r="H204" s="7"/>
      <c r="I204" s="8"/>
      <c r="J204" s="9"/>
      <c r="K204" s="10"/>
      <c r="L204" s="10"/>
      <c r="M204" s="11"/>
      <c r="N204" s="10"/>
      <c r="O204" s="42"/>
      <c r="P204" s="10"/>
    </row>
    <row r="205" spans="1:16" x14ac:dyDescent="0.25">
      <c r="A205" s="16"/>
      <c r="B205" s="22"/>
      <c r="C205" s="22"/>
      <c r="D205" s="23"/>
      <c r="E205" s="24"/>
      <c r="F205" s="6"/>
      <c r="G205" s="13"/>
      <c r="H205" s="7"/>
      <c r="I205" s="8"/>
      <c r="J205" s="9"/>
      <c r="K205" s="10"/>
      <c r="L205" s="10"/>
      <c r="M205" s="11"/>
      <c r="N205" s="10"/>
      <c r="O205" s="42"/>
      <c r="P205" s="10"/>
    </row>
    <row r="206" spans="1:16" x14ac:dyDescent="0.25">
      <c r="A206" s="5"/>
      <c r="B206" s="22"/>
      <c r="C206" s="22"/>
      <c r="D206" s="23"/>
      <c r="E206" s="24"/>
      <c r="F206" s="13"/>
      <c r="G206" s="13"/>
      <c r="H206" s="7"/>
      <c r="I206" s="8"/>
      <c r="J206" s="9"/>
      <c r="K206" s="10"/>
      <c r="L206" s="10"/>
      <c r="M206" s="11"/>
      <c r="N206" s="10"/>
      <c r="O206" s="42"/>
      <c r="P206" s="10"/>
    </row>
    <row r="207" spans="1:16" x14ac:dyDescent="0.25">
      <c r="A207" s="5"/>
      <c r="B207" s="22"/>
      <c r="C207" s="22"/>
      <c r="D207" s="23"/>
      <c r="E207" s="24"/>
      <c r="F207" s="13"/>
      <c r="G207" s="13"/>
      <c r="H207" s="7"/>
      <c r="I207" s="8"/>
      <c r="J207" s="9"/>
      <c r="K207" s="10"/>
      <c r="L207" s="10"/>
      <c r="M207" s="11"/>
      <c r="N207" s="10"/>
      <c r="O207" s="42"/>
      <c r="P207" s="10"/>
    </row>
    <row r="208" spans="1:16" x14ac:dyDescent="0.25">
      <c r="A208" s="5"/>
      <c r="B208" s="22"/>
      <c r="C208" s="22"/>
      <c r="D208" s="23"/>
      <c r="E208" s="24"/>
      <c r="F208" s="13"/>
      <c r="G208" s="13"/>
      <c r="H208" s="7"/>
      <c r="I208" s="8"/>
      <c r="J208" s="9"/>
      <c r="K208" s="10"/>
      <c r="L208" s="10"/>
      <c r="M208" s="11"/>
      <c r="N208" s="10"/>
      <c r="O208" s="42"/>
      <c r="P208" s="10"/>
    </row>
    <row r="209" spans="1:16" x14ac:dyDescent="0.25">
      <c r="A209" s="5"/>
      <c r="B209" s="22"/>
      <c r="C209" s="22"/>
      <c r="D209" s="23"/>
      <c r="E209" s="24"/>
      <c r="F209" s="13"/>
      <c r="G209" s="13"/>
      <c r="H209" s="7"/>
      <c r="I209" s="8"/>
      <c r="J209" s="9"/>
      <c r="K209" s="10"/>
      <c r="L209" s="10"/>
      <c r="M209" s="11"/>
      <c r="N209" s="10"/>
      <c r="O209" s="42"/>
      <c r="P209" s="10"/>
    </row>
    <row r="210" spans="1:16" x14ac:dyDescent="0.25">
      <c r="A210" s="5"/>
      <c r="B210" s="22"/>
      <c r="C210" s="22"/>
      <c r="D210" s="23"/>
      <c r="E210" s="24"/>
      <c r="F210" s="13"/>
      <c r="G210" s="13"/>
      <c r="H210" s="7"/>
      <c r="I210" s="8"/>
      <c r="J210" s="9"/>
      <c r="K210" s="10"/>
      <c r="L210" s="10"/>
      <c r="M210" s="11"/>
      <c r="N210" s="10"/>
      <c r="O210" s="42"/>
      <c r="P210" s="10"/>
    </row>
    <row r="211" spans="1:16" x14ac:dyDescent="0.25">
      <c r="A211" s="16"/>
      <c r="B211" s="22"/>
      <c r="C211" s="22"/>
      <c r="D211" s="23"/>
      <c r="E211" s="24"/>
      <c r="F211" s="6"/>
      <c r="G211" s="13"/>
      <c r="H211" s="7"/>
      <c r="I211" s="8"/>
      <c r="J211" s="9"/>
      <c r="K211" s="10"/>
      <c r="L211" s="10"/>
      <c r="M211" s="11"/>
      <c r="N211" s="10"/>
      <c r="O211" s="42"/>
      <c r="P211" s="10"/>
    </row>
    <row r="212" spans="1:16" x14ac:dyDescent="0.25">
      <c r="A212" s="16"/>
      <c r="B212" s="22"/>
      <c r="C212" s="22"/>
      <c r="D212" s="23"/>
      <c r="E212" s="24"/>
      <c r="F212" s="6"/>
      <c r="G212" s="13"/>
      <c r="H212" s="7"/>
      <c r="I212" s="8"/>
      <c r="J212" s="9"/>
      <c r="K212" s="10"/>
      <c r="L212" s="10"/>
      <c r="M212" s="11"/>
      <c r="N212" s="10"/>
      <c r="O212" s="42"/>
      <c r="P212" s="10"/>
    </row>
    <row r="213" spans="1:16" x14ac:dyDescent="0.25">
      <c r="A213" s="5"/>
      <c r="B213" s="22"/>
      <c r="C213" s="22"/>
      <c r="D213" s="23"/>
      <c r="E213" s="24"/>
      <c r="F213" s="13"/>
      <c r="G213" s="13"/>
      <c r="H213" s="7"/>
      <c r="I213" s="8"/>
      <c r="J213" s="9"/>
      <c r="K213" s="10"/>
      <c r="L213" s="10"/>
      <c r="M213" s="11"/>
      <c r="N213" s="10"/>
      <c r="O213" s="42"/>
      <c r="P213" s="10"/>
    </row>
    <row r="214" spans="1:16" x14ac:dyDescent="0.25">
      <c r="A214" s="5"/>
      <c r="B214" s="22"/>
      <c r="C214" s="22"/>
      <c r="D214" s="23"/>
      <c r="E214" s="24"/>
      <c r="F214" s="13"/>
      <c r="G214" s="13"/>
      <c r="H214" s="7"/>
      <c r="I214" s="8"/>
      <c r="J214" s="9"/>
      <c r="K214" s="10"/>
      <c r="L214" s="10"/>
      <c r="M214" s="11"/>
      <c r="N214" s="10"/>
      <c r="O214" s="42"/>
      <c r="P214" s="10"/>
    </row>
    <row r="215" spans="1:16" x14ac:dyDescent="0.25">
      <c r="A215" s="5"/>
      <c r="B215" s="22"/>
      <c r="C215" s="22"/>
      <c r="D215" s="23"/>
      <c r="E215" s="24"/>
      <c r="F215" s="13"/>
      <c r="G215" s="13"/>
      <c r="H215" s="7"/>
      <c r="I215" s="8"/>
      <c r="J215" s="9"/>
      <c r="K215" s="10"/>
      <c r="L215" s="10"/>
      <c r="M215" s="11"/>
      <c r="N215" s="10"/>
      <c r="O215" s="42"/>
      <c r="P215" s="10"/>
    </row>
    <row r="216" spans="1:16" x14ac:dyDescent="0.25">
      <c r="A216" s="5"/>
      <c r="B216" s="22"/>
      <c r="C216" s="22"/>
      <c r="D216" s="23"/>
      <c r="E216" s="24"/>
      <c r="F216" s="13"/>
      <c r="G216" s="13"/>
      <c r="H216" s="7"/>
      <c r="I216" s="8"/>
      <c r="J216" s="9"/>
      <c r="K216" s="10"/>
      <c r="L216" s="10"/>
      <c r="M216" s="11"/>
      <c r="N216" s="10"/>
      <c r="O216" s="42"/>
      <c r="P216" s="10"/>
    </row>
    <row r="217" spans="1:16" x14ac:dyDescent="0.25">
      <c r="A217" s="5"/>
      <c r="B217" s="22"/>
      <c r="C217" s="22"/>
      <c r="D217" s="23"/>
      <c r="E217" s="24"/>
      <c r="F217" s="13"/>
      <c r="G217" s="13"/>
      <c r="H217" s="7"/>
      <c r="I217" s="8"/>
      <c r="J217" s="9"/>
      <c r="K217" s="10"/>
      <c r="L217" s="10"/>
      <c r="M217" s="11"/>
      <c r="N217" s="10"/>
      <c r="O217" s="42"/>
      <c r="P217" s="10"/>
    </row>
    <row r="218" spans="1:16" x14ac:dyDescent="0.25">
      <c r="A218" s="5"/>
      <c r="B218" s="22"/>
      <c r="C218" s="22"/>
      <c r="D218" s="23"/>
      <c r="E218" s="24"/>
      <c r="F218" s="13"/>
      <c r="G218" s="13"/>
      <c r="H218" s="7"/>
      <c r="I218" s="8"/>
      <c r="J218" s="9"/>
      <c r="K218" s="10"/>
      <c r="L218" s="10"/>
      <c r="M218" s="11"/>
      <c r="N218" s="10"/>
      <c r="O218" s="42"/>
      <c r="P218" s="10"/>
    </row>
    <row r="219" spans="1:16" x14ac:dyDescent="0.25">
      <c r="A219" s="5"/>
      <c r="B219" s="22"/>
      <c r="C219" s="22"/>
      <c r="D219" s="23"/>
      <c r="E219" s="24"/>
      <c r="F219" s="13"/>
      <c r="G219" s="13"/>
      <c r="H219" s="7"/>
      <c r="I219" s="8"/>
      <c r="J219" s="9"/>
      <c r="K219" s="10"/>
      <c r="L219" s="10"/>
      <c r="M219" s="11"/>
      <c r="N219" s="10"/>
      <c r="O219" s="42"/>
      <c r="P219" s="10"/>
    </row>
    <row r="220" spans="1:16" x14ac:dyDescent="0.25">
      <c r="A220" s="5"/>
      <c r="B220" s="22"/>
      <c r="C220" s="22"/>
      <c r="D220" s="23"/>
      <c r="E220" s="24"/>
      <c r="F220" s="13"/>
      <c r="G220" s="13"/>
      <c r="H220" s="7"/>
      <c r="I220" s="8"/>
      <c r="J220" s="9"/>
      <c r="K220" s="10"/>
      <c r="L220" s="10"/>
      <c r="M220" s="11"/>
      <c r="N220" s="10"/>
      <c r="O220" s="42"/>
      <c r="P220" s="10"/>
    </row>
    <row r="221" spans="1:16" x14ac:dyDescent="0.25">
      <c r="A221" s="5"/>
      <c r="B221" s="22"/>
      <c r="C221" s="22"/>
      <c r="D221" s="23"/>
      <c r="E221" s="24"/>
      <c r="F221" s="13"/>
      <c r="G221" s="13"/>
      <c r="H221" s="7"/>
      <c r="I221" s="8"/>
      <c r="J221" s="9"/>
      <c r="K221" s="10"/>
      <c r="L221" s="10"/>
      <c r="M221" s="11"/>
      <c r="N221" s="10"/>
      <c r="O221" s="42"/>
      <c r="P221" s="10"/>
    </row>
    <row r="222" spans="1:16" x14ac:dyDescent="0.25">
      <c r="A222" s="5"/>
      <c r="B222" s="22"/>
      <c r="C222" s="22"/>
      <c r="D222" s="23"/>
      <c r="E222" s="24"/>
      <c r="F222" s="13"/>
      <c r="G222" s="13"/>
      <c r="H222" s="7"/>
      <c r="I222" s="8"/>
      <c r="J222" s="9"/>
      <c r="K222" s="10"/>
      <c r="L222" s="10"/>
      <c r="M222" s="11"/>
      <c r="N222" s="10"/>
      <c r="O222" s="42"/>
      <c r="P222" s="10"/>
    </row>
    <row r="223" spans="1:16" x14ac:dyDescent="0.25">
      <c r="A223" s="16"/>
      <c r="B223" s="22"/>
      <c r="C223" s="22"/>
      <c r="D223" s="23"/>
      <c r="E223" s="24"/>
      <c r="F223" s="13"/>
      <c r="G223" s="13"/>
      <c r="H223" s="7"/>
      <c r="I223" s="8"/>
      <c r="J223" s="9"/>
      <c r="K223" s="10"/>
      <c r="L223" s="10"/>
      <c r="M223" s="11"/>
      <c r="N223" s="10"/>
      <c r="O223" s="42"/>
      <c r="P223" s="10"/>
    </row>
    <row r="224" spans="1:16" x14ac:dyDescent="0.25">
      <c r="A224" s="16"/>
      <c r="B224" s="22"/>
      <c r="C224" s="22"/>
      <c r="D224" s="23"/>
      <c r="E224" s="24"/>
      <c r="F224" s="13"/>
      <c r="G224" s="13"/>
      <c r="H224" s="7"/>
      <c r="I224" s="8"/>
      <c r="J224" s="9"/>
      <c r="K224" s="10"/>
      <c r="L224" s="10"/>
      <c r="M224" s="11"/>
      <c r="N224" s="10"/>
      <c r="O224" s="42"/>
      <c r="P224" s="10"/>
    </row>
    <row r="225" spans="1:16" x14ac:dyDescent="0.25">
      <c r="A225" s="16"/>
      <c r="B225" s="22"/>
      <c r="C225" s="22"/>
      <c r="D225" s="23"/>
      <c r="E225" s="24"/>
      <c r="F225" s="13"/>
      <c r="G225" s="13"/>
      <c r="H225" s="7"/>
      <c r="I225" s="8"/>
      <c r="J225" s="9"/>
      <c r="K225" s="10"/>
      <c r="L225" s="10"/>
      <c r="M225" s="11"/>
      <c r="N225" s="10"/>
      <c r="O225" s="42"/>
      <c r="P225" s="10"/>
    </row>
    <row r="226" spans="1:16" x14ac:dyDescent="0.25">
      <c r="A226" s="16"/>
      <c r="B226" s="22"/>
      <c r="C226" s="22"/>
      <c r="D226" s="23"/>
      <c r="E226" s="24"/>
      <c r="F226" s="13"/>
      <c r="G226" s="13"/>
      <c r="H226" s="7"/>
      <c r="I226" s="8"/>
      <c r="J226" s="9"/>
      <c r="K226" s="10"/>
      <c r="L226" s="10"/>
      <c r="M226" s="11"/>
      <c r="N226" s="10"/>
      <c r="O226" s="42"/>
      <c r="P226" s="10"/>
    </row>
    <row r="227" spans="1:16" x14ac:dyDescent="0.25">
      <c r="A227" s="5"/>
      <c r="B227" s="22"/>
      <c r="C227" s="22"/>
      <c r="D227" s="23"/>
      <c r="E227" s="24"/>
      <c r="F227" s="13"/>
      <c r="G227" s="13"/>
      <c r="H227" s="7"/>
      <c r="I227" s="8"/>
      <c r="J227" s="9"/>
      <c r="K227" s="10"/>
      <c r="L227" s="10"/>
      <c r="M227" s="11"/>
      <c r="N227" s="10"/>
      <c r="O227" s="42"/>
      <c r="P227" s="10"/>
    </row>
    <row r="228" spans="1:16" x14ac:dyDescent="0.25">
      <c r="A228" s="16"/>
      <c r="B228" s="22"/>
      <c r="C228" s="22"/>
      <c r="D228" s="23"/>
      <c r="E228" s="24"/>
      <c r="F228" s="13"/>
      <c r="G228" s="13"/>
      <c r="H228" s="7"/>
      <c r="I228" s="8"/>
      <c r="J228" s="9"/>
      <c r="K228" s="10"/>
      <c r="L228" s="10"/>
      <c r="M228" s="11"/>
      <c r="N228" s="10"/>
      <c r="O228" s="42"/>
      <c r="P228" s="10"/>
    </row>
    <row r="229" spans="1:16" x14ac:dyDescent="0.25">
      <c r="A229" s="16"/>
      <c r="B229" s="22"/>
      <c r="C229" s="22"/>
      <c r="D229" s="23"/>
      <c r="E229" s="24"/>
      <c r="F229" s="13"/>
      <c r="G229" s="13"/>
      <c r="H229" s="7"/>
      <c r="I229" s="8"/>
      <c r="J229" s="9"/>
      <c r="K229" s="10"/>
      <c r="L229" s="10"/>
      <c r="M229" s="11"/>
      <c r="N229" s="10"/>
      <c r="O229" s="42"/>
      <c r="P229" s="10"/>
    </row>
    <row r="230" spans="1:16" x14ac:dyDescent="0.25">
      <c r="A230" s="16"/>
      <c r="B230" s="22"/>
      <c r="C230" s="22"/>
      <c r="D230" s="23"/>
      <c r="E230" s="24"/>
      <c r="F230" s="13"/>
      <c r="G230" s="13"/>
      <c r="H230" s="7"/>
      <c r="I230" s="8"/>
      <c r="J230" s="9"/>
      <c r="K230" s="10"/>
      <c r="L230" s="10"/>
      <c r="M230" s="11"/>
      <c r="N230" s="10"/>
      <c r="O230" s="42"/>
      <c r="P230" s="10"/>
    </row>
    <row r="231" spans="1:16" x14ac:dyDescent="0.25">
      <c r="A231" s="5"/>
      <c r="B231" s="22"/>
      <c r="C231" s="22"/>
      <c r="D231" s="23"/>
      <c r="E231" s="24"/>
      <c r="F231" s="13"/>
      <c r="G231" s="13"/>
      <c r="H231" s="7"/>
      <c r="I231" s="8"/>
      <c r="J231" s="9"/>
      <c r="K231" s="10"/>
      <c r="L231" s="10"/>
      <c r="M231" s="11"/>
      <c r="N231" s="10"/>
      <c r="O231" s="42"/>
      <c r="P231" s="10"/>
    </row>
    <row r="232" spans="1:16" x14ac:dyDescent="0.25">
      <c r="A232" s="16"/>
      <c r="B232" s="22"/>
      <c r="C232" s="22"/>
      <c r="D232" s="23"/>
      <c r="E232" s="24"/>
      <c r="F232" s="13"/>
      <c r="G232" s="13"/>
      <c r="H232" s="7"/>
      <c r="I232" s="8"/>
      <c r="J232" s="9"/>
      <c r="K232" s="10"/>
      <c r="L232" s="10"/>
      <c r="M232" s="11"/>
      <c r="N232" s="10"/>
      <c r="O232" s="42"/>
      <c r="P232" s="10"/>
    </row>
    <row r="233" spans="1:16" x14ac:dyDescent="0.25">
      <c r="A233" s="5"/>
      <c r="B233" s="22"/>
      <c r="C233" s="22"/>
      <c r="D233" s="23"/>
      <c r="E233" s="24"/>
      <c r="F233" s="13"/>
      <c r="G233" s="13"/>
      <c r="H233" s="7"/>
      <c r="I233" s="8"/>
      <c r="J233" s="9"/>
      <c r="K233" s="10"/>
      <c r="L233" s="10"/>
      <c r="M233" s="11"/>
      <c r="N233" s="10"/>
      <c r="O233" s="42"/>
      <c r="P233" s="10"/>
    </row>
    <row r="234" spans="1:16" x14ac:dyDescent="0.25">
      <c r="A234" s="5"/>
      <c r="B234" s="22"/>
      <c r="C234" s="22"/>
      <c r="D234" s="23"/>
      <c r="E234" s="24"/>
      <c r="F234" s="13"/>
      <c r="G234" s="13"/>
      <c r="H234" s="7"/>
      <c r="I234" s="8"/>
      <c r="J234" s="9"/>
      <c r="K234" s="10"/>
      <c r="L234" s="10"/>
      <c r="M234" s="11"/>
      <c r="N234" s="10"/>
      <c r="O234" s="42"/>
      <c r="P234" s="10"/>
    </row>
    <row r="235" spans="1:16" x14ac:dyDescent="0.25">
      <c r="A235" s="5"/>
      <c r="B235" s="22"/>
      <c r="C235" s="22"/>
      <c r="D235" s="23"/>
      <c r="E235" s="24"/>
      <c r="F235" s="13"/>
      <c r="G235" s="13"/>
      <c r="H235" s="7"/>
      <c r="I235" s="8"/>
      <c r="J235" s="9"/>
      <c r="K235" s="10"/>
      <c r="L235" s="10"/>
      <c r="M235" s="11"/>
      <c r="N235" s="10"/>
      <c r="O235" s="42"/>
      <c r="P235" s="10"/>
    </row>
    <row r="236" spans="1:16" x14ac:dyDescent="0.25">
      <c r="A236" s="5"/>
      <c r="B236" s="22"/>
      <c r="C236" s="22"/>
      <c r="D236" s="23"/>
      <c r="E236" s="24"/>
      <c r="F236" s="13"/>
      <c r="G236" s="13"/>
      <c r="H236" s="7"/>
      <c r="I236" s="8"/>
      <c r="J236" s="9"/>
      <c r="K236" s="10"/>
      <c r="L236" s="10"/>
      <c r="M236" s="11"/>
      <c r="N236" s="10"/>
      <c r="O236" s="42"/>
      <c r="P236" s="10"/>
    </row>
    <row r="237" spans="1:16" x14ac:dyDescent="0.25">
      <c r="A237" s="5"/>
      <c r="B237" s="22"/>
      <c r="C237" s="22"/>
      <c r="D237" s="23"/>
      <c r="E237" s="24"/>
      <c r="F237" s="13"/>
      <c r="G237" s="13"/>
      <c r="H237" s="7"/>
      <c r="I237" s="8"/>
      <c r="J237" s="9"/>
      <c r="K237" s="10"/>
      <c r="L237" s="10"/>
      <c r="M237" s="11"/>
      <c r="N237" s="10"/>
      <c r="O237" s="42"/>
      <c r="P237" s="10"/>
    </row>
    <row r="238" spans="1:16" x14ac:dyDescent="0.25">
      <c r="A238" s="5"/>
      <c r="B238" s="22"/>
      <c r="C238" s="22"/>
      <c r="D238" s="23"/>
      <c r="E238" s="24"/>
      <c r="F238" s="13"/>
      <c r="G238" s="13"/>
      <c r="H238" s="7"/>
      <c r="I238" s="8"/>
      <c r="J238" s="9"/>
      <c r="K238" s="10"/>
      <c r="L238" s="10"/>
      <c r="M238" s="11"/>
      <c r="N238" s="10"/>
      <c r="O238" s="42"/>
      <c r="P238" s="10"/>
    </row>
    <row r="239" spans="1:16" x14ac:dyDescent="0.25">
      <c r="A239" s="5"/>
      <c r="B239" s="22"/>
      <c r="C239" s="22"/>
      <c r="D239" s="23"/>
      <c r="E239" s="24"/>
      <c r="F239" s="13"/>
      <c r="G239" s="13"/>
      <c r="H239" s="7"/>
      <c r="I239" s="8"/>
      <c r="J239" s="9"/>
      <c r="K239" s="10"/>
      <c r="L239" s="10"/>
      <c r="M239" s="11"/>
      <c r="N239" s="10"/>
      <c r="O239" s="42"/>
      <c r="P239" s="10"/>
    </row>
    <row r="240" spans="1:16" x14ac:dyDescent="0.25">
      <c r="A240" s="5"/>
      <c r="B240" s="22"/>
      <c r="C240" s="22"/>
      <c r="D240" s="23"/>
      <c r="E240" s="24"/>
      <c r="F240" s="13"/>
      <c r="G240" s="13"/>
      <c r="H240" s="7"/>
      <c r="I240" s="8"/>
      <c r="J240" s="9"/>
      <c r="K240" s="10"/>
      <c r="L240" s="10"/>
      <c r="M240" s="11"/>
      <c r="N240" s="10"/>
      <c r="O240" s="42"/>
      <c r="P240" s="10"/>
    </row>
    <row r="241" spans="1:16" x14ac:dyDescent="0.25">
      <c r="A241" s="5"/>
      <c r="B241" s="22"/>
      <c r="C241" s="22"/>
      <c r="D241" s="23"/>
      <c r="E241" s="24"/>
      <c r="F241" s="13"/>
      <c r="G241" s="13"/>
      <c r="H241" s="7"/>
      <c r="I241" s="8"/>
      <c r="J241" s="9"/>
      <c r="K241" s="10"/>
      <c r="L241" s="10"/>
      <c r="M241" s="11"/>
      <c r="N241" s="10"/>
      <c r="O241" s="42"/>
      <c r="P241" s="10"/>
    </row>
    <row r="242" spans="1:16" x14ac:dyDescent="0.25">
      <c r="A242" s="5"/>
      <c r="B242" s="22"/>
      <c r="C242" s="22"/>
      <c r="D242" s="23"/>
      <c r="E242" s="24"/>
      <c r="F242" s="13"/>
      <c r="G242" s="13"/>
      <c r="H242" s="7"/>
      <c r="I242" s="8"/>
      <c r="J242" s="9"/>
      <c r="K242" s="10"/>
      <c r="L242" s="10"/>
      <c r="M242" s="11"/>
      <c r="N242" s="10"/>
      <c r="O242" s="42"/>
      <c r="P242" s="10"/>
    </row>
    <row r="243" spans="1:16" x14ac:dyDescent="0.25">
      <c r="A243" s="5"/>
      <c r="B243" s="22"/>
      <c r="C243" s="22"/>
      <c r="D243" s="23"/>
      <c r="E243" s="24"/>
      <c r="F243" s="13"/>
      <c r="G243" s="13"/>
      <c r="H243" s="7"/>
      <c r="I243" s="8"/>
      <c r="J243" s="9"/>
      <c r="K243" s="10"/>
      <c r="L243" s="10"/>
      <c r="M243" s="11"/>
      <c r="N243" s="10"/>
      <c r="O243" s="42"/>
      <c r="P243" s="10"/>
    </row>
    <row r="244" spans="1:16" x14ac:dyDescent="0.25">
      <c r="A244" s="16"/>
      <c r="B244" s="22"/>
      <c r="C244" s="22"/>
      <c r="D244" s="23"/>
      <c r="E244" s="24"/>
      <c r="F244" s="13"/>
      <c r="G244" s="13"/>
      <c r="H244" s="7"/>
      <c r="I244" s="8"/>
      <c r="J244" s="9"/>
      <c r="K244" s="10"/>
      <c r="L244" s="10"/>
      <c r="M244" s="11"/>
      <c r="N244" s="10"/>
      <c r="O244" s="42"/>
      <c r="P244" s="10"/>
    </row>
    <row r="245" spans="1:16" x14ac:dyDescent="0.25">
      <c r="A245" s="16"/>
      <c r="B245" s="22"/>
      <c r="C245" s="22"/>
      <c r="D245" s="23"/>
      <c r="E245" s="24"/>
      <c r="F245" s="13"/>
      <c r="G245" s="13"/>
      <c r="H245" s="7"/>
      <c r="I245" s="8"/>
      <c r="J245" s="9"/>
      <c r="K245" s="10"/>
      <c r="L245" s="10"/>
      <c r="M245" s="11"/>
      <c r="N245" s="10"/>
      <c r="O245" s="42"/>
      <c r="P245" s="10"/>
    </row>
    <row r="246" spans="1:16" x14ac:dyDescent="0.25">
      <c r="A246" s="16"/>
      <c r="B246" s="22"/>
      <c r="C246" s="22"/>
      <c r="D246" s="23"/>
      <c r="E246" s="24"/>
      <c r="F246" s="13"/>
      <c r="G246" s="13"/>
      <c r="H246" s="7"/>
      <c r="I246" s="8"/>
      <c r="J246" s="9"/>
      <c r="K246" s="10"/>
      <c r="L246" s="10"/>
      <c r="M246" s="11"/>
      <c r="N246" s="10"/>
      <c r="O246" s="42"/>
      <c r="P246" s="10"/>
    </row>
    <row r="247" spans="1:16" x14ac:dyDescent="0.25">
      <c r="A247" s="16"/>
      <c r="B247" s="22"/>
      <c r="C247" s="22"/>
      <c r="D247" s="23"/>
      <c r="E247" s="24"/>
      <c r="F247" s="13"/>
      <c r="G247" s="13"/>
      <c r="H247" s="7"/>
      <c r="I247" s="8"/>
      <c r="J247" s="9"/>
      <c r="K247" s="10"/>
      <c r="L247" s="10"/>
      <c r="M247" s="11"/>
      <c r="N247" s="10"/>
      <c r="O247" s="42"/>
      <c r="P247" s="10"/>
    </row>
    <row r="248" spans="1:16" x14ac:dyDescent="0.25">
      <c r="A248" s="16"/>
      <c r="B248" s="22"/>
      <c r="C248" s="22"/>
      <c r="D248" s="23"/>
      <c r="E248" s="24"/>
      <c r="F248" s="13"/>
      <c r="G248" s="13"/>
      <c r="H248" s="7"/>
      <c r="I248" s="8"/>
      <c r="J248" s="9"/>
      <c r="K248" s="10"/>
      <c r="L248" s="10"/>
      <c r="M248" s="11"/>
      <c r="N248" s="10"/>
      <c r="O248" s="42"/>
      <c r="P248" s="10"/>
    </row>
    <row r="249" spans="1:16" x14ac:dyDescent="0.25">
      <c r="A249" s="16"/>
      <c r="B249" s="22"/>
      <c r="C249" s="22"/>
      <c r="D249" s="23"/>
      <c r="E249" s="24"/>
      <c r="F249" s="13"/>
      <c r="G249" s="13"/>
      <c r="H249" s="7"/>
      <c r="I249" s="8"/>
      <c r="J249" s="9"/>
      <c r="K249" s="10"/>
      <c r="L249" s="10"/>
      <c r="M249" s="11"/>
      <c r="N249" s="10"/>
      <c r="O249" s="42"/>
      <c r="P249" s="10"/>
    </row>
    <row r="250" spans="1:16" x14ac:dyDescent="0.25">
      <c r="A250" s="16"/>
      <c r="B250" s="22"/>
      <c r="C250" s="22"/>
      <c r="D250" s="23"/>
      <c r="E250" s="24"/>
      <c r="F250" s="13"/>
      <c r="G250" s="13"/>
      <c r="H250" s="7"/>
      <c r="I250" s="8"/>
      <c r="J250" s="9"/>
      <c r="K250" s="10"/>
      <c r="L250" s="10"/>
      <c r="M250" s="11"/>
      <c r="N250" s="10"/>
      <c r="O250" s="42"/>
      <c r="P250" s="10"/>
    </row>
    <row r="251" spans="1:16" x14ac:dyDescent="0.25">
      <c r="A251" s="16"/>
      <c r="B251" s="22"/>
      <c r="C251" s="22"/>
      <c r="D251" s="23"/>
      <c r="E251" s="24"/>
      <c r="F251" s="13"/>
      <c r="G251" s="13"/>
      <c r="H251" s="7"/>
      <c r="I251" s="8"/>
      <c r="J251" s="9"/>
      <c r="K251" s="10"/>
      <c r="L251" s="10"/>
      <c r="M251" s="11"/>
      <c r="N251" s="10"/>
      <c r="O251" s="42"/>
      <c r="P251" s="10"/>
    </row>
    <row r="252" spans="1:16" x14ac:dyDescent="0.25">
      <c r="A252" s="5"/>
      <c r="B252" s="22"/>
      <c r="C252" s="22"/>
      <c r="D252" s="23"/>
      <c r="E252" s="24"/>
      <c r="F252" s="13"/>
      <c r="G252" s="13"/>
      <c r="H252" s="7"/>
      <c r="I252" s="8"/>
      <c r="J252" s="9"/>
      <c r="K252" s="10"/>
      <c r="L252" s="10"/>
      <c r="M252" s="11"/>
      <c r="N252" s="10"/>
      <c r="O252" s="42"/>
      <c r="P252" s="10"/>
    </row>
    <row r="253" spans="1:16" x14ac:dyDescent="0.25">
      <c r="A253" s="5"/>
      <c r="B253" s="22"/>
      <c r="C253" s="22"/>
      <c r="D253" s="23"/>
      <c r="E253" s="24"/>
      <c r="F253" s="13"/>
      <c r="G253" s="13"/>
      <c r="H253" s="7"/>
      <c r="I253" s="8"/>
      <c r="J253" s="9"/>
      <c r="K253" s="10"/>
      <c r="L253" s="10"/>
      <c r="M253" s="11"/>
      <c r="N253" s="10"/>
      <c r="O253" s="42"/>
      <c r="P253" s="10"/>
    </row>
    <row r="254" spans="1:16" x14ac:dyDescent="0.25">
      <c r="A254" s="5"/>
      <c r="B254" s="22"/>
      <c r="C254" s="22"/>
      <c r="D254" s="23"/>
      <c r="E254" s="24"/>
      <c r="F254" s="13"/>
      <c r="G254" s="13"/>
      <c r="H254" s="7"/>
      <c r="I254" s="8"/>
      <c r="J254" s="9"/>
      <c r="K254" s="10"/>
      <c r="L254" s="10"/>
      <c r="M254" s="11"/>
      <c r="N254" s="10"/>
      <c r="O254" s="42"/>
      <c r="P254" s="10"/>
    </row>
    <row r="255" spans="1:16" x14ac:dyDescent="0.25">
      <c r="A255" s="5"/>
      <c r="B255" s="22"/>
      <c r="C255" s="22"/>
      <c r="D255" s="23"/>
      <c r="E255" s="24"/>
      <c r="F255" s="13"/>
      <c r="G255" s="13"/>
      <c r="H255" s="7"/>
      <c r="I255" s="8"/>
      <c r="J255" s="9"/>
      <c r="K255" s="10"/>
      <c r="L255" s="10"/>
      <c r="M255" s="11"/>
      <c r="N255" s="10"/>
      <c r="O255" s="42"/>
      <c r="P255" s="10"/>
    </row>
    <row r="256" spans="1:16" x14ac:dyDescent="0.25">
      <c r="A256" s="16"/>
      <c r="B256" s="22"/>
      <c r="C256" s="22"/>
      <c r="D256" s="23"/>
      <c r="E256" s="24"/>
      <c r="F256" s="13"/>
      <c r="G256" s="13"/>
      <c r="H256" s="7"/>
      <c r="I256" s="8"/>
      <c r="J256" s="9"/>
      <c r="K256" s="10"/>
      <c r="L256" s="10"/>
      <c r="M256" s="11"/>
      <c r="N256" s="10"/>
      <c r="O256" s="42"/>
      <c r="P256" s="10"/>
    </row>
    <row r="257" spans="1:16" x14ac:dyDescent="0.25">
      <c r="A257" s="16"/>
      <c r="B257" s="22"/>
      <c r="C257" s="22"/>
      <c r="D257" s="23"/>
      <c r="E257" s="24"/>
      <c r="F257" s="13"/>
      <c r="G257" s="13"/>
      <c r="H257" s="7"/>
      <c r="I257" s="8"/>
      <c r="J257" s="9"/>
      <c r="K257" s="10"/>
      <c r="L257" s="10"/>
      <c r="M257" s="11"/>
      <c r="N257" s="10"/>
      <c r="O257" s="42"/>
      <c r="P257" s="10"/>
    </row>
    <row r="258" spans="1:16" x14ac:dyDescent="0.25">
      <c r="A258" s="16"/>
      <c r="B258" s="22"/>
      <c r="C258" s="22"/>
      <c r="D258" s="23"/>
      <c r="E258" s="24"/>
      <c r="F258" s="13"/>
      <c r="G258" s="13"/>
      <c r="H258" s="7"/>
      <c r="I258" s="8"/>
      <c r="J258" s="9"/>
      <c r="K258" s="10"/>
      <c r="L258" s="10"/>
      <c r="M258" s="11"/>
      <c r="N258" s="10"/>
      <c r="O258" s="42"/>
      <c r="P258" s="10"/>
    </row>
    <row r="259" spans="1:16" x14ac:dyDescent="0.25">
      <c r="A259" s="16"/>
      <c r="B259" s="22"/>
      <c r="C259" s="22"/>
      <c r="D259" s="23"/>
      <c r="E259" s="24"/>
      <c r="F259" s="13"/>
      <c r="G259" s="13"/>
      <c r="H259" s="7"/>
      <c r="I259" s="8"/>
      <c r="J259" s="9"/>
      <c r="K259" s="10"/>
      <c r="L259" s="10"/>
      <c r="M259" s="11"/>
      <c r="N259" s="10"/>
      <c r="O259" s="42"/>
      <c r="P259" s="10"/>
    </row>
    <row r="260" spans="1:16" x14ac:dyDescent="0.25">
      <c r="A260" s="5"/>
      <c r="B260" s="22"/>
      <c r="C260" s="22"/>
      <c r="D260" s="23"/>
      <c r="E260" s="24"/>
      <c r="F260" s="13"/>
      <c r="G260" s="13"/>
      <c r="H260" s="7"/>
      <c r="I260" s="8"/>
      <c r="J260" s="9"/>
      <c r="K260" s="10"/>
      <c r="L260" s="10"/>
      <c r="M260" s="11"/>
      <c r="N260" s="10"/>
      <c r="O260" s="42"/>
      <c r="P260" s="10"/>
    </row>
    <row r="261" spans="1:16" x14ac:dyDescent="0.25">
      <c r="A261" s="5"/>
      <c r="B261" s="22"/>
      <c r="C261" s="22"/>
      <c r="D261" s="23"/>
      <c r="E261" s="24"/>
      <c r="F261" s="13"/>
      <c r="G261" s="13"/>
      <c r="H261" s="7"/>
      <c r="I261" s="8"/>
      <c r="J261" s="9"/>
      <c r="K261" s="10"/>
      <c r="L261" s="10"/>
      <c r="M261" s="11"/>
      <c r="N261" s="10"/>
      <c r="O261" s="42"/>
      <c r="P261" s="10"/>
    </row>
    <row r="262" spans="1:16" x14ac:dyDescent="0.25">
      <c r="A262" s="5"/>
      <c r="B262" s="22"/>
      <c r="C262" s="22"/>
      <c r="D262" s="23"/>
      <c r="E262" s="24"/>
      <c r="F262" s="13"/>
      <c r="G262" s="13"/>
      <c r="H262" s="7"/>
      <c r="I262" s="8"/>
      <c r="J262" s="9"/>
      <c r="K262" s="10"/>
      <c r="L262" s="10"/>
      <c r="M262" s="11"/>
      <c r="N262" s="10"/>
      <c r="O262" s="42"/>
      <c r="P262" s="10"/>
    </row>
    <row r="263" spans="1:16" x14ac:dyDescent="0.25">
      <c r="A263" s="5"/>
      <c r="B263" s="22"/>
      <c r="C263" s="22"/>
      <c r="D263" s="23"/>
      <c r="E263" s="24"/>
      <c r="F263" s="13"/>
      <c r="G263" s="13"/>
      <c r="H263" s="7"/>
      <c r="I263" s="8"/>
      <c r="J263" s="9"/>
      <c r="K263" s="10"/>
      <c r="L263" s="10"/>
      <c r="M263" s="11"/>
      <c r="N263" s="10"/>
      <c r="O263" s="42"/>
      <c r="P263" s="10"/>
    </row>
    <row r="264" spans="1:16" x14ac:dyDescent="0.25">
      <c r="A264" s="5"/>
      <c r="B264" s="22"/>
      <c r="C264" s="22"/>
      <c r="D264" s="23"/>
      <c r="E264" s="24"/>
      <c r="F264" s="13"/>
      <c r="G264" s="13"/>
      <c r="H264" s="7"/>
      <c r="I264" s="8"/>
      <c r="J264" s="9"/>
      <c r="K264" s="10"/>
      <c r="L264" s="10"/>
      <c r="M264" s="11"/>
      <c r="N264" s="10"/>
      <c r="O264" s="42"/>
      <c r="P264" s="10"/>
    </row>
    <row r="265" spans="1:16" x14ac:dyDescent="0.25">
      <c r="A265" s="5"/>
      <c r="B265" s="22"/>
      <c r="C265" s="22"/>
      <c r="D265" s="23"/>
      <c r="E265" s="24"/>
      <c r="F265" s="13"/>
      <c r="G265" s="13"/>
      <c r="H265" s="7"/>
      <c r="I265" s="8"/>
      <c r="J265" s="9"/>
      <c r="K265" s="10"/>
      <c r="L265" s="10"/>
      <c r="M265" s="11"/>
      <c r="N265" s="10"/>
      <c r="O265" s="42"/>
      <c r="P265" s="10"/>
    </row>
    <row r="266" spans="1:16" x14ac:dyDescent="0.25">
      <c r="A266" s="5"/>
      <c r="B266" s="22"/>
      <c r="C266" s="22"/>
      <c r="D266" s="23"/>
      <c r="E266" s="24"/>
      <c r="F266" s="13"/>
      <c r="G266" s="13"/>
      <c r="H266" s="7"/>
      <c r="I266" s="8"/>
      <c r="J266" s="9"/>
      <c r="K266" s="10"/>
      <c r="L266" s="10"/>
      <c r="M266" s="11"/>
      <c r="N266" s="10"/>
      <c r="O266" s="42"/>
      <c r="P266" s="10"/>
    </row>
    <row r="267" spans="1:16" x14ac:dyDescent="0.25">
      <c r="A267" s="5"/>
      <c r="B267" s="22"/>
      <c r="C267" s="22"/>
      <c r="D267" s="23"/>
      <c r="E267" s="24"/>
      <c r="F267" s="13"/>
      <c r="G267" s="13"/>
      <c r="H267" s="7"/>
      <c r="I267" s="8"/>
      <c r="J267" s="9"/>
      <c r="K267" s="10"/>
      <c r="L267" s="10"/>
      <c r="M267" s="11"/>
      <c r="N267" s="10"/>
      <c r="O267" s="42"/>
      <c r="P267" s="10"/>
    </row>
    <row r="268" spans="1:16" x14ac:dyDescent="0.25">
      <c r="A268" s="5"/>
      <c r="B268" s="22"/>
      <c r="C268" s="22"/>
      <c r="D268" s="23"/>
      <c r="E268" s="24"/>
      <c r="F268" s="13"/>
      <c r="G268" s="13"/>
      <c r="H268" s="7"/>
      <c r="I268" s="8"/>
      <c r="J268" s="9"/>
      <c r="K268" s="10"/>
      <c r="L268" s="10"/>
      <c r="M268" s="11"/>
      <c r="N268" s="10"/>
      <c r="O268" s="42"/>
      <c r="P268" s="10"/>
    </row>
    <row r="269" spans="1:16" x14ac:dyDescent="0.25">
      <c r="A269" s="5"/>
      <c r="B269" s="22"/>
      <c r="C269" s="22"/>
      <c r="D269" s="23"/>
      <c r="E269" s="24"/>
      <c r="F269" s="13"/>
      <c r="G269" s="13"/>
      <c r="H269" s="7"/>
      <c r="I269" s="8"/>
      <c r="J269" s="9"/>
      <c r="K269" s="10"/>
      <c r="L269" s="10"/>
      <c r="M269" s="11"/>
      <c r="N269" s="10"/>
      <c r="O269" s="42"/>
      <c r="P269" s="10"/>
    </row>
    <row r="270" spans="1:16" x14ac:dyDescent="0.25">
      <c r="A270" s="5"/>
      <c r="B270" s="22"/>
      <c r="C270" s="22"/>
      <c r="D270" s="23"/>
      <c r="E270" s="24"/>
      <c r="F270" s="13"/>
      <c r="G270" s="13"/>
      <c r="H270" s="7"/>
      <c r="I270" s="8"/>
      <c r="J270" s="9"/>
      <c r="K270" s="10"/>
      <c r="L270" s="10"/>
      <c r="M270" s="11"/>
      <c r="N270" s="10"/>
      <c r="O270" s="42"/>
      <c r="P270" s="10"/>
    </row>
    <row r="271" spans="1:16" x14ac:dyDescent="0.25">
      <c r="A271" s="5"/>
      <c r="B271" s="22"/>
      <c r="C271" s="22"/>
      <c r="D271" s="23"/>
      <c r="E271" s="24"/>
      <c r="F271" s="13"/>
      <c r="G271" s="13"/>
      <c r="H271" s="7"/>
      <c r="I271" s="8"/>
      <c r="J271" s="9"/>
      <c r="K271" s="10"/>
      <c r="L271" s="10"/>
      <c r="M271" s="11"/>
      <c r="N271" s="10"/>
      <c r="O271" s="42"/>
      <c r="P271" s="10"/>
    </row>
    <row r="272" spans="1:16" x14ac:dyDescent="0.25">
      <c r="A272" s="16"/>
      <c r="B272" s="22"/>
      <c r="C272" s="22"/>
      <c r="D272" s="23"/>
      <c r="E272" s="24"/>
      <c r="F272" s="13"/>
      <c r="G272" s="13"/>
      <c r="H272" s="7"/>
      <c r="I272" s="8"/>
      <c r="J272" s="9"/>
      <c r="K272" s="10"/>
      <c r="L272" s="10"/>
      <c r="M272" s="11"/>
      <c r="N272" s="10"/>
      <c r="O272" s="42"/>
      <c r="P272" s="10"/>
    </row>
    <row r="273" spans="1:16" x14ac:dyDescent="0.25">
      <c r="A273" s="5"/>
      <c r="B273" s="22"/>
      <c r="C273" s="22"/>
      <c r="D273" s="23"/>
      <c r="E273" s="24"/>
      <c r="F273" s="13"/>
      <c r="G273" s="13"/>
      <c r="H273" s="7"/>
      <c r="I273" s="8"/>
      <c r="J273" s="9"/>
      <c r="K273" s="10"/>
      <c r="L273" s="10"/>
      <c r="M273" s="11"/>
      <c r="N273" s="10"/>
      <c r="O273" s="42"/>
      <c r="P273" s="10"/>
    </row>
    <row r="274" spans="1:16" x14ac:dyDescent="0.25">
      <c r="A274" s="5"/>
      <c r="B274" s="22"/>
      <c r="C274" s="22"/>
      <c r="D274" s="23"/>
      <c r="E274" s="24"/>
      <c r="F274" s="13"/>
      <c r="G274" s="13"/>
      <c r="H274" s="7"/>
      <c r="I274" s="8"/>
      <c r="J274" s="9"/>
      <c r="K274" s="10"/>
      <c r="L274" s="10"/>
      <c r="M274" s="11"/>
      <c r="N274" s="10"/>
      <c r="O274" s="42"/>
      <c r="P274" s="10"/>
    </row>
    <row r="275" spans="1:16" x14ac:dyDescent="0.25">
      <c r="A275" s="5"/>
      <c r="B275" s="22"/>
      <c r="C275" s="22"/>
      <c r="D275" s="23"/>
      <c r="E275" s="24"/>
      <c r="F275" s="13"/>
      <c r="G275" s="13"/>
      <c r="H275" s="7"/>
      <c r="I275" s="8"/>
      <c r="J275" s="9"/>
      <c r="K275" s="10"/>
      <c r="L275" s="10"/>
      <c r="M275" s="11"/>
      <c r="N275" s="10"/>
      <c r="O275" s="42"/>
      <c r="P275" s="10"/>
    </row>
    <row r="276" spans="1:16" x14ac:dyDescent="0.25">
      <c r="A276" s="5"/>
      <c r="B276" s="22"/>
      <c r="C276" s="22"/>
      <c r="D276" s="23"/>
      <c r="E276" s="24"/>
      <c r="F276" s="13"/>
      <c r="G276" s="13"/>
      <c r="H276" s="7"/>
      <c r="I276" s="8"/>
      <c r="J276" s="9"/>
      <c r="K276" s="10"/>
      <c r="L276" s="10"/>
      <c r="M276" s="11"/>
      <c r="N276" s="10"/>
      <c r="O276" s="42"/>
      <c r="P276" s="10"/>
    </row>
    <row r="277" spans="1:16" x14ac:dyDescent="0.25">
      <c r="A277" s="5"/>
      <c r="B277" s="22"/>
      <c r="C277" s="22"/>
      <c r="D277" s="23"/>
      <c r="E277" s="24"/>
      <c r="F277" s="13"/>
      <c r="G277" s="13"/>
      <c r="H277" s="7"/>
      <c r="I277" s="8"/>
      <c r="J277" s="9"/>
      <c r="K277" s="10"/>
      <c r="L277" s="10"/>
      <c r="M277" s="11"/>
      <c r="N277" s="10"/>
      <c r="O277" s="42"/>
      <c r="P277" s="10"/>
    </row>
    <row r="278" spans="1:16" x14ac:dyDescent="0.25">
      <c r="A278" s="5"/>
      <c r="B278" s="22"/>
      <c r="C278" s="22"/>
      <c r="D278" s="23"/>
      <c r="E278" s="24"/>
      <c r="F278" s="13"/>
      <c r="G278" s="13"/>
      <c r="H278" s="7"/>
      <c r="I278" s="8"/>
      <c r="J278" s="9"/>
      <c r="K278" s="10"/>
      <c r="L278" s="10"/>
      <c r="M278" s="11"/>
      <c r="N278" s="10"/>
      <c r="O278" s="42"/>
      <c r="P278" s="10"/>
    </row>
    <row r="279" spans="1:16" x14ac:dyDescent="0.25">
      <c r="A279" s="5"/>
      <c r="B279" s="22"/>
      <c r="C279" s="22"/>
      <c r="D279" s="23"/>
      <c r="E279" s="24"/>
      <c r="F279" s="13"/>
      <c r="G279" s="13"/>
      <c r="H279" s="7"/>
      <c r="I279" s="8"/>
      <c r="J279" s="9"/>
      <c r="K279" s="10"/>
      <c r="L279" s="10"/>
      <c r="M279" s="11"/>
      <c r="N279" s="10"/>
      <c r="O279" s="42"/>
      <c r="P279" s="10"/>
    </row>
    <row r="280" spans="1:16" x14ac:dyDescent="0.25">
      <c r="A280" s="5"/>
      <c r="B280" s="22"/>
      <c r="C280" s="22"/>
      <c r="D280" s="23"/>
      <c r="E280" s="24"/>
      <c r="F280" s="13"/>
      <c r="G280" s="13"/>
      <c r="H280" s="7"/>
      <c r="I280" s="8"/>
      <c r="J280" s="9"/>
      <c r="K280" s="10"/>
      <c r="L280" s="10"/>
      <c r="M280" s="11"/>
      <c r="N280" s="10"/>
      <c r="O280" s="42"/>
      <c r="P280" s="10"/>
    </row>
    <row r="281" spans="1:16" x14ac:dyDescent="0.25">
      <c r="A281" s="5"/>
      <c r="B281" s="22"/>
      <c r="C281" s="22"/>
      <c r="D281" s="23"/>
      <c r="E281" s="24"/>
      <c r="F281" s="13"/>
      <c r="G281" s="13"/>
      <c r="H281" s="7"/>
      <c r="I281" s="8"/>
      <c r="J281" s="9"/>
      <c r="K281" s="10"/>
      <c r="L281" s="10"/>
      <c r="M281" s="11"/>
      <c r="N281" s="10"/>
      <c r="O281" s="42"/>
      <c r="P281" s="10"/>
    </row>
    <row r="282" spans="1:16" x14ac:dyDescent="0.25">
      <c r="A282" s="5"/>
      <c r="B282" s="22"/>
      <c r="C282" s="22"/>
      <c r="D282" s="23"/>
      <c r="E282" s="24"/>
      <c r="F282" s="13"/>
      <c r="G282" s="13"/>
      <c r="H282" s="7"/>
      <c r="I282" s="8"/>
      <c r="J282" s="9"/>
      <c r="K282" s="10"/>
      <c r="L282" s="10"/>
      <c r="M282" s="11"/>
      <c r="N282" s="10"/>
      <c r="O282" s="42"/>
      <c r="P282" s="10"/>
    </row>
    <row r="283" spans="1:16" x14ac:dyDescent="0.25">
      <c r="A283" s="5"/>
      <c r="B283" s="22"/>
      <c r="C283" s="22"/>
      <c r="D283" s="23"/>
      <c r="E283" s="24"/>
      <c r="F283" s="13"/>
      <c r="G283" s="13"/>
      <c r="H283" s="7"/>
      <c r="I283" s="8"/>
      <c r="J283" s="9"/>
      <c r="K283" s="10"/>
      <c r="L283" s="10"/>
      <c r="M283" s="11"/>
      <c r="N283" s="10"/>
      <c r="O283" s="42"/>
      <c r="P283" s="10"/>
    </row>
    <row r="284" spans="1:16" x14ac:dyDescent="0.25">
      <c r="A284" s="5"/>
      <c r="B284" s="22"/>
      <c r="C284" s="22"/>
      <c r="D284" s="23"/>
      <c r="E284" s="24"/>
      <c r="F284" s="13"/>
      <c r="G284" s="13"/>
      <c r="H284" s="7"/>
      <c r="I284" s="8"/>
      <c r="J284" s="9"/>
      <c r="K284" s="10"/>
      <c r="L284" s="10"/>
      <c r="M284" s="11"/>
      <c r="N284" s="10"/>
      <c r="O284" s="42"/>
      <c r="P284" s="10"/>
    </row>
    <row r="285" spans="1:16" x14ac:dyDescent="0.25">
      <c r="A285" s="5"/>
      <c r="B285" s="22"/>
      <c r="C285" s="22"/>
      <c r="D285" s="23"/>
      <c r="E285" s="24"/>
      <c r="F285" s="13"/>
      <c r="G285" s="13"/>
      <c r="H285" s="7"/>
      <c r="I285" s="8"/>
      <c r="J285" s="9"/>
      <c r="K285" s="10"/>
      <c r="L285" s="10"/>
      <c r="M285" s="11"/>
      <c r="N285" s="10"/>
      <c r="O285" s="42"/>
      <c r="P285" s="10"/>
    </row>
    <row r="286" spans="1:16" x14ac:dyDescent="0.25">
      <c r="A286" s="5"/>
      <c r="B286" s="22"/>
      <c r="C286" s="22"/>
      <c r="D286" s="23"/>
      <c r="E286" s="24"/>
      <c r="F286" s="13"/>
      <c r="G286" s="13"/>
      <c r="H286" s="7"/>
      <c r="I286" s="8"/>
      <c r="J286" s="9"/>
      <c r="K286" s="10"/>
      <c r="L286" s="10"/>
      <c r="M286" s="11"/>
      <c r="N286" s="10"/>
      <c r="O286" s="42"/>
      <c r="P286" s="10"/>
    </row>
    <row r="287" spans="1:16" x14ac:dyDescent="0.25">
      <c r="A287" s="5"/>
      <c r="B287" s="22"/>
      <c r="C287" s="22"/>
      <c r="D287" s="23"/>
      <c r="E287" s="24"/>
      <c r="F287" s="13"/>
      <c r="G287" s="13"/>
      <c r="H287" s="7"/>
      <c r="I287" s="8"/>
      <c r="J287" s="9"/>
      <c r="K287" s="10"/>
      <c r="L287" s="10"/>
      <c r="M287" s="11"/>
      <c r="N287" s="10"/>
      <c r="O287" s="42"/>
      <c r="P287" s="10"/>
    </row>
    <row r="288" spans="1:16" x14ac:dyDescent="0.25">
      <c r="A288" s="5"/>
      <c r="B288" s="22"/>
      <c r="C288" s="22"/>
      <c r="D288" s="23"/>
      <c r="E288" s="24"/>
      <c r="F288" s="13"/>
      <c r="G288" s="13"/>
      <c r="H288" s="7"/>
      <c r="I288" s="8"/>
      <c r="J288" s="9"/>
      <c r="K288" s="10"/>
      <c r="L288" s="10"/>
      <c r="M288" s="11"/>
      <c r="N288" s="10"/>
      <c r="O288" s="42"/>
      <c r="P288" s="10"/>
    </row>
    <row r="289" spans="1:16" x14ac:dyDescent="0.25">
      <c r="A289" s="5"/>
      <c r="B289" s="22"/>
      <c r="C289" s="22"/>
      <c r="D289" s="23"/>
      <c r="E289" s="24"/>
      <c r="F289" s="13"/>
      <c r="G289" s="13"/>
      <c r="H289" s="7"/>
      <c r="I289" s="8"/>
      <c r="J289" s="9"/>
      <c r="K289" s="10"/>
      <c r="L289" s="10"/>
      <c r="M289" s="11"/>
      <c r="N289" s="10"/>
      <c r="O289" s="42"/>
      <c r="P289" s="10"/>
    </row>
    <row r="290" spans="1:16" x14ac:dyDescent="0.25">
      <c r="A290" s="5"/>
      <c r="B290" s="22"/>
      <c r="C290" s="22"/>
      <c r="D290" s="23"/>
      <c r="E290" s="24"/>
      <c r="F290" s="13"/>
      <c r="G290" s="13"/>
      <c r="H290" s="7"/>
      <c r="I290" s="8"/>
      <c r="J290" s="9"/>
      <c r="K290" s="10"/>
      <c r="L290" s="10"/>
      <c r="M290" s="11"/>
      <c r="N290" s="10"/>
      <c r="O290" s="42"/>
      <c r="P290" s="10"/>
    </row>
    <row r="291" spans="1:16" x14ac:dyDescent="0.25">
      <c r="A291" s="5"/>
      <c r="B291" s="22"/>
      <c r="C291" s="22"/>
      <c r="D291" s="23"/>
      <c r="E291" s="24"/>
      <c r="F291" s="13"/>
      <c r="G291" s="13"/>
      <c r="H291" s="7"/>
      <c r="I291" s="8"/>
      <c r="J291" s="9"/>
      <c r="K291" s="10"/>
      <c r="L291" s="10"/>
      <c r="M291" s="11"/>
      <c r="N291" s="10"/>
      <c r="O291" s="42"/>
      <c r="P291" s="10"/>
    </row>
    <row r="292" spans="1:16" x14ac:dyDescent="0.25">
      <c r="A292" s="5"/>
      <c r="B292" s="22"/>
      <c r="C292" s="22"/>
      <c r="D292" s="23"/>
      <c r="E292" s="24"/>
      <c r="F292" s="13"/>
      <c r="G292" s="13"/>
      <c r="H292" s="7"/>
      <c r="I292" s="8"/>
      <c r="J292" s="9"/>
      <c r="K292" s="10"/>
      <c r="L292" s="10"/>
      <c r="M292" s="11"/>
      <c r="N292" s="10"/>
      <c r="O292" s="42"/>
      <c r="P292" s="10"/>
    </row>
    <row r="293" spans="1:16" x14ac:dyDescent="0.25">
      <c r="A293" s="5"/>
      <c r="B293" s="22"/>
      <c r="C293" s="22"/>
      <c r="D293" s="23"/>
      <c r="E293" s="24"/>
      <c r="F293" s="13"/>
      <c r="G293" s="13"/>
      <c r="H293" s="7"/>
      <c r="I293" s="8"/>
      <c r="J293" s="9"/>
      <c r="K293" s="10"/>
      <c r="L293" s="10"/>
      <c r="M293" s="11"/>
      <c r="N293" s="10"/>
      <c r="O293" s="42"/>
      <c r="P293" s="10"/>
    </row>
    <row r="294" spans="1:16" x14ac:dyDescent="0.25">
      <c r="A294" s="5"/>
      <c r="B294" s="22"/>
      <c r="C294" s="22"/>
      <c r="D294" s="23"/>
      <c r="E294" s="24"/>
      <c r="F294" s="13"/>
      <c r="G294" s="13"/>
      <c r="H294" s="7"/>
      <c r="I294" s="8"/>
      <c r="J294" s="9"/>
      <c r="K294" s="10"/>
      <c r="L294" s="10"/>
      <c r="M294" s="11"/>
      <c r="N294" s="10"/>
      <c r="O294" s="42"/>
      <c r="P294" s="10"/>
    </row>
    <row r="295" spans="1:16" x14ac:dyDescent="0.25">
      <c r="A295" s="5"/>
      <c r="B295" s="22"/>
      <c r="C295" s="22"/>
      <c r="D295" s="23"/>
      <c r="E295" s="24"/>
      <c r="F295" s="13"/>
      <c r="G295" s="13"/>
      <c r="H295" s="7"/>
      <c r="I295" s="8"/>
      <c r="J295" s="9"/>
      <c r="K295" s="10"/>
      <c r="L295" s="10"/>
      <c r="M295" s="11"/>
      <c r="N295" s="10"/>
      <c r="O295" s="42"/>
      <c r="P295" s="10"/>
    </row>
    <row r="296" spans="1:16" x14ac:dyDescent="0.25">
      <c r="A296" s="5"/>
      <c r="B296" s="22"/>
      <c r="C296" s="22"/>
      <c r="D296" s="23"/>
      <c r="E296" s="24"/>
      <c r="F296" s="13"/>
      <c r="G296" s="13"/>
      <c r="H296" s="7"/>
      <c r="I296" s="8"/>
      <c r="J296" s="9"/>
      <c r="K296" s="10"/>
      <c r="L296" s="10"/>
      <c r="M296" s="11"/>
      <c r="N296" s="10"/>
      <c r="O296" s="42"/>
      <c r="P296" s="10"/>
    </row>
    <row r="297" spans="1:16" x14ac:dyDescent="0.25">
      <c r="A297" s="5"/>
      <c r="B297" s="22"/>
      <c r="C297" s="22"/>
      <c r="D297" s="23"/>
      <c r="E297" s="24"/>
      <c r="F297" s="13"/>
      <c r="G297" s="13"/>
      <c r="H297" s="7"/>
      <c r="I297" s="8"/>
      <c r="J297" s="9"/>
      <c r="K297" s="10"/>
      <c r="L297" s="10"/>
      <c r="M297" s="11"/>
      <c r="N297" s="10"/>
      <c r="O297" s="42"/>
      <c r="P297" s="10"/>
    </row>
    <row r="298" spans="1:16" x14ac:dyDescent="0.25">
      <c r="A298" s="5"/>
      <c r="B298" s="22"/>
      <c r="C298" s="22"/>
      <c r="D298" s="23"/>
      <c r="E298" s="24"/>
      <c r="F298" s="13"/>
      <c r="G298" s="13"/>
      <c r="H298" s="7"/>
      <c r="I298" s="8"/>
      <c r="J298" s="9"/>
      <c r="K298" s="10"/>
      <c r="L298" s="10"/>
      <c r="M298" s="11"/>
      <c r="N298" s="10"/>
      <c r="O298" s="42"/>
      <c r="P298" s="10"/>
    </row>
    <row r="299" spans="1:16" x14ac:dyDescent="0.25">
      <c r="A299" s="5"/>
      <c r="B299" s="22"/>
      <c r="C299" s="22"/>
      <c r="D299" s="23"/>
      <c r="E299" s="24"/>
      <c r="F299" s="13"/>
      <c r="G299" s="13"/>
      <c r="H299" s="7"/>
      <c r="I299" s="8"/>
      <c r="J299" s="9"/>
      <c r="K299" s="10"/>
      <c r="L299" s="10"/>
      <c r="M299" s="11"/>
      <c r="N299" s="10"/>
      <c r="O299" s="42"/>
      <c r="P299" s="10"/>
    </row>
    <row r="300" spans="1:16" x14ac:dyDescent="0.25">
      <c r="A300" s="5"/>
      <c r="B300" s="22"/>
      <c r="C300" s="22"/>
      <c r="D300" s="23"/>
      <c r="E300" s="24"/>
      <c r="F300" s="13"/>
      <c r="G300" s="13"/>
      <c r="H300" s="7"/>
      <c r="I300" s="8"/>
      <c r="J300" s="9"/>
      <c r="K300" s="10"/>
      <c r="L300" s="10"/>
      <c r="M300" s="11"/>
      <c r="N300" s="10"/>
      <c r="O300" s="42"/>
      <c r="P300" s="10"/>
    </row>
    <row r="301" spans="1:16" x14ac:dyDescent="0.25">
      <c r="A301" s="5"/>
      <c r="B301" s="22"/>
      <c r="C301" s="22"/>
      <c r="D301" s="23"/>
      <c r="E301" s="24"/>
      <c r="F301" s="13"/>
      <c r="G301" s="13"/>
      <c r="H301" s="7"/>
      <c r="I301" s="8"/>
      <c r="J301" s="9"/>
      <c r="K301" s="10"/>
      <c r="L301" s="10"/>
      <c r="M301" s="11"/>
      <c r="N301" s="10"/>
      <c r="O301" s="42"/>
      <c r="P301" s="10"/>
    </row>
    <row r="302" spans="1:16" x14ac:dyDescent="0.25">
      <c r="A302" s="5"/>
      <c r="B302" s="22"/>
      <c r="C302" s="22"/>
      <c r="D302" s="23"/>
      <c r="E302" s="24"/>
      <c r="F302" s="13"/>
      <c r="G302" s="13"/>
      <c r="H302" s="7"/>
      <c r="I302" s="8"/>
      <c r="J302" s="9"/>
      <c r="K302" s="10"/>
      <c r="L302" s="10"/>
      <c r="M302" s="11"/>
      <c r="N302" s="10"/>
      <c r="O302" s="42"/>
      <c r="P302" s="10"/>
    </row>
    <row r="303" spans="1:16" x14ac:dyDescent="0.25">
      <c r="A303" s="5"/>
      <c r="B303" s="22"/>
      <c r="C303" s="22"/>
      <c r="D303" s="23"/>
      <c r="E303" s="24"/>
      <c r="F303" s="13"/>
      <c r="G303" s="13"/>
      <c r="H303" s="7"/>
      <c r="I303" s="8"/>
      <c r="J303" s="9"/>
      <c r="K303" s="10"/>
      <c r="L303" s="10"/>
      <c r="M303" s="11"/>
      <c r="N303" s="10"/>
      <c r="O303" s="42"/>
      <c r="P303" s="10"/>
    </row>
    <row r="304" spans="1:16" x14ac:dyDescent="0.25">
      <c r="A304" s="16"/>
      <c r="B304" s="22"/>
      <c r="C304" s="22"/>
      <c r="D304" s="23"/>
      <c r="E304" s="24"/>
      <c r="F304" s="13"/>
      <c r="G304" s="13"/>
      <c r="H304" s="7"/>
      <c r="I304" s="8"/>
      <c r="J304" s="9"/>
      <c r="K304" s="10"/>
      <c r="L304" s="10"/>
      <c r="M304" s="11"/>
      <c r="N304" s="10"/>
      <c r="O304" s="42"/>
      <c r="P304" s="10"/>
    </row>
    <row r="305" spans="1:16" x14ac:dyDescent="0.25">
      <c r="A305" s="16"/>
      <c r="B305" s="22"/>
      <c r="C305" s="22"/>
      <c r="D305" s="23"/>
      <c r="E305" s="24"/>
      <c r="F305" s="13"/>
      <c r="G305" s="13"/>
      <c r="H305" s="7"/>
      <c r="I305" s="8"/>
      <c r="J305" s="9"/>
      <c r="K305" s="10"/>
      <c r="L305" s="10"/>
      <c r="M305" s="11"/>
      <c r="N305" s="10"/>
      <c r="O305" s="42"/>
      <c r="P305" s="10"/>
    </row>
    <row r="306" spans="1:16" x14ac:dyDescent="0.25">
      <c r="A306" s="5"/>
      <c r="B306" s="22"/>
      <c r="C306" s="22"/>
      <c r="D306" s="23"/>
      <c r="E306" s="24"/>
      <c r="F306" s="13"/>
      <c r="G306" s="13"/>
      <c r="H306" s="7"/>
      <c r="I306" s="8"/>
      <c r="J306" s="9"/>
      <c r="K306" s="10"/>
      <c r="L306" s="10"/>
      <c r="M306" s="11"/>
      <c r="N306" s="10"/>
      <c r="O306" s="42"/>
      <c r="P306" s="10"/>
    </row>
    <row r="307" spans="1:16" x14ac:dyDescent="0.25">
      <c r="A307" s="5"/>
      <c r="B307" s="22"/>
      <c r="C307" s="22"/>
      <c r="D307" s="23"/>
      <c r="E307" s="24"/>
      <c r="F307" s="13"/>
      <c r="G307" s="13"/>
      <c r="H307" s="7"/>
      <c r="I307" s="8"/>
      <c r="J307" s="9"/>
      <c r="K307" s="10"/>
      <c r="L307" s="10"/>
      <c r="M307" s="11"/>
      <c r="N307" s="10"/>
      <c r="O307" s="42"/>
      <c r="P307" s="10"/>
    </row>
    <row r="308" spans="1:16" x14ac:dyDescent="0.25">
      <c r="A308" s="5"/>
      <c r="B308" s="22"/>
      <c r="C308" s="22"/>
      <c r="D308" s="23"/>
      <c r="E308" s="24"/>
      <c r="F308" s="13"/>
      <c r="G308" s="13"/>
      <c r="H308" s="7"/>
      <c r="I308" s="8"/>
      <c r="J308" s="9"/>
      <c r="K308" s="10"/>
      <c r="L308" s="10"/>
      <c r="M308" s="11"/>
      <c r="N308" s="10"/>
      <c r="O308" s="42"/>
      <c r="P308" s="10"/>
    </row>
    <row r="309" spans="1:16" x14ac:dyDescent="0.25">
      <c r="A309" s="5"/>
      <c r="B309" s="22"/>
      <c r="C309" s="22"/>
      <c r="D309" s="23"/>
      <c r="E309" s="24"/>
      <c r="F309" s="13"/>
      <c r="G309" s="13"/>
      <c r="H309" s="7"/>
      <c r="I309" s="8"/>
      <c r="J309" s="9"/>
      <c r="K309" s="10"/>
      <c r="L309" s="10"/>
      <c r="M309" s="11"/>
      <c r="N309" s="10"/>
      <c r="O309" s="42"/>
      <c r="P309" s="10"/>
    </row>
    <row r="310" spans="1:16" x14ac:dyDescent="0.25">
      <c r="A310" s="5"/>
      <c r="B310" s="22"/>
      <c r="C310" s="22"/>
      <c r="D310" s="23"/>
      <c r="E310" s="24"/>
      <c r="F310" s="13"/>
      <c r="G310" s="13"/>
      <c r="H310" s="7"/>
      <c r="I310" s="8"/>
      <c r="J310" s="9"/>
      <c r="K310" s="10"/>
      <c r="L310" s="10"/>
      <c r="M310" s="11"/>
      <c r="N310" s="10"/>
      <c r="O310" s="42"/>
      <c r="P310" s="10"/>
    </row>
    <row r="311" spans="1:16" x14ac:dyDescent="0.25">
      <c r="A311" s="5"/>
      <c r="B311" s="22"/>
      <c r="C311" s="22"/>
      <c r="D311" s="23"/>
      <c r="E311" s="24"/>
      <c r="F311" s="13"/>
      <c r="G311" s="13"/>
      <c r="H311" s="7"/>
      <c r="I311" s="8"/>
      <c r="J311" s="9"/>
      <c r="K311" s="10"/>
      <c r="L311" s="10"/>
      <c r="M311" s="11"/>
      <c r="N311" s="10"/>
      <c r="O311" s="42"/>
      <c r="P311" s="10"/>
    </row>
    <row r="312" spans="1:16" x14ac:dyDescent="0.25">
      <c r="A312" s="5"/>
      <c r="B312" s="22"/>
      <c r="C312" s="22"/>
      <c r="D312" s="23"/>
      <c r="E312" s="24"/>
      <c r="F312" s="13"/>
      <c r="G312" s="13"/>
      <c r="H312" s="7"/>
      <c r="I312" s="8"/>
      <c r="J312" s="9"/>
      <c r="K312" s="10"/>
      <c r="L312" s="10"/>
      <c r="M312" s="11"/>
      <c r="N312" s="10"/>
      <c r="O312" s="42"/>
      <c r="P312" s="10"/>
    </row>
    <row r="313" spans="1:16" x14ac:dyDescent="0.25">
      <c r="A313" s="5"/>
      <c r="B313" s="22"/>
      <c r="C313" s="22"/>
      <c r="D313" s="23"/>
      <c r="E313" s="24"/>
      <c r="F313" s="13"/>
      <c r="G313" s="13"/>
      <c r="H313" s="7"/>
      <c r="I313" s="8"/>
      <c r="J313" s="9"/>
      <c r="K313" s="10"/>
      <c r="L313" s="10"/>
      <c r="M313" s="11"/>
      <c r="N313" s="10"/>
      <c r="O313" s="42"/>
      <c r="P313" s="10"/>
    </row>
    <row r="314" spans="1:16" x14ac:dyDescent="0.25">
      <c r="A314" s="5"/>
      <c r="B314" s="22"/>
      <c r="C314" s="22"/>
      <c r="D314" s="23"/>
      <c r="E314" s="24"/>
      <c r="F314" s="13"/>
      <c r="G314" s="13"/>
      <c r="H314" s="7"/>
      <c r="I314" s="8"/>
      <c r="J314" s="9"/>
      <c r="K314" s="10"/>
      <c r="L314" s="10"/>
      <c r="M314" s="11"/>
      <c r="N314" s="10"/>
      <c r="O314" s="42"/>
      <c r="P314" s="10"/>
    </row>
    <row r="315" spans="1:16" x14ac:dyDescent="0.25">
      <c r="A315" s="5"/>
      <c r="B315" s="22"/>
      <c r="C315" s="22"/>
      <c r="D315" s="23"/>
      <c r="E315" s="24"/>
      <c r="F315" s="13"/>
      <c r="G315" s="13"/>
      <c r="H315" s="7"/>
      <c r="I315" s="8"/>
      <c r="J315" s="9"/>
      <c r="K315" s="10"/>
      <c r="L315" s="10"/>
      <c r="M315" s="11"/>
      <c r="N315" s="10"/>
      <c r="O315" s="42"/>
      <c r="P315" s="10"/>
    </row>
    <row r="316" spans="1:16" x14ac:dyDescent="0.25">
      <c r="A316" s="5"/>
      <c r="B316" s="22"/>
      <c r="C316" s="22"/>
      <c r="D316" s="23"/>
      <c r="E316" s="24"/>
      <c r="F316" s="13"/>
      <c r="G316" s="13"/>
      <c r="H316" s="7"/>
      <c r="I316" s="8"/>
      <c r="J316" s="9"/>
      <c r="K316" s="10"/>
      <c r="L316" s="10"/>
      <c r="M316" s="11"/>
      <c r="N316" s="10"/>
      <c r="O316" s="42"/>
      <c r="P316" s="10"/>
    </row>
    <row r="317" spans="1:16" x14ac:dyDescent="0.25">
      <c r="A317" s="5"/>
      <c r="B317" s="22"/>
      <c r="C317" s="22"/>
      <c r="D317" s="23"/>
      <c r="E317" s="24"/>
      <c r="F317" s="13"/>
      <c r="G317" s="13"/>
      <c r="H317" s="7"/>
      <c r="I317" s="8"/>
      <c r="J317" s="9"/>
      <c r="K317" s="10"/>
      <c r="L317" s="10"/>
      <c r="M317" s="11"/>
      <c r="N317" s="10"/>
      <c r="O317" s="42"/>
      <c r="P317" s="10"/>
    </row>
    <row r="318" spans="1:16" x14ac:dyDescent="0.25">
      <c r="A318" s="5"/>
      <c r="B318" s="22"/>
      <c r="C318" s="22"/>
      <c r="D318" s="23"/>
      <c r="E318" s="24"/>
      <c r="F318" s="13"/>
      <c r="G318" s="13"/>
      <c r="H318" s="7"/>
      <c r="I318" s="8"/>
      <c r="J318" s="9"/>
      <c r="K318" s="10"/>
      <c r="L318" s="10"/>
      <c r="M318" s="11"/>
      <c r="N318" s="10"/>
      <c r="O318" s="42"/>
      <c r="P318" s="10"/>
    </row>
    <row r="319" spans="1:16" x14ac:dyDescent="0.25">
      <c r="A319" s="5"/>
      <c r="B319" s="22"/>
      <c r="C319" s="22"/>
      <c r="D319" s="23"/>
      <c r="E319" s="24"/>
      <c r="F319" s="13"/>
      <c r="G319" s="13"/>
      <c r="H319" s="7"/>
      <c r="I319" s="8"/>
      <c r="J319" s="9"/>
      <c r="K319" s="10"/>
      <c r="L319" s="10"/>
      <c r="M319" s="11"/>
      <c r="N319" s="10"/>
      <c r="O319" s="42"/>
      <c r="P319" s="10"/>
    </row>
    <row r="320" spans="1:16" x14ac:dyDescent="0.25">
      <c r="A320" s="5"/>
      <c r="B320" s="22"/>
      <c r="C320" s="22"/>
      <c r="D320" s="23"/>
      <c r="E320" s="24"/>
      <c r="F320" s="13"/>
      <c r="G320" s="13"/>
      <c r="H320" s="7"/>
      <c r="I320" s="8"/>
      <c r="J320" s="9"/>
      <c r="K320" s="10"/>
      <c r="L320" s="10"/>
      <c r="M320" s="11"/>
      <c r="N320" s="10"/>
      <c r="O320" s="42"/>
      <c r="P320" s="10"/>
    </row>
    <row r="321" spans="1:16" x14ac:dyDescent="0.25">
      <c r="A321" s="5"/>
      <c r="B321" s="22"/>
      <c r="C321" s="22"/>
      <c r="D321" s="23"/>
      <c r="E321" s="24"/>
      <c r="F321" s="13"/>
      <c r="G321" s="13"/>
      <c r="H321" s="7"/>
      <c r="I321" s="8"/>
      <c r="J321" s="9"/>
      <c r="K321" s="10"/>
      <c r="L321" s="10"/>
      <c r="M321" s="11"/>
      <c r="N321" s="10"/>
      <c r="O321" s="42"/>
      <c r="P321" s="10"/>
    </row>
    <row r="322" spans="1:16" x14ac:dyDescent="0.25">
      <c r="A322" s="5"/>
      <c r="B322" s="22"/>
      <c r="C322" s="22"/>
      <c r="D322" s="23"/>
      <c r="E322" s="24"/>
      <c r="F322" s="13"/>
      <c r="G322" s="13"/>
      <c r="H322" s="7"/>
      <c r="I322" s="8"/>
      <c r="J322" s="9"/>
      <c r="K322" s="10"/>
      <c r="L322" s="10"/>
      <c r="M322" s="11"/>
      <c r="N322" s="10"/>
      <c r="O322" s="42"/>
      <c r="P322" s="10"/>
    </row>
    <row r="323" spans="1:16" x14ac:dyDescent="0.25">
      <c r="A323" s="5"/>
      <c r="B323" s="22"/>
      <c r="C323" s="22"/>
      <c r="D323" s="23"/>
      <c r="E323" s="24"/>
      <c r="F323" s="13"/>
      <c r="G323" s="13"/>
      <c r="H323" s="7"/>
      <c r="I323" s="8"/>
      <c r="J323" s="9"/>
      <c r="K323" s="10"/>
      <c r="L323" s="10"/>
      <c r="M323" s="11"/>
      <c r="N323" s="10"/>
      <c r="O323" s="42"/>
      <c r="P323" s="10"/>
    </row>
    <row r="324" spans="1:16" x14ac:dyDescent="0.25">
      <c r="A324" s="5"/>
      <c r="B324" s="22"/>
      <c r="C324" s="22"/>
      <c r="D324" s="23"/>
      <c r="E324" s="24"/>
      <c r="F324" s="13"/>
      <c r="G324" s="13"/>
      <c r="H324" s="7"/>
      <c r="I324" s="8"/>
      <c r="J324" s="9"/>
      <c r="K324" s="10"/>
      <c r="L324" s="10"/>
      <c r="M324" s="11"/>
      <c r="N324" s="10"/>
      <c r="O324" s="42"/>
      <c r="P324" s="10"/>
    </row>
    <row r="325" spans="1:16" x14ac:dyDescent="0.25">
      <c r="A325" s="5"/>
      <c r="B325" s="22"/>
      <c r="C325" s="22"/>
      <c r="D325" s="23"/>
      <c r="E325" s="24"/>
      <c r="F325" s="13"/>
      <c r="G325" s="13"/>
      <c r="H325" s="7"/>
      <c r="I325" s="8"/>
      <c r="J325" s="9"/>
      <c r="K325" s="10"/>
      <c r="L325" s="10"/>
      <c r="M325" s="11"/>
      <c r="N325" s="10"/>
      <c r="O325" s="42"/>
      <c r="P325" s="10"/>
    </row>
    <row r="326" spans="1:16" x14ac:dyDescent="0.25">
      <c r="A326" s="5"/>
      <c r="B326" s="22"/>
      <c r="C326" s="22"/>
      <c r="D326" s="23"/>
      <c r="E326" s="24"/>
      <c r="F326" s="13"/>
      <c r="G326" s="13"/>
      <c r="H326" s="7"/>
      <c r="I326" s="8"/>
      <c r="J326" s="9"/>
      <c r="K326" s="10"/>
      <c r="L326" s="10"/>
      <c r="M326" s="11"/>
      <c r="N326" s="10"/>
      <c r="O326" s="42"/>
      <c r="P326" s="10"/>
    </row>
    <row r="327" spans="1:16" x14ac:dyDescent="0.25">
      <c r="A327" s="5"/>
      <c r="B327" s="22"/>
      <c r="C327" s="22"/>
      <c r="D327" s="23"/>
      <c r="E327" s="24"/>
      <c r="F327" s="13"/>
      <c r="G327" s="13"/>
      <c r="H327" s="7"/>
      <c r="I327" s="8"/>
      <c r="J327" s="9"/>
      <c r="K327" s="10"/>
      <c r="L327" s="10"/>
      <c r="M327" s="11"/>
      <c r="N327" s="10"/>
      <c r="O327" s="42"/>
      <c r="P327" s="10"/>
    </row>
    <row r="328" spans="1:16" x14ac:dyDescent="0.25">
      <c r="A328" s="5"/>
      <c r="B328" s="22"/>
      <c r="C328" s="22"/>
      <c r="D328" s="23"/>
      <c r="E328" s="24"/>
      <c r="F328" s="13"/>
      <c r="G328" s="13"/>
      <c r="H328" s="7"/>
      <c r="I328" s="8"/>
      <c r="J328" s="9"/>
      <c r="K328" s="10"/>
      <c r="L328" s="10"/>
      <c r="M328" s="11"/>
      <c r="N328" s="10"/>
      <c r="O328" s="42"/>
      <c r="P328" s="10"/>
    </row>
    <row r="329" spans="1:16" x14ac:dyDescent="0.25">
      <c r="A329" s="5"/>
      <c r="B329" s="22"/>
      <c r="C329" s="22"/>
      <c r="D329" s="23"/>
      <c r="E329" s="24"/>
      <c r="F329" s="13"/>
      <c r="G329" s="13"/>
      <c r="H329" s="7"/>
      <c r="I329" s="8"/>
      <c r="J329" s="9"/>
      <c r="K329" s="10"/>
      <c r="L329" s="10"/>
      <c r="M329" s="11"/>
      <c r="N329" s="10"/>
      <c r="O329" s="42"/>
      <c r="P329" s="10"/>
    </row>
    <row r="330" spans="1:16" x14ac:dyDescent="0.25">
      <c r="A330" s="5"/>
      <c r="B330" s="22"/>
      <c r="C330" s="22"/>
      <c r="D330" s="23"/>
      <c r="E330" s="24"/>
      <c r="F330" s="13"/>
      <c r="G330" s="13"/>
      <c r="H330" s="7"/>
      <c r="I330" s="13"/>
      <c r="J330" s="9"/>
      <c r="K330" s="10"/>
      <c r="L330" s="10"/>
      <c r="M330" s="11"/>
      <c r="N330" s="10"/>
      <c r="O330" s="42"/>
      <c r="P330" s="10"/>
    </row>
    <row r="331" spans="1:16" x14ac:dyDescent="0.25">
      <c r="A331" s="5"/>
      <c r="B331" s="22"/>
      <c r="C331" s="22"/>
      <c r="D331" s="23"/>
      <c r="E331" s="24"/>
      <c r="F331" s="13"/>
      <c r="G331" s="13"/>
      <c r="H331" s="7"/>
      <c r="I331" s="8"/>
      <c r="J331" s="9"/>
      <c r="K331" s="10"/>
      <c r="L331" s="10"/>
      <c r="M331" s="11"/>
      <c r="N331" s="10"/>
      <c r="O331" s="42"/>
      <c r="P331" s="10"/>
    </row>
    <row r="332" spans="1:16" x14ac:dyDescent="0.25">
      <c r="A332" s="5"/>
      <c r="B332" s="22"/>
      <c r="C332" s="22"/>
      <c r="D332" s="23"/>
      <c r="E332" s="24"/>
      <c r="F332" s="13"/>
      <c r="G332" s="13"/>
      <c r="H332" s="7"/>
      <c r="I332" s="8"/>
      <c r="J332" s="9"/>
      <c r="K332" s="10"/>
      <c r="L332" s="10"/>
      <c r="M332" s="11"/>
      <c r="N332" s="10"/>
      <c r="O332" s="42"/>
      <c r="P332" s="10"/>
    </row>
    <row r="333" spans="1:16" x14ac:dyDescent="0.25">
      <c r="A333" s="5"/>
      <c r="B333" s="22"/>
      <c r="C333" s="22"/>
      <c r="D333" s="18"/>
      <c r="E333" s="24"/>
      <c r="F333" s="13"/>
      <c r="G333" s="13"/>
      <c r="H333" s="7"/>
      <c r="I333" s="13"/>
      <c r="J333" s="9"/>
      <c r="K333" s="10"/>
      <c r="L333" s="10"/>
      <c r="M333" s="11"/>
      <c r="N333" s="10"/>
      <c r="O333" s="42"/>
      <c r="P333" s="10"/>
    </row>
    <row r="334" spans="1:16" x14ac:dyDescent="0.25">
      <c r="A334" s="5"/>
      <c r="B334" s="22"/>
      <c r="C334" s="22"/>
      <c r="D334" s="18"/>
      <c r="E334" s="24"/>
      <c r="F334" s="13"/>
      <c r="G334" s="13"/>
      <c r="H334" s="7"/>
      <c r="I334" s="13"/>
      <c r="J334" s="9"/>
      <c r="K334" s="10"/>
      <c r="L334" s="10"/>
      <c r="M334" s="11"/>
      <c r="N334" s="10"/>
      <c r="O334" s="42"/>
      <c r="P334" s="10"/>
    </row>
    <row r="335" spans="1:16" x14ac:dyDescent="0.25">
      <c r="A335" s="5"/>
      <c r="B335" s="22"/>
      <c r="C335" s="22"/>
      <c r="D335" s="18"/>
      <c r="E335" s="24"/>
      <c r="F335" s="13"/>
      <c r="G335" s="13"/>
      <c r="H335" s="7"/>
      <c r="I335" s="13"/>
      <c r="J335" s="9"/>
      <c r="K335" s="10"/>
      <c r="L335" s="10"/>
      <c r="M335" s="11"/>
      <c r="N335" s="10"/>
      <c r="O335" s="42"/>
      <c r="P335" s="10"/>
    </row>
    <row r="336" spans="1:16" x14ac:dyDescent="0.25">
      <c r="A336" s="5"/>
      <c r="B336" s="22"/>
      <c r="C336" s="22"/>
      <c r="D336" s="18"/>
      <c r="E336" s="24"/>
      <c r="F336" s="13"/>
      <c r="G336" s="13"/>
      <c r="H336" s="7"/>
      <c r="I336" s="13"/>
      <c r="J336" s="9"/>
      <c r="K336" s="10"/>
      <c r="L336" s="10"/>
      <c r="M336" s="11"/>
      <c r="N336" s="10"/>
      <c r="O336" s="42"/>
      <c r="P336" s="10"/>
    </row>
    <row r="337" spans="1:16" x14ac:dyDescent="0.25">
      <c r="A337" s="5"/>
      <c r="B337" s="22"/>
      <c r="C337" s="22"/>
      <c r="D337" s="18"/>
      <c r="E337" s="24"/>
      <c r="F337" s="13"/>
      <c r="G337" s="13"/>
      <c r="H337" s="7"/>
      <c r="I337" s="13"/>
      <c r="J337" s="9"/>
      <c r="K337" s="10"/>
      <c r="L337" s="10"/>
      <c r="M337" s="11"/>
      <c r="N337" s="10"/>
      <c r="O337" s="42"/>
      <c r="P337" s="10"/>
    </row>
    <row r="338" spans="1:16" x14ac:dyDescent="0.25">
      <c r="A338" s="5"/>
      <c r="B338" s="22"/>
      <c r="C338" s="22"/>
      <c r="D338" s="18"/>
      <c r="E338" s="24"/>
      <c r="F338" s="13"/>
      <c r="G338" s="13"/>
      <c r="H338" s="7"/>
      <c r="I338" s="13"/>
      <c r="J338" s="9"/>
      <c r="K338" s="10"/>
      <c r="L338" s="10"/>
      <c r="M338" s="11"/>
      <c r="N338" s="10"/>
      <c r="O338" s="42"/>
      <c r="P338" s="10"/>
    </row>
    <row r="339" spans="1:16" x14ac:dyDescent="0.25">
      <c r="A339" s="5"/>
      <c r="B339" s="22"/>
      <c r="C339" s="22"/>
      <c r="D339" s="18"/>
      <c r="E339" s="24"/>
      <c r="F339" s="13"/>
      <c r="G339" s="13"/>
      <c r="H339" s="7"/>
      <c r="I339" s="13"/>
      <c r="J339" s="9"/>
      <c r="K339" s="10"/>
      <c r="L339" s="10"/>
      <c r="M339" s="11"/>
      <c r="N339" s="10"/>
      <c r="O339" s="42"/>
      <c r="P339" s="10"/>
    </row>
    <row r="340" spans="1:16" x14ac:dyDescent="0.25">
      <c r="A340" s="5"/>
      <c r="B340" s="22"/>
      <c r="C340" s="22"/>
      <c r="D340" s="18"/>
      <c r="E340" s="24"/>
      <c r="F340" s="13"/>
      <c r="G340" s="13"/>
      <c r="H340" s="7"/>
      <c r="I340" s="13"/>
      <c r="J340" s="9"/>
      <c r="K340" s="10"/>
      <c r="L340" s="10"/>
      <c r="M340" s="11"/>
      <c r="N340" s="10"/>
      <c r="O340" s="42"/>
      <c r="P340" s="10"/>
    </row>
    <row r="341" spans="1:16" x14ac:dyDescent="0.25">
      <c r="A341" s="5"/>
      <c r="B341" s="22"/>
      <c r="C341" s="22"/>
      <c r="D341" s="18"/>
      <c r="E341" s="24"/>
      <c r="F341" s="13"/>
      <c r="G341" s="13"/>
      <c r="H341" s="7"/>
      <c r="I341" s="13"/>
      <c r="J341" s="9"/>
      <c r="K341" s="10"/>
      <c r="L341" s="10"/>
      <c r="M341" s="11"/>
      <c r="N341" s="10"/>
      <c r="O341" s="42"/>
      <c r="P341" s="10"/>
    </row>
    <row r="342" spans="1:16" x14ac:dyDescent="0.25">
      <c r="A342" s="5"/>
      <c r="B342" s="22"/>
      <c r="C342" s="22"/>
      <c r="D342" s="18"/>
      <c r="E342" s="24"/>
      <c r="F342" s="13"/>
      <c r="G342" s="13"/>
      <c r="H342" s="7"/>
      <c r="I342" s="13"/>
      <c r="J342" s="9"/>
      <c r="K342" s="10"/>
      <c r="L342" s="10"/>
      <c r="M342" s="11"/>
      <c r="N342" s="10"/>
      <c r="O342" s="42"/>
      <c r="P342" s="10"/>
    </row>
    <row r="343" spans="1:16" x14ac:dyDescent="0.25">
      <c r="A343" s="5"/>
      <c r="B343" s="22"/>
      <c r="C343" s="22"/>
      <c r="D343" s="18"/>
      <c r="E343" s="24"/>
      <c r="F343" s="13"/>
      <c r="G343" s="13"/>
      <c r="H343" s="7"/>
      <c r="I343" s="13"/>
      <c r="J343" s="9"/>
      <c r="K343" s="10"/>
      <c r="L343" s="10"/>
      <c r="M343" s="11"/>
      <c r="N343" s="10"/>
      <c r="O343" s="42"/>
      <c r="P343" s="10"/>
    </row>
    <row r="344" spans="1:16" x14ac:dyDescent="0.25">
      <c r="A344" s="5"/>
      <c r="B344" s="22"/>
      <c r="C344" s="22"/>
      <c r="D344" s="18"/>
      <c r="E344" s="24"/>
      <c r="F344" s="13"/>
      <c r="G344" s="13"/>
      <c r="H344" s="7"/>
      <c r="I344" s="13"/>
      <c r="J344" s="9"/>
      <c r="K344" s="10"/>
      <c r="L344" s="10"/>
      <c r="M344" s="11"/>
      <c r="N344" s="10"/>
      <c r="O344" s="42"/>
      <c r="P344" s="10"/>
    </row>
    <row r="345" spans="1:16" x14ac:dyDescent="0.25">
      <c r="A345" s="5"/>
      <c r="B345" s="22"/>
      <c r="C345" s="22"/>
      <c r="D345" s="18"/>
      <c r="E345" s="24"/>
      <c r="F345" s="13"/>
      <c r="G345" s="13"/>
      <c r="H345" s="7"/>
      <c r="I345" s="13"/>
      <c r="J345" s="9"/>
      <c r="K345" s="10"/>
      <c r="L345" s="10"/>
      <c r="M345" s="11"/>
      <c r="N345" s="10"/>
      <c r="O345" s="42"/>
      <c r="P345" s="10"/>
    </row>
    <row r="346" spans="1:16" x14ac:dyDescent="0.25">
      <c r="A346" s="5"/>
      <c r="B346" s="22"/>
      <c r="C346" s="22"/>
      <c r="D346" s="18"/>
      <c r="E346" s="24"/>
      <c r="F346" s="13"/>
      <c r="G346" s="13"/>
      <c r="H346" s="7"/>
      <c r="I346" s="13"/>
      <c r="J346" s="9"/>
      <c r="K346" s="10"/>
      <c r="L346" s="10"/>
      <c r="M346" s="11"/>
      <c r="N346" s="10"/>
      <c r="O346" s="42"/>
      <c r="P346" s="10"/>
    </row>
    <row r="347" spans="1:16" x14ac:dyDescent="0.25">
      <c r="A347" s="5"/>
      <c r="B347" s="22"/>
      <c r="C347" s="22"/>
      <c r="D347" s="18"/>
      <c r="E347" s="24"/>
      <c r="F347" s="13"/>
      <c r="G347" s="13"/>
      <c r="H347" s="7"/>
      <c r="I347" s="13"/>
      <c r="J347" s="9"/>
      <c r="K347" s="10"/>
      <c r="L347" s="10"/>
      <c r="M347" s="11"/>
      <c r="N347" s="10"/>
      <c r="O347" s="42"/>
      <c r="P347" s="10"/>
    </row>
    <row r="348" spans="1:16" x14ac:dyDescent="0.25">
      <c r="A348" s="5"/>
      <c r="B348" s="22"/>
      <c r="C348" s="22"/>
      <c r="D348" s="18"/>
      <c r="E348" s="24"/>
      <c r="F348" s="13"/>
      <c r="G348" s="13"/>
      <c r="H348" s="7"/>
      <c r="I348" s="13"/>
      <c r="J348" s="9"/>
      <c r="K348" s="10"/>
      <c r="L348" s="10"/>
      <c r="M348" s="11"/>
      <c r="N348" s="10"/>
      <c r="O348" s="42"/>
      <c r="P348" s="10"/>
    </row>
    <row r="349" spans="1:16" x14ac:dyDescent="0.25">
      <c r="A349" s="5"/>
      <c r="B349" s="22"/>
      <c r="C349" s="22"/>
      <c r="D349" s="18"/>
      <c r="E349" s="24"/>
      <c r="F349" s="13"/>
      <c r="G349" s="13"/>
      <c r="H349" s="7"/>
      <c r="I349" s="13"/>
      <c r="J349" s="9"/>
      <c r="K349" s="10"/>
      <c r="L349" s="10"/>
      <c r="M349" s="11"/>
      <c r="N349" s="10"/>
      <c r="O349" s="42"/>
      <c r="P349" s="10"/>
    </row>
    <row r="350" spans="1:16" x14ac:dyDescent="0.25">
      <c r="A350" s="5"/>
      <c r="B350" s="22"/>
      <c r="C350" s="22"/>
      <c r="D350" s="18"/>
      <c r="E350" s="24"/>
      <c r="F350" s="13"/>
      <c r="G350" s="13"/>
      <c r="H350" s="7"/>
      <c r="I350" s="13"/>
      <c r="J350" s="9"/>
      <c r="K350" s="10"/>
      <c r="L350" s="10"/>
      <c r="M350" s="11"/>
      <c r="N350" s="10"/>
      <c r="O350" s="42"/>
      <c r="P350" s="10"/>
    </row>
    <row r="351" spans="1:16" x14ac:dyDescent="0.25">
      <c r="A351" s="5"/>
      <c r="B351" s="22"/>
      <c r="C351" s="22"/>
      <c r="D351" s="18"/>
      <c r="E351" s="24"/>
      <c r="F351" s="13"/>
      <c r="G351" s="13"/>
      <c r="H351" s="7"/>
      <c r="I351" s="13"/>
      <c r="J351" s="9"/>
      <c r="K351" s="10"/>
      <c r="L351" s="10"/>
      <c r="M351" s="11"/>
      <c r="N351" s="10"/>
      <c r="O351" s="42"/>
      <c r="P351" s="10"/>
    </row>
    <row r="352" spans="1:16" x14ac:dyDescent="0.25">
      <c r="A352" s="5"/>
      <c r="B352" s="22"/>
      <c r="C352" s="22"/>
      <c r="D352" s="18"/>
      <c r="E352" s="24"/>
      <c r="F352" s="13"/>
      <c r="G352" s="13"/>
      <c r="H352" s="7"/>
      <c r="I352" s="13"/>
      <c r="J352" s="9"/>
      <c r="K352" s="10"/>
      <c r="L352" s="10"/>
      <c r="M352" s="11"/>
      <c r="N352" s="10"/>
      <c r="O352" s="42"/>
      <c r="P352" s="10"/>
    </row>
    <row r="353" spans="1:16" x14ac:dyDescent="0.25">
      <c r="A353" s="5"/>
      <c r="B353" s="22"/>
      <c r="C353" s="22"/>
      <c r="D353" s="18"/>
      <c r="E353" s="24"/>
      <c r="F353" s="13"/>
      <c r="G353" s="13"/>
      <c r="H353" s="7"/>
      <c r="I353" s="13"/>
      <c r="J353" s="9"/>
      <c r="K353" s="10"/>
      <c r="L353" s="10"/>
      <c r="M353" s="11"/>
      <c r="N353" s="10"/>
      <c r="O353" s="42"/>
      <c r="P353" s="10"/>
    </row>
    <row r="354" spans="1:16" x14ac:dyDescent="0.25">
      <c r="A354" s="5"/>
      <c r="B354" s="22"/>
      <c r="C354" s="22"/>
      <c r="D354" s="18"/>
      <c r="E354" s="24"/>
      <c r="F354" s="13"/>
      <c r="G354" s="13"/>
      <c r="H354" s="7"/>
      <c r="I354" s="13"/>
      <c r="J354" s="9"/>
      <c r="K354" s="10"/>
      <c r="L354" s="10"/>
      <c r="M354" s="11"/>
      <c r="N354" s="10"/>
      <c r="O354" s="42"/>
      <c r="P354" s="10"/>
    </row>
    <row r="355" spans="1:16" x14ac:dyDescent="0.25">
      <c r="A355" s="5"/>
      <c r="B355" s="22"/>
      <c r="C355" s="22"/>
      <c r="D355" s="18"/>
      <c r="E355" s="24"/>
      <c r="F355" s="13"/>
      <c r="G355" s="13"/>
      <c r="H355" s="7"/>
      <c r="I355" s="13"/>
      <c r="J355" s="9"/>
      <c r="K355" s="10"/>
      <c r="L355" s="10"/>
      <c r="M355" s="11"/>
      <c r="N355" s="10"/>
      <c r="O355" s="42"/>
      <c r="P355" s="10"/>
    </row>
    <row r="356" spans="1:16" x14ac:dyDescent="0.25">
      <c r="A356" s="5"/>
      <c r="B356" s="22"/>
      <c r="C356" s="22"/>
      <c r="D356" s="18"/>
      <c r="E356" s="24"/>
      <c r="F356" s="13"/>
      <c r="G356" s="13"/>
      <c r="H356" s="7"/>
      <c r="I356" s="13"/>
      <c r="J356" s="9"/>
      <c r="K356" s="10"/>
      <c r="L356" s="10"/>
      <c r="M356" s="11"/>
      <c r="N356" s="10"/>
      <c r="O356" s="42"/>
      <c r="P356" s="10"/>
    </row>
    <row r="357" spans="1:16" x14ac:dyDescent="0.25">
      <c r="A357" s="5"/>
      <c r="B357" s="22"/>
      <c r="C357" s="22"/>
      <c r="D357" s="18"/>
      <c r="E357" s="24"/>
      <c r="F357" s="13"/>
      <c r="G357" s="13"/>
      <c r="H357" s="7"/>
      <c r="I357" s="13"/>
      <c r="J357" s="9"/>
      <c r="K357" s="10"/>
      <c r="L357" s="10"/>
      <c r="M357" s="11"/>
      <c r="N357" s="10"/>
      <c r="O357" s="42"/>
      <c r="P357" s="10"/>
    </row>
    <row r="358" spans="1:16" x14ac:dyDescent="0.25">
      <c r="A358" s="5"/>
      <c r="B358" s="22"/>
      <c r="C358" s="22"/>
      <c r="D358" s="18"/>
      <c r="E358" s="24"/>
      <c r="F358" s="13"/>
      <c r="G358" s="13"/>
      <c r="H358" s="7"/>
      <c r="I358" s="13"/>
      <c r="J358" s="9"/>
      <c r="K358" s="10"/>
      <c r="L358" s="10"/>
      <c r="M358" s="11"/>
      <c r="N358" s="10"/>
      <c r="O358" s="42"/>
      <c r="P358" s="10"/>
    </row>
    <row r="359" spans="1:16" x14ac:dyDescent="0.25">
      <c r="A359" s="5"/>
      <c r="B359" s="22"/>
      <c r="C359" s="22"/>
      <c r="D359" s="18"/>
      <c r="E359" s="24"/>
      <c r="F359" s="13"/>
      <c r="G359" s="13"/>
      <c r="H359" s="7"/>
      <c r="I359" s="13"/>
      <c r="J359" s="9"/>
      <c r="K359" s="10"/>
      <c r="L359" s="10"/>
      <c r="M359" s="11"/>
      <c r="N359" s="10"/>
      <c r="O359" s="42"/>
      <c r="P359" s="10"/>
    </row>
    <row r="360" spans="1:16" x14ac:dyDescent="0.25">
      <c r="A360" s="5"/>
      <c r="B360" s="22"/>
      <c r="C360" s="22"/>
      <c r="D360" s="18"/>
      <c r="E360" s="24"/>
      <c r="F360" s="13"/>
      <c r="G360" s="13"/>
      <c r="H360" s="7"/>
      <c r="I360" s="13"/>
      <c r="J360" s="9"/>
      <c r="K360" s="10"/>
      <c r="L360" s="10"/>
      <c r="M360" s="11"/>
      <c r="N360" s="10"/>
      <c r="O360" s="42"/>
      <c r="P360" s="10"/>
    </row>
    <row r="361" spans="1:16" x14ac:dyDescent="0.25">
      <c r="A361" s="5"/>
      <c r="B361" s="22"/>
      <c r="C361" s="22"/>
      <c r="D361" s="18"/>
      <c r="E361" s="24"/>
      <c r="F361" s="13"/>
      <c r="G361" s="13"/>
      <c r="H361" s="7"/>
      <c r="I361" s="13"/>
      <c r="J361" s="9"/>
      <c r="K361" s="10"/>
      <c r="L361" s="10"/>
      <c r="M361" s="11"/>
      <c r="N361" s="10"/>
      <c r="O361" s="42"/>
      <c r="P361" s="10"/>
    </row>
    <row r="362" spans="1:16" x14ac:dyDescent="0.25">
      <c r="A362" s="5"/>
      <c r="B362" s="22"/>
      <c r="C362" s="22"/>
      <c r="D362" s="18"/>
      <c r="E362" s="24"/>
      <c r="F362" s="13"/>
      <c r="G362" s="13"/>
      <c r="H362" s="7"/>
      <c r="I362" s="13"/>
      <c r="J362" s="9"/>
      <c r="K362" s="10"/>
      <c r="L362" s="10"/>
      <c r="M362" s="11"/>
      <c r="N362" s="10"/>
      <c r="O362" s="42"/>
      <c r="P362" s="10"/>
    </row>
    <row r="363" spans="1:16" x14ac:dyDescent="0.25">
      <c r="A363" s="5"/>
      <c r="B363" s="22"/>
      <c r="C363" s="22"/>
      <c r="D363" s="18"/>
      <c r="E363" s="24"/>
      <c r="F363" s="13"/>
      <c r="G363" s="13"/>
      <c r="H363" s="7"/>
      <c r="I363" s="13"/>
      <c r="J363" s="9"/>
      <c r="K363" s="10"/>
      <c r="L363" s="10"/>
      <c r="M363" s="11"/>
      <c r="N363" s="10"/>
      <c r="O363" s="42"/>
      <c r="P363" s="10"/>
    </row>
    <row r="364" spans="1:16" x14ac:dyDescent="0.25">
      <c r="A364" s="5"/>
      <c r="B364" s="22"/>
      <c r="C364" s="22"/>
      <c r="D364" s="18"/>
      <c r="E364" s="24"/>
      <c r="F364" s="13"/>
      <c r="G364" s="13"/>
      <c r="H364" s="7"/>
      <c r="I364" s="13"/>
      <c r="J364" s="9"/>
      <c r="K364" s="10"/>
      <c r="L364" s="10"/>
      <c r="M364" s="11"/>
      <c r="N364" s="10"/>
      <c r="O364" s="42"/>
      <c r="P364" s="10"/>
    </row>
    <row r="365" spans="1:16" x14ac:dyDescent="0.25">
      <c r="A365" s="5"/>
      <c r="B365" s="22"/>
      <c r="C365" s="22"/>
      <c r="D365" s="18"/>
      <c r="E365" s="24"/>
      <c r="F365" s="13"/>
      <c r="G365" s="13"/>
      <c r="H365" s="7"/>
      <c r="I365" s="13"/>
      <c r="J365" s="9"/>
      <c r="K365" s="10"/>
      <c r="L365" s="10"/>
      <c r="M365" s="11"/>
      <c r="N365" s="10"/>
      <c r="O365" s="42"/>
      <c r="P365" s="10"/>
    </row>
    <row r="366" spans="1:16" x14ac:dyDescent="0.25">
      <c r="A366" s="5"/>
      <c r="B366" s="22"/>
      <c r="C366" s="22"/>
      <c r="D366" s="18"/>
      <c r="E366" s="24"/>
      <c r="F366" s="13"/>
      <c r="G366" s="13"/>
      <c r="H366" s="7"/>
      <c r="I366" s="13"/>
      <c r="J366" s="9"/>
      <c r="K366" s="10"/>
      <c r="L366" s="10"/>
      <c r="M366" s="11"/>
      <c r="N366" s="10"/>
      <c r="O366" s="42"/>
      <c r="P366" s="10"/>
    </row>
    <row r="367" spans="1:16" x14ac:dyDescent="0.25">
      <c r="A367" s="5"/>
      <c r="B367" s="22"/>
      <c r="C367" s="22"/>
      <c r="D367" s="18"/>
      <c r="E367" s="24"/>
      <c r="F367" s="13"/>
      <c r="G367" s="13"/>
      <c r="H367" s="7"/>
      <c r="I367" s="13"/>
      <c r="J367" s="9"/>
      <c r="K367" s="10"/>
      <c r="L367" s="10"/>
      <c r="M367" s="11"/>
      <c r="N367" s="10"/>
      <c r="O367" s="42"/>
      <c r="P367" s="10"/>
    </row>
    <row r="368" spans="1:16" x14ac:dyDescent="0.25">
      <c r="A368" s="5"/>
      <c r="B368" s="22"/>
      <c r="C368" s="22"/>
      <c r="D368" s="18"/>
      <c r="E368" s="24"/>
      <c r="F368" s="13"/>
      <c r="G368" s="13"/>
      <c r="H368" s="7"/>
      <c r="I368" s="13"/>
      <c r="J368" s="9"/>
      <c r="K368" s="10"/>
      <c r="L368" s="10"/>
      <c r="M368" s="11"/>
      <c r="N368" s="10"/>
      <c r="O368" s="42"/>
      <c r="P368" s="10"/>
    </row>
    <row r="369" spans="1:16" x14ac:dyDescent="0.25">
      <c r="A369" s="5"/>
      <c r="B369" s="22"/>
      <c r="C369" s="22"/>
      <c r="D369" s="18"/>
      <c r="E369" s="24"/>
      <c r="F369" s="13"/>
      <c r="G369" s="13"/>
      <c r="H369" s="7"/>
      <c r="I369" s="13"/>
      <c r="J369" s="9"/>
      <c r="K369" s="10"/>
      <c r="L369" s="10"/>
      <c r="M369" s="11"/>
      <c r="N369" s="10"/>
      <c r="O369" s="42"/>
      <c r="P369" s="10"/>
    </row>
    <row r="370" spans="1:16" x14ac:dyDescent="0.25">
      <c r="A370" s="5"/>
      <c r="B370" s="22"/>
      <c r="C370" s="22"/>
      <c r="D370" s="18"/>
      <c r="E370" s="24"/>
      <c r="F370" s="13"/>
      <c r="G370" s="13"/>
      <c r="H370" s="7"/>
      <c r="I370" s="13"/>
      <c r="J370" s="9"/>
      <c r="K370" s="10"/>
      <c r="L370" s="10"/>
      <c r="M370" s="11"/>
      <c r="N370" s="10"/>
      <c r="O370" s="42"/>
      <c r="P370" s="10"/>
    </row>
    <row r="371" spans="1:16" x14ac:dyDescent="0.25">
      <c r="A371" s="5"/>
      <c r="B371" s="22"/>
      <c r="C371" s="22"/>
      <c r="D371" s="18"/>
      <c r="E371" s="24"/>
      <c r="F371" s="13"/>
      <c r="G371" s="13"/>
      <c r="H371" s="7"/>
      <c r="I371" s="13"/>
      <c r="J371" s="9"/>
      <c r="K371" s="10"/>
      <c r="L371" s="10"/>
      <c r="M371" s="11"/>
      <c r="N371" s="10"/>
      <c r="O371" s="42"/>
      <c r="P371" s="10"/>
    </row>
    <row r="372" spans="1:16" x14ac:dyDescent="0.25">
      <c r="A372" s="5"/>
      <c r="B372" s="22"/>
      <c r="C372" s="22"/>
      <c r="D372" s="18"/>
      <c r="E372" s="24"/>
      <c r="F372" s="13"/>
      <c r="G372" s="13"/>
      <c r="H372" s="7"/>
      <c r="I372" s="13"/>
      <c r="J372" s="9"/>
      <c r="K372" s="10"/>
      <c r="L372" s="10"/>
      <c r="M372" s="11"/>
      <c r="N372" s="10"/>
      <c r="O372" s="42"/>
      <c r="P372" s="10"/>
    </row>
    <row r="373" spans="1:16" x14ac:dyDescent="0.25">
      <c r="A373" s="5"/>
      <c r="B373" s="22"/>
      <c r="C373" s="22"/>
      <c r="D373" s="18"/>
      <c r="E373" s="24"/>
      <c r="F373" s="13"/>
      <c r="G373" s="13"/>
      <c r="H373" s="7"/>
      <c r="I373" s="13"/>
      <c r="J373" s="9"/>
      <c r="K373" s="10"/>
      <c r="L373" s="10"/>
      <c r="M373" s="11"/>
      <c r="N373" s="10"/>
      <c r="O373" s="42"/>
      <c r="P373" s="10"/>
    </row>
    <row r="374" spans="1:16" x14ac:dyDescent="0.25">
      <c r="A374" s="5"/>
      <c r="B374" s="22"/>
      <c r="C374" s="22"/>
      <c r="D374" s="18"/>
      <c r="E374" s="24"/>
      <c r="F374" s="13"/>
      <c r="G374" s="13"/>
      <c r="H374" s="7"/>
      <c r="I374" s="13"/>
      <c r="J374" s="9"/>
      <c r="K374" s="10"/>
      <c r="L374" s="10"/>
      <c r="M374" s="11"/>
      <c r="N374" s="10"/>
      <c r="O374" s="42"/>
      <c r="P374" s="10"/>
    </row>
    <row r="375" spans="1:16" x14ac:dyDescent="0.25">
      <c r="A375" s="5"/>
      <c r="B375" s="22"/>
      <c r="C375" s="22"/>
      <c r="D375" s="18"/>
      <c r="E375" s="24"/>
      <c r="F375" s="13"/>
      <c r="G375" s="13"/>
      <c r="H375" s="7"/>
      <c r="I375" s="13"/>
      <c r="J375" s="9"/>
      <c r="K375" s="10"/>
      <c r="L375" s="10"/>
      <c r="M375" s="11"/>
      <c r="N375" s="10"/>
      <c r="O375" s="42"/>
      <c r="P375" s="10"/>
    </row>
    <row r="376" spans="1:16" x14ac:dyDescent="0.25">
      <c r="A376" s="5"/>
      <c r="B376" s="22"/>
      <c r="C376" s="22"/>
      <c r="D376" s="18"/>
      <c r="E376" s="24"/>
      <c r="F376" s="13"/>
      <c r="G376" s="13"/>
      <c r="H376" s="7"/>
      <c r="I376" s="13"/>
      <c r="J376" s="9"/>
      <c r="K376" s="10"/>
      <c r="L376" s="10"/>
      <c r="M376" s="11"/>
      <c r="N376" s="10"/>
      <c r="O376" s="42"/>
      <c r="P376" s="10"/>
    </row>
    <row r="377" spans="1:16" x14ac:dyDescent="0.25">
      <c r="A377" s="5"/>
      <c r="B377" s="22"/>
      <c r="C377" s="22"/>
      <c r="D377" s="18"/>
      <c r="E377" s="24"/>
      <c r="F377" s="13"/>
      <c r="G377" s="13"/>
      <c r="H377" s="7"/>
      <c r="I377" s="13"/>
      <c r="J377" s="9"/>
      <c r="K377" s="10"/>
      <c r="L377" s="10"/>
      <c r="M377" s="11"/>
      <c r="N377" s="10"/>
      <c r="O377" s="42"/>
      <c r="P377" s="10"/>
    </row>
    <row r="378" spans="1:16" x14ac:dyDescent="0.25">
      <c r="A378" s="5"/>
      <c r="B378" s="22"/>
      <c r="C378" s="22"/>
      <c r="D378" s="18"/>
      <c r="E378" s="24"/>
      <c r="F378" s="13"/>
      <c r="G378" s="13"/>
      <c r="H378" s="7"/>
      <c r="I378" s="13"/>
      <c r="J378" s="9"/>
      <c r="K378" s="10"/>
      <c r="L378" s="10"/>
      <c r="M378" s="11"/>
      <c r="N378" s="10"/>
      <c r="O378" s="42"/>
      <c r="P378" s="10"/>
    </row>
    <row r="379" spans="1:16" x14ac:dyDescent="0.25">
      <c r="A379" s="5"/>
      <c r="B379" s="22"/>
      <c r="C379" s="22"/>
      <c r="D379" s="18"/>
      <c r="E379" s="24"/>
      <c r="F379" s="13"/>
      <c r="G379" s="13"/>
      <c r="H379" s="7"/>
      <c r="I379" s="13"/>
      <c r="J379" s="9"/>
      <c r="K379" s="10"/>
      <c r="L379" s="10"/>
      <c r="M379" s="11"/>
      <c r="N379" s="10"/>
      <c r="O379" s="42"/>
      <c r="P379" s="10"/>
    </row>
    <row r="380" spans="1:16" x14ac:dyDescent="0.25">
      <c r="A380" s="5"/>
      <c r="B380" s="22"/>
      <c r="C380" s="22"/>
      <c r="D380" s="18"/>
      <c r="E380" s="24"/>
      <c r="F380" s="13"/>
      <c r="G380" s="13"/>
      <c r="H380" s="7"/>
      <c r="I380" s="13"/>
      <c r="J380" s="9"/>
      <c r="K380" s="10"/>
      <c r="L380" s="10"/>
      <c r="M380" s="11"/>
      <c r="N380" s="10"/>
      <c r="O380" s="42"/>
      <c r="P380" s="10"/>
    </row>
    <row r="381" spans="1:16" x14ac:dyDescent="0.25">
      <c r="A381" s="5"/>
      <c r="B381" s="22"/>
      <c r="C381" s="22"/>
      <c r="D381" s="18"/>
      <c r="E381" s="24"/>
      <c r="F381" s="13"/>
      <c r="G381" s="13"/>
      <c r="H381" s="7"/>
      <c r="I381" s="13"/>
      <c r="J381" s="9"/>
      <c r="K381" s="10"/>
      <c r="L381" s="10"/>
      <c r="M381" s="11"/>
      <c r="N381" s="10"/>
      <c r="O381" s="42"/>
      <c r="P381" s="10"/>
    </row>
    <row r="382" spans="1:16" x14ac:dyDescent="0.25">
      <c r="A382" s="5"/>
      <c r="B382" s="22"/>
      <c r="C382" s="22"/>
      <c r="D382" s="18"/>
      <c r="E382" s="24"/>
      <c r="F382" s="13"/>
      <c r="G382" s="13"/>
      <c r="H382" s="7"/>
      <c r="I382" s="13"/>
      <c r="J382" s="9"/>
      <c r="K382" s="10"/>
      <c r="L382" s="10"/>
      <c r="M382" s="11"/>
      <c r="N382" s="10"/>
      <c r="O382" s="42"/>
      <c r="P382" s="10"/>
    </row>
    <row r="383" spans="1:16" x14ac:dyDescent="0.25">
      <c r="A383" s="5"/>
      <c r="B383" s="22"/>
      <c r="C383" s="22"/>
      <c r="D383" s="18"/>
      <c r="E383" s="24"/>
      <c r="F383" s="13"/>
      <c r="G383" s="13"/>
      <c r="H383" s="7"/>
      <c r="I383" s="13"/>
      <c r="J383" s="9"/>
      <c r="K383" s="10"/>
      <c r="L383" s="10"/>
      <c r="M383" s="11"/>
      <c r="N383" s="10"/>
      <c r="O383" s="42"/>
      <c r="P383" s="10"/>
    </row>
    <row r="384" spans="1:16" x14ac:dyDescent="0.25">
      <c r="A384" s="5"/>
      <c r="B384" s="22"/>
      <c r="C384" s="22"/>
      <c r="D384" s="18"/>
      <c r="E384" s="24"/>
      <c r="F384" s="13"/>
      <c r="G384" s="13"/>
      <c r="H384" s="7"/>
      <c r="I384" s="13"/>
      <c r="J384" s="9"/>
      <c r="K384" s="10"/>
      <c r="L384" s="10"/>
      <c r="M384" s="11"/>
      <c r="N384" s="10"/>
      <c r="O384" s="42"/>
      <c r="P384" s="10"/>
    </row>
    <row r="385" spans="1:16" x14ac:dyDescent="0.25">
      <c r="A385" s="5"/>
      <c r="B385" s="22"/>
      <c r="C385" s="22"/>
      <c r="D385" s="18"/>
      <c r="E385" s="24"/>
      <c r="F385" s="13"/>
      <c r="G385" s="13"/>
      <c r="H385" s="7"/>
      <c r="I385" s="13"/>
      <c r="J385" s="9"/>
      <c r="K385" s="10"/>
      <c r="L385" s="10"/>
      <c r="M385" s="11"/>
      <c r="N385" s="10"/>
      <c r="O385" s="42"/>
      <c r="P385" s="10"/>
    </row>
    <row r="386" spans="1:16" x14ac:dyDescent="0.25">
      <c r="A386" s="5"/>
      <c r="B386" s="22"/>
      <c r="C386" s="22"/>
      <c r="D386" s="18"/>
      <c r="E386" s="24"/>
      <c r="F386" s="13"/>
      <c r="G386" s="13"/>
      <c r="H386" s="7"/>
      <c r="I386" s="13"/>
      <c r="J386" s="9"/>
      <c r="K386" s="10"/>
      <c r="L386" s="10"/>
      <c r="M386" s="11"/>
      <c r="N386" s="10"/>
      <c r="O386" s="42"/>
      <c r="P386" s="10"/>
    </row>
    <row r="387" spans="1:16" x14ac:dyDescent="0.25">
      <c r="A387" s="5"/>
      <c r="B387" s="22"/>
      <c r="C387" s="22"/>
      <c r="D387" s="18"/>
      <c r="E387" s="24"/>
      <c r="F387" s="13"/>
      <c r="G387" s="13"/>
      <c r="H387" s="7"/>
      <c r="I387" s="13"/>
      <c r="J387" s="9"/>
      <c r="K387" s="10"/>
      <c r="L387" s="10"/>
      <c r="M387" s="11"/>
      <c r="N387" s="10"/>
      <c r="O387" s="42"/>
      <c r="P387" s="10"/>
    </row>
    <row r="388" spans="1:16" x14ac:dyDescent="0.25">
      <c r="A388" s="5"/>
      <c r="B388" s="22"/>
      <c r="C388" s="22"/>
      <c r="D388" s="18"/>
      <c r="E388" s="24"/>
      <c r="F388" s="13"/>
      <c r="G388" s="13"/>
      <c r="H388" s="7"/>
      <c r="I388" s="13"/>
      <c r="J388" s="9"/>
      <c r="K388" s="10"/>
      <c r="L388" s="10"/>
      <c r="M388" s="11"/>
      <c r="N388" s="10"/>
      <c r="O388" s="42"/>
      <c r="P388" s="10"/>
    </row>
    <row r="389" spans="1:16" x14ac:dyDescent="0.25">
      <c r="A389" s="5"/>
      <c r="B389" s="22"/>
      <c r="C389" s="22"/>
      <c r="D389" s="18"/>
      <c r="E389" s="24"/>
      <c r="F389" s="13"/>
      <c r="G389" s="13"/>
      <c r="H389" s="7"/>
      <c r="I389" s="13"/>
      <c r="J389" s="9"/>
      <c r="K389" s="10"/>
      <c r="L389" s="10"/>
      <c r="M389" s="11"/>
      <c r="N389" s="10"/>
      <c r="O389" s="42"/>
      <c r="P389" s="10"/>
    </row>
    <row r="390" spans="1:16" x14ac:dyDescent="0.25">
      <c r="A390" s="5"/>
      <c r="B390" s="22"/>
      <c r="C390" s="22"/>
      <c r="D390" s="18"/>
      <c r="E390" s="24"/>
      <c r="F390" s="13"/>
      <c r="G390" s="13"/>
      <c r="H390" s="7"/>
      <c r="I390" s="13"/>
      <c r="J390" s="9"/>
      <c r="K390" s="10"/>
      <c r="L390" s="10"/>
      <c r="M390" s="11"/>
      <c r="N390" s="10"/>
      <c r="O390" s="42"/>
      <c r="P390" s="10"/>
    </row>
    <row r="391" spans="1:16" x14ac:dyDescent="0.25">
      <c r="A391" s="5"/>
      <c r="B391" s="22"/>
      <c r="C391" s="22"/>
      <c r="D391" s="18"/>
      <c r="E391" s="24"/>
      <c r="F391" s="13"/>
      <c r="G391" s="13"/>
      <c r="H391" s="7"/>
      <c r="I391" s="13"/>
      <c r="J391" s="9"/>
      <c r="K391" s="10"/>
      <c r="L391" s="10"/>
      <c r="M391" s="11"/>
      <c r="N391" s="10"/>
      <c r="O391" s="42"/>
      <c r="P391" s="10"/>
    </row>
    <row r="392" spans="1:16" x14ac:dyDescent="0.25">
      <c r="A392" s="5"/>
      <c r="B392" s="22"/>
      <c r="C392" s="22"/>
      <c r="D392" s="18"/>
      <c r="E392" s="24"/>
      <c r="F392" s="13"/>
      <c r="G392" s="13"/>
      <c r="H392" s="7"/>
      <c r="I392" s="13"/>
      <c r="J392" s="9"/>
      <c r="K392" s="10"/>
      <c r="L392" s="10"/>
      <c r="M392" s="11"/>
      <c r="N392" s="10"/>
      <c r="O392" s="42"/>
      <c r="P392" s="10"/>
    </row>
    <row r="393" spans="1:16" x14ac:dyDescent="0.25">
      <c r="A393" s="5"/>
      <c r="B393" s="22"/>
      <c r="C393" s="22"/>
      <c r="D393" s="18"/>
      <c r="E393" s="24"/>
      <c r="F393" s="13"/>
      <c r="G393" s="13"/>
      <c r="H393" s="7"/>
      <c r="I393" s="13"/>
      <c r="J393" s="9"/>
      <c r="K393" s="10"/>
      <c r="L393" s="10"/>
      <c r="M393" s="11"/>
      <c r="N393" s="10"/>
      <c r="O393" s="42"/>
      <c r="P393" s="10"/>
    </row>
    <row r="394" spans="1:16" x14ac:dyDescent="0.25">
      <c r="A394" s="5"/>
      <c r="B394" s="22"/>
      <c r="C394" s="22"/>
      <c r="D394" s="18"/>
      <c r="E394" s="24"/>
      <c r="F394" s="13"/>
      <c r="G394" s="13"/>
      <c r="H394" s="7"/>
      <c r="I394" s="13"/>
      <c r="J394" s="9"/>
      <c r="K394" s="10"/>
      <c r="L394" s="10"/>
      <c r="M394" s="11"/>
      <c r="N394" s="10"/>
      <c r="O394" s="42"/>
      <c r="P394" s="10"/>
    </row>
    <row r="395" spans="1:16" x14ac:dyDescent="0.25">
      <c r="A395" s="5"/>
      <c r="B395" s="22"/>
      <c r="C395" s="22"/>
      <c r="D395" s="18"/>
      <c r="E395" s="24"/>
      <c r="F395" s="13"/>
      <c r="G395" s="13"/>
      <c r="H395" s="7"/>
      <c r="I395" s="13"/>
      <c r="J395" s="9"/>
      <c r="K395" s="10"/>
      <c r="L395" s="10"/>
      <c r="M395" s="11"/>
      <c r="N395" s="10"/>
      <c r="O395" s="42"/>
      <c r="P395" s="10"/>
    </row>
    <row r="396" spans="1:16" x14ac:dyDescent="0.25">
      <c r="A396" s="5"/>
      <c r="B396" s="22"/>
      <c r="C396" s="22"/>
      <c r="D396" s="18"/>
      <c r="E396" s="24"/>
      <c r="F396" s="13"/>
      <c r="G396" s="13"/>
      <c r="H396" s="7"/>
      <c r="I396" s="13"/>
      <c r="J396" s="9"/>
      <c r="K396" s="10"/>
      <c r="L396" s="10"/>
      <c r="M396" s="11"/>
      <c r="N396" s="10"/>
      <c r="O396" s="42"/>
      <c r="P396" s="10"/>
    </row>
    <row r="397" spans="1:16" x14ac:dyDescent="0.25">
      <c r="A397" s="5"/>
      <c r="B397" s="22"/>
      <c r="C397" s="22"/>
      <c r="D397" s="18"/>
      <c r="E397" s="24"/>
      <c r="F397" s="13"/>
      <c r="G397" s="13"/>
      <c r="H397" s="7"/>
      <c r="I397" s="13"/>
      <c r="J397" s="9"/>
      <c r="K397" s="10"/>
      <c r="L397" s="10"/>
      <c r="M397" s="11"/>
      <c r="N397" s="10"/>
      <c r="O397" s="42"/>
      <c r="P397" s="10"/>
    </row>
    <row r="398" spans="1:16" x14ac:dyDescent="0.25">
      <c r="A398" s="5"/>
      <c r="B398" s="22"/>
      <c r="C398" s="22"/>
      <c r="D398" s="18"/>
      <c r="E398" s="24"/>
      <c r="F398" s="13"/>
      <c r="G398" s="13"/>
      <c r="H398" s="7"/>
      <c r="I398" s="13"/>
      <c r="J398" s="9"/>
      <c r="K398" s="10"/>
      <c r="L398" s="10"/>
      <c r="M398" s="11"/>
      <c r="N398" s="10"/>
      <c r="O398" s="42"/>
      <c r="P398" s="10"/>
    </row>
    <row r="399" spans="1:16" x14ac:dyDescent="0.25">
      <c r="A399" s="5"/>
      <c r="B399" s="22"/>
      <c r="C399" s="22"/>
      <c r="D399" s="18"/>
      <c r="E399" s="24"/>
      <c r="F399" s="13"/>
      <c r="G399" s="13"/>
      <c r="H399" s="7"/>
      <c r="I399" s="13"/>
      <c r="J399" s="9"/>
      <c r="K399" s="10"/>
      <c r="L399" s="10"/>
      <c r="M399" s="11"/>
      <c r="N399" s="10"/>
      <c r="O399" s="42"/>
      <c r="P399" s="10"/>
    </row>
    <row r="400" spans="1:16" x14ac:dyDescent="0.25">
      <c r="A400" s="5"/>
      <c r="B400" s="22"/>
      <c r="C400" s="22"/>
      <c r="D400" s="18"/>
      <c r="E400" s="24"/>
      <c r="F400" s="13"/>
      <c r="G400" s="13"/>
      <c r="H400" s="7"/>
      <c r="I400" s="13"/>
      <c r="J400" s="9"/>
      <c r="K400" s="10"/>
      <c r="L400" s="10"/>
      <c r="M400" s="11"/>
      <c r="N400" s="10"/>
      <c r="O400" s="42"/>
      <c r="P400" s="10"/>
    </row>
    <row r="401" spans="1:16" x14ac:dyDescent="0.25">
      <c r="A401" s="5"/>
      <c r="B401" s="22"/>
      <c r="C401" s="22"/>
      <c r="D401" s="18"/>
      <c r="E401" s="24"/>
      <c r="F401" s="13"/>
      <c r="G401" s="13"/>
      <c r="H401" s="7"/>
      <c r="I401" s="13"/>
      <c r="J401" s="9"/>
      <c r="K401" s="10"/>
      <c r="L401" s="10"/>
      <c r="M401" s="11"/>
      <c r="N401" s="10"/>
      <c r="O401" s="42"/>
      <c r="P401" s="10"/>
    </row>
    <row r="402" spans="1:16" x14ac:dyDescent="0.25">
      <c r="A402" s="5"/>
      <c r="B402" s="22"/>
      <c r="C402" s="22"/>
      <c r="D402" s="18"/>
      <c r="E402" s="24"/>
      <c r="F402" s="13"/>
      <c r="G402" s="13"/>
      <c r="H402" s="7"/>
      <c r="I402" s="13"/>
      <c r="J402" s="9"/>
      <c r="K402" s="10"/>
      <c r="L402" s="10"/>
      <c r="M402" s="11"/>
      <c r="N402" s="10"/>
      <c r="O402" s="42"/>
      <c r="P402" s="10"/>
    </row>
    <row r="403" spans="1:16" x14ac:dyDescent="0.25">
      <c r="A403" s="5"/>
      <c r="B403" s="22"/>
      <c r="C403" s="22"/>
      <c r="D403" s="18"/>
      <c r="E403" s="24"/>
      <c r="F403" s="13"/>
      <c r="G403" s="13"/>
      <c r="H403" s="7"/>
      <c r="I403" s="13"/>
      <c r="J403" s="9"/>
      <c r="K403" s="10"/>
      <c r="L403" s="10"/>
      <c r="M403" s="11"/>
      <c r="N403" s="10"/>
      <c r="O403" s="42"/>
      <c r="P403" s="10"/>
    </row>
    <row r="404" spans="1:16" x14ac:dyDescent="0.25">
      <c r="A404" s="5"/>
      <c r="B404" s="22"/>
      <c r="C404" s="22"/>
      <c r="D404" s="18"/>
      <c r="E404" s="24"/>
      <c r="F404" s="13"/>
      <c r="G404" s="13"/>
      <c r="H404" s="7"/>
      <c r="I404" s="13"/>
      <c r="J404" s="9"/>
      <c r="K404" s="10"/>
      <c r="L404" s="10"/>
      <c r="M404" s="11"/>
      <c r="N404" s="10"/>
      <c r="O404" s="42"/>
      <c r="P404" s="10"/>
    </row>
    <row r="405" spans="1:16" x14ac:dyDescent="0.25">
      <c r="A405" s="5"/>
      <c r="B405" s="22"/>
      <c r="C405" s="22"/>
      <c r="D405" s="18"/>
      <c r="E405" s="24"/>
      <c r="F405" s="13"/>
      <c r="G405" s="13"/>
      <c r="H405" s="7"/>
      <c r="I405" s="13"/>
      <c r="J405" s="9"/>
      <c r="K405" s="10"/>
      <c r="L405" s="10"/>
      <c r="M405" s="11"/>
      <c r="N405" s="10"/>
      <c r="O405" s="42"/>
      <c r="P405" s="10"/>
    </row>
    <row r="406" spans="1:16" x14ac:dyDescent="0.25">
      <c r="A406" s="5"/>
      <c r="B406" s="22"/>
      <c r="C406" s="22"/>
      <c r="D406" s="18"/>
      <c r="E406" s="24"/>
      <c r="F406" s="13"/>
      <c r="G406" s="13"/>
      <c r="H406" s="7"/>
      <c r="I406" s="13"/>
      <c r="J406" s="9"/>
      <c r="K406" s="10"/>
      <c r="L406" s="10"/>
      <c r="M406" s="11"/>
      <c r="N406" s="10"/>
      <c r="O406" s="42"/>
      <c r="P406" s="10"/>
    </row>
    <row r="407" spans="1:16" x14ac:dyDescent="0.25">
      <c r="A407" s="5"/>
      <c r="B407" s="22"/>
      <c r="C407" s="22"/>
      <c r="D407" s="18"/>
      <c r="E407" s="24"/>
      <c r="F407" s="13"/>
      <c r="G407" s="13"/>
      <c r="H407" s="7"/>
      <c r="I407" s="13"/>
      <c r="J407" s="9"/>
      <c r="K407" s="10"/>
      <c r="L407" s="10"/>
      <c r="M407" s="11"/>
      <c r="N407" s="10"/>
      <c r="O407" s="42"/>
      <c r="P407" s="10"/>
    </row>
    <row r="408" spans="1:16" x14ac:dyDescent="0.25">
      <c r="A408" s="5"/>
      <c r="B408" s="22"/>
      <c r="C408" s="22"/>
      <c r="D408" s="18"/>
      <c r="E408" s="24"/>
      <c r="F408" s="13"/>
      <c r="G408" s="13"/>
      <c r="H408" s="7"/>
      <c r="I408" s="13"/>
      <c r="J408" s="9"/>
      <c r="K408" s="10"/>
      <c r="L408" s="10"/>
      <c r="M408" s="11"/>
      <c r="N408" s="10"/>
      <c r="O408" s="42"/>
      <c r="P408" s="10"/>
    </row>
    <row r="409" spans="1:16" x14ac:dyDescent="0.25">
      <c r="A409" s="5"/>
      <c r="B409" s="22"/>
      <c r="C409" s="22"/>
      <c r="D409" s="18"/>
      <c r="E409" s="24"/>
      <c r="F409" s="13"/>
      <c r="G409" s="13"/>
      <c r="H409" s="7"/>
      <c r="I409" s="13"/>
      <c r="J409" s="9"/>
      <c r="K409" s="10"/>
      <c r="L409" s="10"/>
      <c r="M409" s="11"/>
      <c r="N409" s="10"/>
      <c r="O409" s="42"/>
      <c r="P409" s="10"/>
    </row>
    <row r="410" spans="1:16" x14ac:dyDescent="0.25">
      <c r="A410" s="5"/>
      <c r="B410" s="22"/>
      <c r="C410" s="22"/>
      <c r="D410" s="18"/>
      <c r="E410" s="24"/>
      <c r="F410" s="13"/>
      <c r="G410" s="13"/>
      <c r="H410" s="7"/>
      <c r="I410" s="13"/>
      <c r="J410" s="9"/>
      <c r="K410" s="10"/>
      <c r="L410" s="10"/>
      <c r="M410" s="11"/>
      <c r="N410" s="10"/>
      <c r="O410" s="42"/>
      <c r="P410" s="10"/>
    </row>
    <row r="411" spans="1:16" x14ac:dyDescent="0.25">
      <c r="A411" s="5"/>
      <c r="B411" s="22"/>
      <c r="C411" s="22"/>
      <c r="D411" s="18"/>
      <c r="E411" s="24"/>
      <c r="F411" s="13"/>
      <c r="G411" s="13"/>
      <c r="H411" s="7"/>
      <c r="I411" s="13"/>
      <c r="J411" s="9"/>
      <c r="K411" s="10"/>
      <c r="L411" s="10"/>
      <c r="M411" s="11"/>
      <c r="N411" s="10"/>
      <c r="O411" s="42"/>
      <c r="P411" s="10"/>
    </row>
    <row r="412" spans="1:16" x14ac:dyDescent="0.25">
      <c r="A412" s="5"/>
      <c r="B412" s="22"/>
      <c r="C412" s="22"/>
      <c r="D412" s="18"/>
      <c r="E412" s="24"/>
      <c r="F412" s="13"/>
      <c r="G412" s="13"/>
      <c r="H412" s="7"/>
      <c r="I412" s="13"/>
      <c r="J412" s="9"/>
      <c r="K412" s="10"/>
      <c r="L412" s="10"/>
      <c r="M412" s="11"/>
      <c r="N412" s="10"/>
      <c r="O412" s="42"/>
      <c r="P412" s="10"/>
    </row>
    <row r="413" spans="1:16" x14ac:dyDescent="0.25">
      <c r="A413" s="5"/>
      <c r="B413" s="22"/>
      <c r="C413" s="22"/>
      <c r="D413" s="18"/>
      <c r="E413" s="24"/>
      <c r="F413" s="13"/>
      <c r="G413" s="13"/>
      <c r="H413" s="7"/>
      <c r="I413" s="13"/>
      <c r="J413" s="9"/>
      <c r="K413" s="10"/>
      <c r="L413" s="10"/>
      <c r="M413" s="11"/>
      <c r="N413" s="10"/>
      <c r="O413" s="42"/>
      <c r="P413" s="10"/>
    </row>
    <row r="414" spans="1:16" x14ac:dyDescent="0.25">
      <c r="A414" s="5"/>
      <c r="B414" s="22"/>
      <c r="C414" s="22"/>
      <c r="D414" s="18"/>
      <c r="E414" s="24"/>
      <c r="F414" s="13"/>
      <c r="G414" s="13"/>
      <c r="H414" s="7"/>
      <c r="I414" s="13"/>
      <c r="J414" s="9"/>
      <c r="K414" s="10"/>
      <c r="L414" s="10"/>
      <c r="M414" s="11"/>
      <c r="N414" s="10"/>
      <c r="O414" s="42"/>
      <c r="P414" s="10"/>
    </row>
    <row r="415" spans="1:16" x14ac:dyDescent="0.25">
      <c r="A415" s="5"/>
      <c r="B415" s="22"/>
      <c r="C415" s="22"/>
      <c r="D415" s="18"/>
      <c r="E415" s="24"/>
      <c r="F415" s="13"/>
      <c r="G415" s="13"/>
      <c r="H415" s="7"/>
      <c r="I415" s="13"/>
      <c r="J415" s="9"/>
      <c r="K415" s="10"/>
      <c r="L415" s="10"/>
      <c r="M415" s="11"/>
      <c r="N415" s="10"/>
      <c r="O415" s="42"/>
      <c r="P415" s="10"/>
    </row>
    <row r="416" spans="1:16" x14ac:dyDescent="0.25">
      <c r="A416" s="5"/>
      <c r="B416" s="22"/>
      <c r="C416" s="22"/>
      <c r="D416" s="18"/>
      <c r="E416" s="24"/>
      <c r="F416" s="13"/>
      <c r="G416" s="13"/>
      <c r="H416" s="7"/>
      <c r="I416" s="13"/>
      <c r="J416" s="9"/>
      <c r="K416" s="10"/>
      <c r="L416" s="10"/>
      <c r="M416" s="11"/>
      <c r="N416" s="10"/>
      <c r="O416" s="42"/>
      <c r="P416" s="10"/>
    </row>
    <row r="417" spans="1:16" x14ac:dyDescent="0.25">
      <c r="A417" s="5"/>
      <c r="B417" s="22"/>
      <c r="C417" s="22"/>
      <c r="D417" s="18"/>
      <c r="E417" s="24"/>
      <c r="F417" s="13"/>
      <c r="G417" s="13"/>
      <c r="H417" s="7"/>
      <c r="I417" s="13"/>
      <c r="J417" s="9"/>
      <c r="K417" s="10"/>
      <c r="L417" s="10"/>
      <c r="M417" s="11"/>
      <c r="N417" s="10"/>
      <c r="O417" s="42"/>
      <c r="P417" s="10"/>
    </row>
    <row r="418" spans="1:16" x14ac:dyDescent="0.25">
      <c r="A418" s="5"/>
      <c r="B418" s="22"/>
      <c r="C418" s="22"/>
      <c r="D418" s="18"/>
      <c r="E418" s="24"/>
      <c r="F418" s="13"/>
      <c r="G418" s="13"/>
      <c r="H418" s="7"/>
      <c r="I418" s="13"/>
      <c r="J418" s="9"/>
      <c r="K418" s="10"/>
      <c r="L418" s="10"/>
      <c r="M418" s="11"/>
      <c r="N418" s="10"/>
      <c r="O418" s="42"/>
      <c r="P418" s="10"/>
    </row>
    <row r="419" spans="1:16" x14ac:dyDescent="0.25">
      <c r="A419" s="5"/>
      <c r="B419" s="22"/>
      <c r="C419" s="22"/>
      <c r="D419" s="18"/>
      <c r="E419" s="24"/>
      <c r="F419" s="13"/>
      <c r="G419" s="13"/>
      <c r="H419" s="7"/>
      <c r="I419" s="13"/>
      <c r="J419" s="9"/>
      <c r="K419" s="10"/>
      <c r="L419" s="10"/>
      <c r="M419" s="11"/>
      <c r="N419" s="10"/>
      <c r="O419" s="42"/>
      <c r="P419" s="10"/>
    </row>
    <row r="420" spans="1:16" x14ac:dyDescent="0.25">
      <c r="A420" s="5"/>
      <c r="B420" s="22"/>
      <c r="C420" s="22"/>
      <c r="D420" s="18"/>
      <c r="E420" s="24"/>
      <c r="F420" s="13"/>
      <c r="G420" s="13"/>
      <c r="H420" s="7"/>
      <c r="I420" s="13"/>
      <c r="J420" s="9"/>
      <c r="K420" s="10"/>
      <c r="L420" s="10"/>
      <c r="M420" s="11"/>
      <c r="N420" s="10"/>
      <c r="O420" s="42"/>
      <c r="P420" s="10"/>
    </row>
    <row r="421" spans="1:16" x14ac:dyDescent="0.25">
      <c r="A421" s="5"/>
      <c r="B421" s="22"/>
      <c r="C421" s="22"/>
      <c r="D421" s="18"/>
      <c r="E421" s="24"/>
      <c r="F421" s="13"/>
      <c r="G421" s="13"/>
      <c r="H421" s="7"/>
      <c r="I421" s="13"/>
      <c r="J421" s="9"/>
      <c r="K421" s="10"/>
      <c r="L421" s="10"/>
      <c r="M421" s="11"/>
      <c r="N421" s="10"/>
      <c r="O421" s="42"/>
      <c r="P421" s="10"/>
    </row>
    <row r="422" spans="1:16" x14ac:dyDescent="0.25">
      <c r="A422" s="5"/>
      <c r="B422" s="22"/>
      <c r="C422" s="22"/>
      <c r="D422" s="18"/>
      <c r="E422" s="24"/>
      <c r="F422" s="13"/>
      <c r="G422" s="13"/>
      <c r="H422" s="7"/>
      <c r="I422" s="13"/>
      <c r="J422" s="9"/>
      <c r="K422" s="10"/>
      <c r="L422" s="10"/>
      <c r="M422" s="11"/>
      <c r="N422" s="10"/>
      <c r="O422" s="42"/>
      <c r="P422" s="10"/>
    </row>
    <row r="423" spans="1:16" x14ac:dyDescent="0.25">
      <c r="A423" s="5"/>
      <c r="B423" s="22"/>
      <c r="C423" s="22"/>
      <c r="D423" s="18"/>
      <c r="E423" s="24"/>
      <c r="F423" s="13"/>
      <c r="G423" s="13"/>
      <c r="H423" s="7"/>
      <c r="I423" s="13"/>
      <c r="J423" s="9"/>
      <c r="K423" s="10"/>
      <c r="L423" s="10"/>
      <c r="M423" s="11"/>
      <c r="N423" s="10"/>
      <c r="O423" s="42"/>
      <c r="P423" s="10"/>
    </row>
    <row r="424" spans="1:16" x14ac:dyDescent="0.25">
      <c r="A424" s="5"/>
      <c r="B424" s="22"/>
      <c r="C424" s="22"/>
      <c r="D424" s="18"/>
      <c r="E424" s="24"/>
      <c r="F424" s="13"/>
      <c r="G424" s="13"/>
      <c r="H424" s="7"/>
      <c r="I424" s="13"/>
      <c r="J424" s="9"/>
      <c r="K424" s="10"/>
      <c r="L424" s="10"/>
      <c r="M424" s="11"/>
      <c r="N424" s="10"/>
      <c r="O424" s="42"/>
      <c r="P424" s="10"/>
    </row>
    <row r="425" spans="1:16" x14ac:dyDescent="0.25">
      <c r="A425" s="5"/>
      <c r="B425" s="22"/>
      <c r="C425" s="22"/>
      <c r="D425" s="18"/>
      <c r="E425" s="24"/>
      <c r="F425" s="13"/>
      <c r="G425" s="13"/>
      <c r="H425" s="7"/>
      <c r="I425" s="13"/>
      <c r="J425" s="9"/>
      <c r="K425" s="10"/>
      <c r="L425" s="10"/>
      <c r="M425" s="11"/>
      <c r="N425" s="10"/>
      <c r="O425" s="42"/>
      <c r="P425" s="10"/>
    </row>
    <row r="426" spans="1:16" x14ac:dyDescent="0.25">
      <c r="A426" s="5"/>
      <c r="B426" s="22"/>
      <c r="C426" s="22"/>
      <c r="D426" s="18"/>
      <c r="E426" s="24"/>
      <c r="F426" s="13"/>
      <c r="G426" s="13"/>
      <c r="H426" s="7"/>
      <c r="I426" s="13"/>
      <c r="J426" s="9"/>
      <c r="K426" s="10"/>
      <c r="L426" s="10"/>
      <c r="M426" s="11"/>
      <c r="N426" s="10"/>
      <c r="O426" s="42"/>
      <c r="P426" s="10"/>
    </row>
    <row r="427" spans="1:16" x14ac:dyDescent="0.25">
      <c r="A427" s="5"/>
      <c r="B427" s="22"/>
      <c r="C427" s="22"/>
      <c r="D427" s="18"/>
      <c r="E427" s="24"/>
      <c r="F427" s="13"/>
      <c r="G427" s="13"/>
      <c r="H427" s="7"/>
      <c r="I427" s="13"/>
      <c r="J427" s="9"/>
      <c r="K427" s="10"/>
      <c r="L427" s="10"/>
      <c r="M427" s="11"/>
      <c r="N427" s="10"/>
      <c r="O427" s="42"/>
      <c r="P427" s="10"/>
    </row>
    <row r="428" spans="1:16" x14ac:dyDescent="0.25">
      <c r="A428" s="5"/>
      <c r="B428" s="22"/>
      <c r="C428" s="22"/>
      <c r="D428" s="18"/>
      <c r="E428" s="24"/>
      <c r="F428" s="13"/>
      <c r="G428" s="13"/>
      <c r="H428" s="7"/>
      <c r="I428" s="13"/>
      <c r="J428" s="9"/>
      <c r="K428" s="10"/>
      <c r="L428" s="10"/>
      <c r="M428" s="11"/>
      <c r="N428" s="10"/>
      <c r="O428" s="42"/>
      <c r="P428" s="10"/>
    </row>
    <row r="429" spans="1:16" x14ac:dyDescent="0.25">
      <c r="A429" s="5"/>
      <c r="B429" s="22"/>
      <c r="C429" s="22"/>
      <c r="D429" s="18"/>
      <c r="E429" s="24"/>
      <c r="F429" s="13"/>
      <c r="G429" s="13"/>
      <c r="H429" s="7"/>
      <c r="I429" s="13"/>
      <c r="J429" s="9"/>
      <c r="K429" s="10"/>
      <c r="L429" s="10"/>
      <c r="M429" s="11"/>
      <c r="N429" s="10"/>
      <c r="O429" s="42"/>
      <c r="P429" s="10"/>
    </row>
    <row r="430" spans="1:16" x14ac:dyDescent="0.25">
      <c r="A430" s="5"/>
      <c r="B430" s="22"/>
      <c r="C430" s="22"/>
      <c r="D430" s="18"/>
      <c r="E430" s="24"/>
      <c r="F430" s="13"/>
      <c r="G430" s="13"/>
      <c r="H430" s="7"/>
      <c r="I430" s="13"/>
      <c r="J430" s="9"/>
      <c r="K430" s="10"/>
      <c r="L430" s="10"/>
      <c r="M430" s="11"/>
      <c r="N430" s="10"/>
      <c r="O430" s="42"/>
      <c r="P430" s="10"/>
    </row>
    <row r="431" spans="1:16" x14ac:dyDescent="0.25">
      <c r="A431" s="5"/>
      <c r="B431" s="22"/>
      <c r="C431" s="22"/>
      <c r="D431" s="18"/>
      <c r="E431" s="24"/>
      <c r="F431" s="13"/>
      <c r="G431" s="13"/>
      <c r="H431" s="7"/>
      <c r="I431" s="13"/>
      <c r="J431" s="9"/>
      <c r="K431" s="10"/>
      <c r="L431" s="10"/>
      <c r="M431" s="11"/>
      <c r="N431" s="10"/>
      <c r="O431" s="42"/>
      <c r="P431" s="10"/>
    </row>
    <row r="432" spans="1:16" x14ac:dyDescent="0.25">
      <c r="A432" s="5"/>
      <c r="B432" s="22"/>
      <c r="C432" s="22"/>
      <c r="D432" s="18"/>
      <c r="E432" s="24"/>
      <c r="F432" s="13"/>
      <c r="G432" s="13"/>
      <c r="H432" s="7"/>
      <c r="I432" s="13"/>
      <c r="J432" s="9"/>
      <c r="K432" s="10"/>
      <c r="L432" s="10"/>
      <c r="M432" s="11"/>
      <c r="N432" s="10"/>
      <c r="O432" s="42"/>
      <c r="P432" s="10"/>
    </row>
    <row r="433" spans="1:16" x14ac:dyDescent="0.25">
      <c r="A433" s="5"/>
      <c r="B433" s="22"/>
      <c r="C433" s="22"/>
      <c r="D433" s="18"/>
      <c r="E433" s="24"/>
      <c r="F433" s="13"/>
      <c r="G433" s="13"/>
      <c r="H433" s="7"/>
      <c r="I433" s="13"/>
      <c r="J433" s="9"/>
      <c r="K433" s="10"/>
      <c r="L433" s="10"/>
      <c r="M433" s="11"/>
      <c r="N433" s="10"/>
      <c r="O433" s="42"/>
      <c r="P433" s="10"/>
    </row>
    <row r="434" spans="1:16" x14ac:dyDescent="0.25">
      <c r="A434" s="5"/>
      <c r="B434" s="22"/>
      <c r="C434" s="22"/>
      <c r="D434" s="18"/>
      <c r="E434" s="24"/>
      <c r="F434" s="13"/>
      <c r="G434" s="13"/>
      <c r="H434" s="7"/>
      <c r="I434" s="13"/>
      <c r="J434" s="9"/>
      <c r="K434" s="10"/>
      <c r="L434" s="10"/>
      <c r="M434" s="11"/>
      <c r="N434" s="10"/>
      <c r="O434" s="42"/>
      <c r="P434" s="10"/>
    </row>
    <row r="435" spans="1:16" x14ac:dyDescent="0.25">
      <c r="A435" s="5"/>
      <c r="B435" s="22"/>
      <c r="C435" s="22"/>
      <c r="D435" s="18"/>
      <c r="E435" s="24"/>
      <c r="F435" s="13"/>
      <c r="G435" s="13"/>
      <c r="H435" s="7"/>
      <c r="I435" s="13"/>
      <c r="J435" s="9"/>
      <c r="K435" s="10"/>
      <c r="L435" s="10"/>
      <c r="M435" s="11"/>
      <c r="N435" s="10"/>
      <c r="O435" s="42"/>
      <c r="P435" s="10"/>
    </row>
    <row r="436" spans="1:16" x14ac:dyDescent="0.25">
      <c r="A436" s="5"/>
      <c r="B436" s="22"/>
      <c r="C436" s="22"/>
      <c r="D436" s="18"/>
      <c r="E436" s="24"/>
      <c r="F436" s="13"/>
      <c r="G436" s="13"/>
      <c r="H436" s="7"/>
      <c r="I436" s="13"/>
      <c r="J436" s="9"/>
      <c r="K436" s="10"/>
      <c r="L436" s="10"/>
      <c r="M436" s="11"/>
      <c r="N436" s="10"/>
      <c r="O436" s="42"/>
      <c r="P436" s="10"/>
    </row>
    <row r="437" spans="1:16" x14ac:dyDescent="0.25">
      <c r="A437" s="5"/>
      <c r="B437" s="22"/>
      <c r="C437" s="22"/>
      <c r="D437" s="18"/>
      <c r="E437" s="24"/>
      <c r="F437" s="13"/>
      <c r="G437" s="13"/>
      <c r="H437" s="7"/>
      <c r="I437" s="13"/>
      <c r="J437" s="9"/>
      <c r="K437" s="10"/>
      <c r="L437" s="10"/>
      <c r="M437" s="11"/>
      <c r="N437" s="10"/>
      <c r="O437" s="42"/>
      <c r="P437" s="10"/>
    </row>
    <row r="438" spans="1:16" x14ac:dyDescent="0.25">
      <c r="A438" s="5"/>
      <c r="B438" s="22"/>
      <c r="C438" s="22"/>
      <c r="D438" s="18"/>
      <c r="E438" s="24"/>
      <c r="F438" s="13"/>
      <c r="G438" s="13"/>
      <c r="H438" s="7"/>
      <c r="I438" s="13"/>
      <c r="J438" s="9"/>
      <c r="K438" s="10"/>
      <c r="L438" s="10"/>
      <c r="M438" s="11"/>
      <c r="N438" s="10"/>
      <c r="O438" s="42"/>
      <c r="P438" s="10"/>
    </row>
    <row r="439" spans="1:16" x14ac:dyDescent="0.25">
      <c r="A439" s="5"/>
      <c r="B439" s="22"/>
      <c r="C439" s="22"/>
      <c r="D439" s="18"/>
      <c r="E439" s="24"/>
      <c r="F439" s="13"/>
      <c r="G439" s="13"/>
      <c r="H439" s="7"/>
      <c r="I439" s="13"/>
      <c r="J439" s="9"/>
      <c r="K439" s="10"/>
      <c r="L439" s="10"/>
      <c r="M439" s="11"/>
      <c r="N439" s="10"/>
      <c r="O439" s="42"/>
      <c r="P439" s="10"/>
    </row>
    <row r="440" spans="1:16" x14ac:dyDescent="0.25">
      <c r="A440" s="5"/>
      <c r="B440" s="22"/>
      <c r="C440" s="22"/>
      <c r="D440" s="18"/>
      <c r="E440" s="24"/>
      <c r="F440" s="13"/>
      <c r="G440" s="13"/>
      <c r="H440" s="7"/>
      <c r="I440" s="13"/>
      <c r="J440" s="9"/>
      <c r="K440" s="10"/>
      <c r="L440" s="10"/>
      <c r="M440" s="11"/>
      <c r="N440" s="10"/>
      <c r="O440" s="42"/>
      <c r="P440" s="10"/>
    </row>
    <row r="441" spans="1:16" x14ac:dyDescent="0.25">
      <c r="A441" s="5"/>
      <c r="B441" s="22"/>
      <c r="C441" s="22"/>
      <c r="D441" s="18"/>
      <c r="E441" s="24"/>
      <c r="F441" s="13"/>
      <c r="G441" s="13"/>
      <c r="H441" s="7"/>
      <c r="I441" s="13"/>
      <c r="J441" s="9"/>
      <c r="K441" s="10"/>
      <c r="L441" s="10"/>
      <c r="M441" s="11"/>
      <c r="N441" s="10"/>
      <c r="O441" s="42"/>
      <c r="P441" s="10"/>
    </row>
    <row r="442" spans="1:16" x14ac:dyDescent="0.25">
      <c r="A442" s="5"/>
      <c r="B442" s="22"/>
      <c r="C442" s="22"/>
      <c r="D442" s="18"/>
      <c r="E442" s="24"/>
      <c r="F442" s="13"/>
      <c r="G442" s="13"/>
      <c r="H442" s="7"/>
      <c r="I442" s="13"/>
      <c r="J442" s="9"/>
      <c r="K442" s="10"/>
      <c r="L442" s="10"/>
      <c r="M442" s="11"/>
      <c r="N442" s="10"/>
      <c r="O442" s="42"/>
      <c r="P442" s="10"/>
    </row>
    <row r="443" spans="1:16" x14ac:dyDescent="0.25">
      <c r="A443" s="5"/>
      <c r="B443" s="22"/>
      <c r="C443" s="22"/>
      <c r="D443" s="18"/>
      <c r="E443" s="24"/>
      <c r="F443" s="13"/>
      <c r="G443" s="13"/>
      <c r="H443" s="7"/>
      <c r="I443" s="13"/>
      <c r="J443" s="9"/>
      <c r="K443" s="10"/>
      <c r="L443" s="10"/>
      <c r="M443" s="11"/>
      <c r="N443" s="10"/>
      <c r="O443" s="42"/>
      <c r="P443" s="10"/>
    </row>
    <row r="444" spans="1:16" x14ac:dyDescent="0.25">
      <c r="A444" s="5"/>
      <c r="B444" s="22"/>
      <c r="C444" s="22"/>
      <c r="D444" s="18"/>
      <c r="E444" s="24"/>
      <c r="F444" s="13"/>
      <c r="G444" s="13"/>
      <c r="H444" s="7"/>
      <c r="I444" s="13"/>
      <c r="J444" s="9"/>
      <c r="K444" s="10"/>
      <c r="L444" s="10"/>
      <c r="M444" s="11"/>
      <c r="N444" s="10"/>
      <c r="O444" s="42"/>
      <c r="P444" s="10"/>
    </row>
    <row r="445" spans="1:16" x14ac:dyDescent="0.25">
      <c r="A445" s="5"/>
      <c r="B445" s="22"/>
      <c r="C445" s="22"/>
      <c r="D445" s="18"/>
      <c r="E445" s="24"/>
      <c r="F445" s="13"/>
      <c r="G445" s="13"/>
      <c r="H445" s="7"/>
      <c r="I445" s="13"/>
      <c r="J445" s="9"/>
      <c r="K445" s="10"/>
      <c r="L445" s="10"/>
      <c r="M445" s="11"/>
      <c r="N445" s="10"/>
      <c r="O445" s="42"/>
      <c r="P445" s="10"/>
    </row>
    <row r="446" spans="1:16" x14ac:dyDescent="0.25">
      <c r="A446" s="5"/>
      <c r="B446" s="22"/>
      <c r="C446" s="22"/>
      <c r="D446" s="18"/>
      <c r="E446" s="24"/>
      <c r="F446" s="13"/>
      <c r="G446" s="13"/>
      <c r="H446" s="7"/>
      <c r="I446" s="13"/>
      <c r="J446" s="9"/>
      <c r="K446" s="10"/>
      <c r="L446" s="10"/>
      <c r="M446" s="11"/>
      <c r="N446" s="10"/>
      <c r="O446" s="42"/>
      <c r="P446" s="10"/>
    </row>
    <row r="447" spans="1:16" x14ac:dyDescent="0.25">
      <c r="A447" s="5"/>
      <c r="B447" s="22"/>
      <c r="C447" s="22"/>
      <c r="D447" s="18"/>
      <c r="E447" s="24"/>
      <c r="F447" s="13"/>
      <c r="G447" s="13"/>
      <c r="H447" s="7"/>
      <c r="I447" s="13"/>
      <c r="J447" s="9"/>
      <c r="K447" s="10"/>
      <c r="L447" s="10"/>
      <c r="M447" s="11"/>
      <c r="N447" s="10"/>
      <c r="O447" s="42"/>
      <c r="P447" s="10"/>
    </row>
    <row r="448" spans="1:16" x14ac:dyDescent="0.25">
      <c r="A448" s="5"/>
      <c r="B448" s="22"/>
      <c r="C448" s="22"/>
      <c r="D448" s="18"/>
      <c r="E448" s="24"/>
      <c r="F448" s="13"/>
      <c r="G448" s="13"/>
      <c r="H448" s="7"/>
      <c r="I448" s="13"/>
      <c r="J448" s="9"/>
      <c r="K448" s="10"/>
      <c r="L448" s="10"/>
      <c r="M448" s="11"/>
      <c r="N448" s="10"/>
      <c r="O448" s="42"/>
      <c r="P448" s="10"/>
    </row>
    <row r="449" spans="1:16" x14ac:dyDescent="0.25">
      <c r="A449" s="5"/>
      <c r="B449" s="22"/>
      <c r="C449" s="22"/>
      <c r="D449" s="18"/>
      <c r="E449" s="24"/>
      <c r="F449" s="13"/>
      <c r="G449" s="13"/>
      <c r="H449" s="7"/>
      <c r="I449" s="13"/>
      <c r="J449" s="9"/>
      <c r="K449" s="10"/>
      <c r="L449" s="10"/>
      <c r="M449" s="11"/>
      <c r="N449" s="10"/>
      <c r="O449" s="42"/>
      <c r="P449" s="10"/>
    </row>
    <row r="450" spans="1:16" x14ac:dyDescent="0.25">
      <c r="A450" s="5"/>
      <c r="B450" s="22"/>
      <c r="C450" s="22"/>
      <c r="D450" s="18"/>
      <c r="E450" s="24"/>
      <c r="F450" s="13"/>
      <c r="G450" s="13"/>
      <c r="H450" s="7"/>
      <c r="I450" s="13"/>
      <c r="J450" s="9"/>
      <c r="K450" s="10"/>
      <c r="L450" s="10"/>
      <c r="M450" s="11"/>
      <c r="N450" s="10"/>
      <c r="O450" s="42"/>
      <c r="P450" s="10"/>
    </row>
    <row r="451" spans="1:16" x14ac:dyDescent="0.25">
      <c r="A451" s="5"/>
      <c r="B451" s="22"/>
      <c r="C451" s="22"/>
      <c r="D451" s="18"/>
      <c r="E451" s="24"/>
      <c r="F451" s="13"/>
      <c r="G451" s="13"/>
      <c r="H451" s="7"/>
      <c r="I451" s="13"/>
      <c r="J451" s="9"/>
      <c r="K451" s="10"/>
      <c r="L451" s="10"/>
      <c r="M451" s="11"/>
      <c r="N451" s="10"/>
      <c r="O451" s="42"/>
      <c r="P451" s="10"/>
    </row>
    <row r="452" spans="1:16" x14ac:dyDescent="0.25">
      <c r="A452" s="5"/>
      <c r="B452" s="22"/>
      <c r="C452" s="22"/>
      <c r="D452" s="18"/>
      <c r="E452" s="24"/>
      <c r="F452" s="13"/>
      <c r="G452" s="13"/>
      <c r="H452" s="7"/>
      <c r="I452" s="13"/>
      <c r="J452" s="9"/>
      <c r="K452" s="10"/>
      <c r="L452" s="10"/>
      <c r="M452" s="11"/>
      <c r="N452" s="10"/>
      <c r="O452" s="42"/>
      <c r="P452" s="10"/>
    </row>
    <row r="453" spans="1:16" x14ac:dyDescent="0.25">
      <c r="A453" s="5"/>
      <c r="B453" s="22"/>
      <c r="C453" s="22"/>
      <c r="D453" s="18"/>
      <c r="E453" s="24"/>
      <c r="F453" s="13"/>
      <c r="G453" s="13"/>
      <c r="H453" s="7"/>
      <c r="I453" s="13"/>
      <c r="J453" s="9"/>
      <c r="K453" s="10"/>
      <c r="L453" s="10"/>
      <c r="M453" s="11"/>
      <c r="N453" s="10"/>
      <c r="O453" s="42"/>
      <c r="P453" s="10"/>
    </row>
    <row r="454" spans="1:16" x14ac:dyDescent="0.25">
      <c r="A454" s="5"/>
      <c r="B454" s="22"/>
      <c r="C454" s="22"/>
      <c r="D454" s="18"/>
      <c r="E454" s="24"/>
      <c r="F454" s="13"/>
      <c r="G454" s="13"/>
      <c r="H454" s="7"/>
      <c r="I454" s="13"/>
      <c r="J454" s="9"/>
      <c r="K454" s="10"/>
      <c r="L454" s="10"/>
      <c r="M454" s="11"/>
      <c r="N454" s="10"/>
      <c r="O454" s="42"/>
      <c r="P454" s="10"/>
    </row>
    <row r="455" spans="1:16" x14ac:dyDescent="0.25">
      <c r="A455" s="5"/>
      <c r="B455" s="22"/>
      <c r="C455" s="22"/>
      <c r="D455" s="18"/>
      <c r="E455" s="24"/>
      <c r="F455" s="13"/>
      <c r="G455" s="13"/>
      <c r="H455" s="7"/>
      <c r="I455" s="13"/>
      <c r="J455" s="9"/>
      <c r="K455" s="10"/>
      <c r="L455" s="10"/>
      <c r="M455" s="11"/>
      <c r="N455" s="10"/>
      <c r="O455" s="42"/>
      <c r="P455" s="10"/>
    </row>
    <row r="456" spans="1:16" x14ac:dyDescent="0.25">
      <c r="A456" s="5"/>
      <c r="B456" s="22"/>
      <c r="C456" s="22"/>
      <c r="D456" s="18"/>
      <c r="E456" s="24"/>
      <c r="F456" s="13"/>
      <c r="G456" s="13"/>
      <c r="H456" s="7"/>
      <c r="I456" s="13"/>
      <c r="J456" s="9"/>
      <c r="K456" s="10"/>
      <c r="L456" s="10"/>
      <c r="M456" s="11"/>
      <c r="N456" s="10"/>
      <c r="O456" s="42"/>
      <c r="P456" s="10"/>
    </row>
    <row r="457" spans="1:16" x14ac:dyDescent="0.25">
      <c r="A457" s="5"/>
      <c r="B457" s="22"/>
      <c r="C457" s="22"/>
      <c r="D457" s="18"/>
      <c r="E457" s="24"/>
      <c r="F457" s="13"/>
      <c r="G457" s="13"/>
      <c r="H457" s="7"/>
      <c r="I457" s="13"/>
      <c r="J457" s="9"/>
      <c r="K457" s="10"/>
      <c r="L457" s="10"/>
      <c r="M457" s="11"/>
      <c r="N457" s="10"/>
      <c r="O457" s="42"/>
      <c r="P457" s="10"/>
    </row>
    <row r="458" spans="1:16" x14ac:dyDescent="0.25">
      <c r="A458" s="5"/>
      <c r="B458" s="22"/>
      <c r="C458" s="22"/>
      <c r="D458" s="18"/>
      <c r="E458" s="24"/>
      <c r="F458" s="13"/>
      <c r="G458" s="13"/>
      <c r="H458" s="7"/>
      <c r="I458" s="13"/>
      <c r="J458" s="9"/>
      <c r="K458" s="10"/>
      <c r="L458" s="10"/>
      <c r="M458" s="11"/>
      <c r="N458" s="10"/>
      <c r="O458" s="42"/>
      <c r="P458" s="10"/>
    </row>
    <row r="459" spans="1:16" x14ac:dyDescent="0.25">
      <c r="A459" s="5"/>
      <c r="B459" s="22"/>
      <c r="C459" s="22"/>
      <c r="D459" s="18"/>
      <c r="E459" s="24"/>
      <c r="F459" s="13"/>
      <c r="G459" s="13"/>
      <c r="H459" s="7"/>
      <c r="I459" s="13"/>
      <c r="J459" s="9"/>
      <c r="K459" s="10"/>
      <c r="L459" s="10"/>
      <c r="M459" s="11"/>
      <c r="N459" s="10"/>
      <c r="O459" s="42"/>
      <c r="P459" s="10"/>
    </row>
    <row r="460" spans="1:16" x14ac:dyDescent="0.25">
      <c r="A460" s="5"/>
      <c r="B460" s="22"/>
      <c r="C460" s="22"/>
      <c r="D460" s="18"/>
      <c r="E460" s="24"/>
      <c r="F460" s="13"/>
      <c r="G460" s="13"/>
      <c r="H460" s="7"/>
      <c r="I460" s="13"/>
      <c r="J460" s="9"/>
      <c r="K460" s="10"/>
      <c r="L460" s="10"/>
      <c r="M460" s="11"/>
      <c r="N460" s="10"/>
      <c r="O460" s="42"/>
      <c r="P460" s="10"/>
    </row>
    <row r="461" spans="1:16" x14ac:dyDescent="0.25">
      <c r="A461" s="5"/>
      <c r="B461" s="22"/>
      <c r="C461" s="22"/>
      <c r="D461" s="18"/>
      <c r="E461" s="24"/>
      <c r="F461" s="13"/>
      <c r="G461" s="13"/>
      <c r="H461" s="7"/>
      <c r="I461" s="13"/>
      <c r="J461" s="9"/>
      <c r="K461" s="10"/>
      <c r="L461" s="10"/>
      <c r="M461" s="11"/>
      <c r="N461" s="10"/>
      <c r="O461" s="42"/>
      <c r="P461" s="10"/>
    </row>
    <row r="462" spans="1:16" x14ac:dyDescent="0.25">
      <c r="A462" s="5"/>
      <c r="B462" s="22"/>
      <c r="C462" s="22"/>
      <c r="D462" s="18"/>
      <c r="E462" s="24"/>
      <c r="F462" s="13"/>
      <c r="G462" s="13"/>
      <c r="H462" s="7"/>
      <c r="I462" s="13"/>
      <c r="J462" s="9"/>
      <c r="K462" s="10"/>
      <c r="L462" s="10"/>
      <c r="M462" s="11"/>
      <c r="N462" s="10"/>
      <c r="O462" s="42"/>
      <c r="P462" s="10"/>
    </row>
    <row r="463" spans="1:16" x14ac:dyDescent="0.25">
      <c r="A463" s="5"/>
      <c r="B463" s="22"/>
      <c r="C463" s="22"/>
      <c r="D463" s="18"/>
      <c r="E463" s="24"/>
      <c r="F463" s="13"/>
      <c r="G463" s="13"/>
      <c r="H463" s="7"/>
      <c r="I463" s="13"/>
      <c r="J463" s="9"/>
      <c r="K463" s="10"/>
      <c r="L463" s="10"/>
      <c r="M463" s="11"/>
      <c r="N463" s="10"/>
      <c r="O463" s="42"/>
      <c r="P463" s="10"/>
    </row>
    <row r="464" spans="1:16" x14ac:dyDescent="0.25">
      <c r="A464" s="5"/>
      <c r="B464" s="22"/>
      <c r="C464" s="22"/>
      <c r="D464" s="18"/>
      <c r="E464" s="24"/>
      <c r="F464" s="13"/>
      <c r="G464" s="13"/>
      <c r="H464" s="7"/>
      <c r="I464" s="13"/>
      <c r="J464" s="9"/>
      <c r="K464" s="10"/>
      <c r="L464" s="10"/>
      <c r="M464" s="11"/>
      <c r="N464" s="10"/>
      <c r="O464" s="42"/>
      <c r="P464" s="10"/>
    </row>
    <row r="465" spans="1:16" x14ac:dyDescent="0.25">
      <c r="A465" s="5"/>
      <c r="B465" s="22"/>
      <c r="C465" s="22"/>
      <c r="D465" s="18"/>
      <c r="E465" s="24"/>
      <c r="F465" s="13"/>
      <c r="G465" s="13"/>
      <c r="H465" s="7"/>
      <c r="I465" s="13"/>
      <c r="J465" s="9"/>
      <c r="K465" s="10"/>
      <c r="L465" s="10"/>
      <c r="M465" s="11"/>
      <c r="N465" s="10"/>
      <c r="O465" s="42"/>
      <c r="P465" s="10"/>
    </row>
    <row r="466" spans="1:16" x14ac:dyDescent="0.25">
      <c r="A466" s="5"/>
      <c r="B466" s="22"/>
      <c r="C466" s="22"/>
      <c r="D466" s="18"/>
      <c r="E466" s="24"/>
      <c r="F466" s="13"/>
      <c r="G466" s="13"/>
      <c r="H466" s="7"/>
      <c r="I466" s="13"/>
      <c r="J466" s="9"/>
      <c r="K466" s="10"/>
      <c r="L466" s="10"/>
      <c r="M466" s="11"/>
      <c r="N466" s="10"/>
      <c r="O466" s="42"/>
      <c r="P466" s="10"/>
    </row>
    <row r="467" spans="1:16" x14ac:dyDescent="0.25">
      <c r="A467" s="5"/>
      <c r="B467" s="22"/>
      <c r="C467" s="22"/>
      <c r="D467" s="18"/>
      <c r="E467" s="24"/>
      <c r="F467" s="13"/>
      <c r="G467" s="13"/>
      <c r="H467" s="7"/>
      <c r="I467" s="13"/>
      <c r="J467" s="9"/>
      <c r="K467" s="10"/>
      <c r="L467" s="10"/>
      <c r="M467" s="11"/>
      <c r="N467" s="10"/>
      <c r="O467" s="42"/>
      <c r="P467" s="10"/>
    </row>
    <row r="468" spans="1:16" x14ac:dyDescent="0.25">
      <c r="A468" s="5"/>
      <c r="B468" s="22"/>
      <c r="C468" s="22"/>
      <c r="D468" s="18"/>
      <c r="E468" s="24"/>
      <c r="F468" s="13"/>
      <c r="G468" s="13"/>
      <c r="H468" s="7"/>
      <c r="I468" s="13"/>
      <c r="J468" s="9"/>
      <c r="K468" s="10"/>
      <c r="L468" s="10"/>
      <c r="M468" s="11"/>
      <c r="N468" s="10"/>
      <c r="O468" s="42"/>
      <c r="P468" s="10"/>
    </row>
    <row r="469" spans="1:16" x14ac:dyDescent="0.25">
      <c r="A469" s="5"/>
      <c r="B469" s="22"/>
      <c r="C469" s="22"/>
      <c r="D469" s="18"/>
      <c r="E469" s="24"/>
      <c r="F469" s="13"/>
      <c r="G469" s="13"/>
      <c r="H469" s="7"/>
      <c r="I469" s="13"/>
      <c r="J469" s="9"/>
      <c r="K469" s="10"/>
      <c r="L469" s="10"/>
      <c r="M469" s="11"/>
      <c r="N469" s="10"/>
      <c r="O469" s="42"/>
      <c r="P469" s="10"/>
    </row>
    <row r="470" spans="1:16" x14ac:dyDescent="0.25">
      <c r="A470" s="5"/>
      <c r="B470" s="22"/>
      <c r="C470" s="22"/>
      <c r="D470" s="18"/>
      <c r="E470" s="24"/>
      <c r="F470" s="13"/>
      <c r="G470" s="13"/>
      <c r="H470" s="7"/>
      <c r="I470" s="13"/>
      <c r="J470" s="9"/>
      <c r="K470" s="10"/>
      <c r="L470" s="10"/>
      <c r="M470" s="11"/>
      <c r="N470" s="10"/>
      <c r="O470" s="42"/>
      <c r="P470" s="10"/>
    </row>
    <row r="471" spans="1:16" x14ac:dyDescent="0.25">
      <c r="A471" s="5"/>
      <c r="B471" s="22"/>
      <c r="C471" s="22"/>
      <c r="D471" s="18"/>
      <c r="E471" s="24"/>
      <c r="F471" s="13"/>
      <c r="G471" s="13"/>
      <c r="H471" s="7"/>
      <c r="I471" s="13"/>
      <c r="J471" s="9"/>
      <c r="K471" s="10"/>
      <c r="L471" s="10"/>
      <c r="M471" s="11"/>
      <c r="N471" s="10"/>
      <c r="O471" s="42"/>
      <c r="P471" s="10"/>
    </row>
    <row r="472" spans="1:16" x14ac:dyDescent="0.25">
      <c r="A472" s="5"/>
      <c r="B472" s="22"/>
      <c r="C472" s="22"/>
      <c r="D472" s="18"/>
      <c r="E472" s="24"/>
      <c r="F472" s="13"/>
      <c r="G472" s="13"/>
      <c r="H472" s="7"/>
      <c r="I472" s="13"/>
      <c r="J472" s="9"/>
      <c r="K472" s="10"/>
      <c r="L472" s="10"/>
      <c r="M472" s="11"/>
      <c r="N472" s="10"/>
      <c r="O472" s="42"/>
      <c r="P472" s="10"/>
    </row>
    <row r="473" spans="1:16" x14ac:dyDescent="0.25">
      <c r="A473" s="5"/>
      <c r="B473" s="22"/>
      <c r="C473" s="22"/>
      <c r="D473" s="18"/>
      <c r="E473" s="24"/>
      <c r="F473" s="13"/>
      <c r="G473" s="13"/>
      <c r="H473" s="7"/>
      <c r="I473" s="13"/>
      <c r="J473" s="9"/>
      <c r="K473" s="10"/>
      <c r="L473" s="10"/>
      <c r="M473" s="11"/>
      <c r="N473" s="10"/>
      <c r="O473" s="42"/>
      <c r="P473" s="10"/>
    </row>
    <row r="474" spans="1:16" x14ac:dyDescent="0.25">
      <c r="A474" s="5"/>
      <c r="B474" s="22"/>
      <c r="C474" s="22"/>
      <c r="D474" s="18"/>
      <c r="E474" s="24"/>
      <c r="F474" s="13"/>
      <c r="G474" s="13"/>
      <c r="H474" s="7"/>
      <c r="I474" s="13"/>
      <c r="J474" s="9"/>
      <c r="K474" s="10"/>
      <c r="L474" s="10"/>
      <c r="M474" s="11"/>
      <c r="N474" s="10"/>
      <c r="O474" s="42"/>
      <c r="P474" s="10"/>
    </row>
    <row r="475" spans="1:16" x14ac:dyDescent="0.25">
      <c r="A475" s="5"/>
      <c r="B475" s="22"/>
      <c r="C475" s="22"/>
      <c r="D475" s="18"/>
      <c r="E475" s="24"/>
      <c r="F475" s="13"/>
      <c r="G475" s="13"/>
      <c r="H475" s="7"/>
      <c r="I475" s="13"/>
      <c r="J475" s="9"/>
      <c r="K475" s="10"/>
      <c r="L475" s="10"/>
      <c r="M475" s="11"/>
      <c r="N475" s="10"/>
      <c r="O475" s="42"/>
      <c r="P475" s="10"/>
    </row>
    <row r="476" spans="1:16" x14ac:dyDescent="0.25">
      <c r="A476" s="5"/>
      <c r="B476" s="22"/>
      <c r="C476" s="22"/>
      <c r="D476" s="18"/>
      <c r="E476" s="24"/>
      <c r="F476" s="13"/>
      <c r="G476" s="13"/>
      <c r="H476" s="7"/>
      <c r="I476" s="13"/>
      <c r="J476" s="9"/>
      <c r="K476" s="10"/>
      <c r="L476" s="10"/>
      <c r="M476" s="11"/>
      <c r="N476" s="10"/>
      <c r="O476" s="42"/>
      <c r="P476" s="10"/>
    </row>
    <row r="477" spans="1:16" x14ac:dyDescent="0.25">
      <c r="A477" s="5"/>
      <c r="B477" s="22"/>
      <c r="C477" s="22"/>
      <c r="D477" s="18"/>
      <c r="E477" s="24"/>
      <c r="F477" s="13"/>
      <c r="G477" s="13"/>
      <c r="H477" s="7"/>
      <c r="I477" s="13"/>
      <c r="J477" s="9"/>
      <c r="K477" s="10"/>
      <c r="L477" s="10"/>
      <c r="M477" s="11"/>
      <c r="N477" s="10"/>
      <c r="O477" s="42"/>
      <c r="P477" s="10"/>
    </row>
    <row r="478" spans="1:16" x14ac:dyDescent="0.25">
      <c r="A478" s="5"/>
      <c r="B478" s="22"/>
      <c r="C478" s="22"/>
      <c r="D478" s="18"/>
      <c r="E478" s="24"/>
      <c r="F478" s="13"/>
      <c r="G478" s="13"/>
      <c r="H478" s="7"/>
      <c r="I478" s="13"/>
      <c r="J478" s="9"/>
      <c r="K478" s="10"/>
      <c r="L478" s="10"/>
      <c r="M478" s="11"/>
      <c r="N478" s="10"/>
      <c r="O478" s="42"/>
      <c r="P478" s="10"/>
    </row>
    <row r="479" spans="1:16" x14ac:dyDescent="0.25">
      <c r="A479" s="5"/>
      <c r="B479" s="22"/>
      <c r="C479" s="22"/>
      <c r="D479" s="18"/>
      <c r="E479" s="24"/>
      <c r="F479" s="13"/>
      <c r="G479" s="13"/>
      <c r="H479" s="7"/>
      <c r="I479" s="13"/>
      <c r="J479" s="9"/>
      <c r="K479" s="10"/>
      <c r="L479" s="10"/>
      <c r="M479" s="11"/>
      <c r="N479" s="10"/>
      <c r="O479" s="42"/>
      <c r="P479" s="10"/>
    </row>
    <row r="480" spans="1:16" x14ac:dyDescent="0.25">
      <c r="A480" s="5"/>
      <c r="B480" s="22"/>
      <c r="C480" s="22"/>
      <c r="D480" s="18"/>
      <c r="E480" s="24"/>
      <c r="F480" s="13"/>
      <c r="G480" s="13"/>
      <c r="H480" s="7"/>
      <c r="I480" s="13"/>
      <c r="J480" s="9"/>
      <c r="K480" s="10"/>
      <c r="L480" s="10"/>
      <c r="M480" s="11"/>
      <c r="N480" s="10"/>
      <c r="O480" s="42"/>
      <c r="P480" s="10"/>
    </row>
    <row r="481" spans="1:16" x14ac:dyDescent="0.25">
      <c r="A481" s="5"/>
      <c r="B481" s="22"/>
      <c r="C481" s="22"/>
      <c r="D481" s="18"/>
      <c r="E481" s="24"/>
      <c r="F481" s="13"/>
      <c r="G481" s="13"/>
      <c r="H481" s="7"/>
      <c r="I481" s="13"/>
      <c r="J481" s="9"/>
      <c r="K481" s="10"/>
      <c r="L481" s="10"/>
      <c r="M481" s="11"/>
      <c r="N481" s="10"/>
      <c r="O481" s="42"/>
      <c r="P481" s="10"/>
    </row>
    <row r="482" spans="1:16" x14ac:dyDescent="0.25">
      <c r="A482" s="5"/>
      <c r="B482" s="22"/>
      <c r="C482" s="22"/>
      <c r="D482" s="18"/>
      <c r="E482" s="24"/>
      <c r="F482" s="13"/>
      <c r="G482" s="13"/>
      <c r="H482" s="7"/>
      <c r="I482" s="13"/>
      <c r="J482" s="9"/>
      <c r="K482" s="10"/>
      <c r="L482" s="10"/>
      <c r="M482" s="11"/>
      <c r="N482" s="10"/>
      <c r="O482" s="42"/>
      <c r="P482" s="10"/>
    </row>
    <row r="483" spans="1:16" x14ac:dyDescent="0.25">
      <c r="A483" s="5"/>
      <c r="B483" s="22"/>
      <c r="C483" s="22"/>
      <c r="D483" s="18"/>
      <c r="E483" s="24"/>
      <c r="F483" s="13"/>
      <c r="G483" s="13"/>
      <c r="H483" s="7"/>
      <c r="I483" s="13"/>
      <c r="J483" s="9"/>
      <c r="K483" s="10"/>
      <c r="L483" s="10"/>
      <c r="M483" s="11"/>
      <c r="N483" s="10"/>
      <c r="O483" s="42"/>
      <c r="P483" s="10"/>
    </row>
    <row r="484" spans="1:16" x14ac:dyDescent="0.25">
      <c r="A484" s="5"/>
      <c r="B484" s="22"/>
      <c r="C484" s="22"/>
      <c r="D484" s="18"/>
      <c r="E484" s="24"/>
      <c r="F484" s="13"/>
      <c r="G484" s="13"/>
      <c r="H484" s="7"/>
      <c r="I484" s="13"/>
      <c r="J484" s="9"/>
      <c r="K484" s="10"/>
      <c r="L484" s="10"/>
      <c r="M484" s="11"/>
      <c r="N484" s="10"/>
      <c r="O484" s="42"/>
      <c r="P484" s="10"/>
    </row>
    <row r="485" spans="1:16" x14ac:dyDescent="0.25">
      <c r="A485" s="5"/>
      <c r="B485" s="22"/>
      <c r="C485" s="22"/>
      <c r="D485" s="18"/>
      <c r="E485" s="24"/>
      <c r="F485" s="13"/>
      <c r="G485" s="13"/>
      <c r="H485" s="7"/>
      <c r="I485" s="13"/>
      <c r="J485" s="9"/>
      <c r="K485" s="10"/>
      <c r="L485" s="10"/>
      <c r="M485" s="11"/>
      <c r="N485" s="10"/>
      <c r="O485" s="42"/>
      <c r="P485" s="10"/>
    </row>
    <row r="486" spans="1:16" x14ac:dyDescent="0.25">
      <c r="A486" s="5"/>
      <c r="B486" s="22"/>
      <c r="C486" s="22"/>
      <c r="D486" s="18"/>
      <c r="E486" s="24"/>
      <c r="F486" s="13"/>
      <c r="G486" s="13"/>
      <c r="H486" s="7"/>
      <c r="I486" s="13"/>
      <c r="J486" s="9"/>
      <c r="K486" s="10"/>
      <c r="L486" s="10"/>
      <c r="M486" s="11"/>
      <c r="N486" s="10"/>
      <c r="O486" s="42"/>
      <c r="P486" s="10"/>
    </row>
    <row r="487" spans="1:16" x14ac:dyDescent="0.25">
      <c r="A487" s="5"/>
      <c r="B487" s="22"/>
      <c r="C487" s="22"/>
      <c r="D487" s="18"/>
      <c r="E487" s="24"/>
      <c r="F487" s="13"/>
      <c r="G487" s="13"/>
      <c r="H487" s="7"/>
      <c r="I487" s="13"/>
      <c r="J487" s="9"/>
      <c r="K487" s="10"/>
      <c r="L487" s="10"/>
      <c r="M487" s="11"/>
      <c r="N487" s="10"/>
      <c r="O487" s="42"/>
      <c r="P487" s="10"/>
    </row>
    <row r="488" spans="1:16" x14ac:dyDescent="0.25">
      <c r="A488" s="5"/>
      <c r="B488" s="22"/>
      <c r="C488" s="22"/>
      <c r="D488" s="18"/>
      <c r="E488" s="24"/>
      <c r="F488" s="13"/>
      <c r="G488" s="13"/>
      <c r="H488" s="7"/>
      <c r="I488" s="13"/>
      <c r="J488" s="9"/>
      <c r="K488" s="10"/>
      <c r="L488" s="10"/>
      <c r="M488" s="11"/>
      <c r="N488" s="10"/>
      <c r="O488" s="42"/>
      <c r="P488" s="10"/>
    </row>
    <row r="489" spans="1:16" x14ac:dyDescent="0.25">
      <c r="A489" s="5"/>
      <c r="B489" s="22"/>
      <c r="C489" s="22"/>
      <c r="D489" s="18"/>
      <c r="E489" s="24"/>
      <c r="F489" s="13"/>
      <c r="G489" s="13"/>
      <c r="H489" s="7"/>
      <c r="I489" s="13"/>
      <c r="J489" s="9"/>
      <c r="K489" s="10"/>
      <c r="L489" s="10"/>
      <c r="M489" s="11"/>
      <c r="N489" s="10"/>
      <c r="O489" s="42"/>
      <c r="P489" s="10"/>
    </row>
    <row r="490" spans="1:16" x14ac:dyDescent="0.25">
      <c r="A490" s="5"/>
      <c r="B490" s="22"/>
      <c r="C490" s="22"/>
      <c r="D490" s="18"/>
      <c r="E490" s="24"/>
      <c r="F490" s="13"/>
      <c r="G490" s="13"/>
      <c r="H490" s="7"/>
      <c r="I490" s="13"/>
      <c r="J490" s="9"/>
      <c r="K490" s="10"/>
      <c r="L490" s="10"/>
      <c r="M490" s="11"/>
      <c r="N490" s="10"/>
      <c r="O490" s="42"/>
      <c r="P490" s="10"/>
    </row>
    <row r="491" spans="1:16" x14ac:dyDescent="0.25">
      <c r="A491" s="5"/>
      <c r="B491" s="22"/>
      <c r="C491" s="22"/>
      <c r="D491" s="18"/>
      <c r="E491" s="24"/>
      <c r="F491" s="13"/>
      <c r="G491" s="13"/>
      <c r="H491" s="7"/>
      <c r="I491" s="13"/>
      <c r="J491" s="9"/>
      <c r="K491" s="10"/>
      <c r="L491" s="10"/>
      <c r="M491" s="11"/>
      <c r="N491" s="10"/>
      <c r="O491" s="42"/>
      <c r="P491" s="10"/>
    </row>
    <row r="492" spans="1:16" x14ac:dyDescent="0.25">
      <c r="A492" s="5"/>
      <c r="B492" s="22"/>
      <c r="C492" s="22"/>
      <c r="D492" s="18"/>
      <c r="E492" s="24"/>
      <c r="F492" s="13"/>
      <c r="G492" s="13"/>
      <c r="H492" s="7"/>
      <c r="I492" s="13"/>
      <c r="J492" s="9"/>
      <c r="K492" s="10"/>
      <c r="L492" s="10"/>
      <c r="M492" s="11"/>
      <c r="N492" s="10"/>
      <c r="O492" s="42"/>
      <c r="P492" s="10"/>
    </row>
    <row r="493" spans="1:16" x14ac:dyDescent="0.25">
      <c r="A493" s="5"/>
      <c r="B493" s="22"/>
      <c r="C493" s="22"/>
      <c r="D493" s="18"/>
      <c r="E493" s="24"/>
      <c r="F493" s="13"/>
      <c r="G493" s="13"/>
      <c r="H493" s="7"/>
      <c r="I493" s="13"/>
      <c r="J493" s="9"/>
      <c r="K493" s="10"/>
      <c r="L493" s="10"/>
      <c r="M493" s="11"/>
      <c r="N493" s="10"/>
      <c r="O493" s="42"/>
      <c r="P493" s="10"/>
    </row>
    <row r="494" spans="1:16" x14ac:dyDescent="0.25">
      <c r="A494" s="5"/>
      <c r="B494" s="22"/>
      <c r="C494" s="22"/>
      <c r="D494" s="18"/>
      <c r="E494" s="24"/>
      <c r="F494" s="13"/>
      <c r="G494" s="13"/>
      <c r="H494" s="7"/>
      <c r="I494" s="13"/>
      <c r="J494" s="9"/>
      <c r="K494" s="10"/>
      <c r="L494" s="10"/>
      <c r="M494" s="11"/>
      <c r="N494" s="10"/>
      <c r="O494" s="42"/>
      <c r="P494" s="10"/>
    </row>
    <row r="495" spans="1:16" x14ac:dyDescent="0.25">
      <c r="A495" s="5"/>
      <c r="B495" s="22"/>
      <c r="C495" s="22"/>
      <c r="D495" s="18"/>
      <c r="E495" s="24"/>
      <c r="F495" s="13"/>
      <c r="G495" s="13"/>
      <c r="H495" s="7"/>
      <c r="I495" s="13"/>
      <c r="J495" s="9"/>
      <c r="K495" s="10"/>
      <c r="L495" s="10"/>
      <c r="M495" s="11"/>
      <c r="N495" s="10"/>
      <c r="O495" s="42"/>
      <c r="P495" s="10"/>
    </row>
    <row r="496" spans="1:16" x14ac:dyDescent="0.25">
      <c r="A496" s="5"/>
      <c r="B496" s="22"/>
      <c r="C496" s="22"/>
      <c r="D496" s="18"/>
      <c r="E496" s="24"/>
      <c r="F496" s="13"/>
      <c r="G496" s="13"/>
      <c r="H496" s="7"/>
      <c r="I496" s="13"/>
      <c r="J496" s="9"/>
      <c r="K496" s="10"/>
      <c r="L496" s="10"/>
      <c r="M496" s="11"/>
      <c r="N496" s="10"/>
      <c r="O496" s="42"/>
      <c r="P496" s="10"/>
    </row>
    <row r="497" spans="1:16" x14ac:dyDescent="0.25">
      <c r="A497" s="5"/>
      <c r="B497" s="22"/>
      <c r="C497" s="22"/>
      <c r="D497" s="18"/>
      <c r="E497" s="24"/>
      <c r="F497" s="13"/>
      <c r="G497" s="13"/>
      <c r="H497" s="7"/>
      <c r="I497" s="13"/>
      <c r="J497" s="9"/>
      <c r="K497" s="10"/>
      <c r="L497" s="10"/>
      <c r="M497" s="11"/>
      <c r="N497" s="10"/>
      <c r="O497" s="42"/>
      <c r="P497" s="10"/>
    </row>
    <row r="498" spans="1:16" x14ac:dyDescent="0.25">
      <c r="A498" s="5"/>
      <c r="B498" s="22"/>
      <c r="C498" s="22"/>
      <c r="D498" s="18"/>
      <c r="E498" s="24"/>
      <c r="F498" s="13"/>
      <c r="G498" s="13"/>
      <c r="H498" s="7"/>
      <c r="I498" s="13"/>
      <c r="J498" s="9"/>
      <c r="K498" s="10"/>
      <c r="L498" s="10"/>
      <c r="M498" s="11"/>
      <c r="N498" s="10"/>
      <c r="O498" s="42"/>
      <c r="P498" s="10"/>
    </row>
    <row r="499" spans="1:16" x14ac:dyDescent="0.25">
      <c r="A499" s="5"/>
      <c r="B499" s="22"/>
      <c r="C499" s="22"/>
      <c r="D499" s="18"/>
      <c r="E499" s="24"/>
      <c r="F499" s="13"/>
      <c r="G499" s="13"/>
      <c r="H499" s="7"/>
      <c r="I499" s="13"/>
      <c r="J499" s="9"/>
      <c r="K499" s="10"/>
      <c r="L499" s="10"/>
      <c r="M499" s="11"/>
      <c r="N499" s="10"/>
      <c r="O499" s="42"/>
      <c r="P499" s="10"/>
    </row>
    <row r="500" spans="1:16" x14ac:dyDescent="0.25">
      <c r="A500" s="5"/>
      <c r="B500" s="22"/>
      <c r="C500" s="22"/>
      <c r="D500" s="18"/>
      <c r="E500" s="24"/>
      <c r="F500" s="13"/>
      <c r="G500" s="13"/>
      <c r="H500" s="7"/>
      <c r="I500" s="13"/>
      <c r="J500" s="9"/>
      <c r="K500" s="10"/>
      <c r="L500" s="10"/>
      <c r="M500" s="11"/>
      <c r="N500" s="10"/>
      <c r="O500" s="42"/>
      <c r="P500" s="10"/>
    </row>
    <row r="501" spans="1:16" x14ac:dyDescent="0.25">
      <c r="A501" s="5"/>
      <c r="B501" s="22"/>
      <c r="C501" s="22"/>
      <c r="D501" s="18"/>
      <c r="E501" s="24"/>
      <c r="F501" s="13"/>
      <c r="G501" s="13"/>
      <c r="H501" s="7"/>
      <c r="I501" s="13"/>
      <c r="J501" s="9"/>
      <c r="K501" s="10"/>
      <c r="L501" s="10"/>
      <c r="M501" s="11"/>
      <c r="N501" s="10"/>
      <c r="O501" s="42"/>
      <c r="P501" s="10"/>
    </row>
    <row r="502" spans="1:16" x14ac:dyDescent="0.25">
      <c r="A502" s="5"/>
      <c r="B502" s="22"/>
      <c r="C502" s="22"/>
      <c r="D502" s="18"/>
      <c r="E502" s="24"/>
      <c r="F502" s="13"/>
      <c r="G502" s="13"/>
      <c r="H502" s="7"/>
      <c r="I502" s="13"/>
      <c r="J502" s="9"/>
      <c r="K502" s="10"/>
      <c r="L502" s="10"/>
      <c r="M502" s="11"/>
      <c r="N502" s="10"/>
      <c r="O502" s="42"/>
      <c r="P502" s="10"/>
    </row>
    <row r="503" spans="1:16" x14ac:dyDescent="0.25">
      <c r="A503" s="5"/>
      <c r="B503" s="22"/>
      <c r="C503" s="22"/>
      <c r="D503" s="18"/>
      <c r="E503" s="24"/>
      <c r="F503" s="13"/>
      <c r="G503" s="13"/>
      <c r="H503" s="7"/>
      <c r="I503" s="13"/>
      <c r="J503" s="9"/>
      <c r="K503" s="10"/>
      <c r="L503" s="10"/>
      <c r="M503" s="11"/>
      <c r="N503" s="10"/>
      <c r="O503" s="42"/>
      <c r="P503" s="10"/>
    </row>
    <row r="504" spans="1:16" x14ac:dyDescent="0.25">
      <c r="A504" s="5"/>
      <c r="B504" s="22"/>
      <c r="C504" s="22"/>
      <c r="D504" s="18"/>
      <c r="E504" s="24"/>
      <c r="F504" s="13"/>
      <c r="G504" s="13"/>
      <c r="H504" s="7"/>
      <c r="I504" s="13"/>
      <c r="J504" s="9"/>
      <c r="K504" s="10"/>
      <c r="L504" s="10"/>
      <c r="M504" s="11"/>
      <c r="N504" s="10"/>
      <c r="O504" s="42"/>
      <c r="P504" s="10"/>
    </row>
    <row r="505" spans="1:16" x14ac:dyDescent="0.25">
      <c r="A505" s="5"/>
      <c r="B505" s="22"/>
      <c r="C505" s="22"/>
      <c r="D505" s="18"/>
      <c r="E505" s="24"/>
      <c r="F505" s="13"/>
      <c r="G505" s="13"/>
      <c r="H505" s="7"/>
      <c r="I505" s="13"/>
      <c r="J505" s="9"/>
      <c r="K505" s="10"/>
      <c r="L505" s="10"/>
      <c r="M505" s="11"/>
      <c r="N505" s="10"/>
      <c r="O505" s="42"/>
      <c r="P505" s="10"/>
    </row>
    <row r="506" spans="1:16" x14ac:dyDescent="0.25">
      <c r="A506" s="5"/>
      <c r="B506" s="22"/>
      <c r="C506" s="22"/>
      <c r="D506" s="18"/>
      <c r="E506" s="24"/>
      <c r="F506" s="13"/>
      <c r="G506" s="13"/>
      <c r="H506" s="7"/>
      <c r="I506" s="13"/>
      <c r="J506" s="9"/>
      <c r="K506" s="10"/>
      <c r="L506" s="10"/>
      <c r="M506" s="11"/>
      <c r="N506" s="10"/>
      <c r="O506" s="42"/>
      <c r="P506" s="10"/>
    </row>
    <row r="507" spans="1:16" x14ac:dyDescent="0.25">
      <c r="A507" s="5"/>
      <c r="B507" s="22"/>
      <c r="C507" s="22"/>
      <c r="D507" s="18"/>
      <c r="E507" s="24"/>
      <c r="F507" s="13"/>
      <c r="G507" s="13"/>
      <c r="H507" s="7"/>
      <c r="I507" s="13"/>
      <c r="J507" s="9"/>
      <c r="K507" s="10"/>
      <c r="L507" s="10"/>
      <c r="M507" s="11"/>
      <c r="N507" s="10"/>
      <c r="O507" s="42"/>
      <c r="P507" s="10"/>
    </row>
    <row r="508" spans="1:16" x14ac:dyDescent="0.25">
      <c r="A508" s="5"/>
      <c r="B508" s="22"/>
      <c r="C508" s="22"/>
      <c r="D508" s="18"/>
      <c r="E508" s="24"/>
      <c r="F508" s="13"/>
      <c r="G508" s="13"/>
      <c r="H508" s="7"/>
      <c r="I508" s="13"/>
      <c r="J508" s="9"/>
      <c r="K508" s="10"/>
      <c r="L508" s="10"/>
      <c r="M508" s="11"/>
      <c r="N508" s="10"/>
      <c r="O508" s="42"/>
      <c r="P508" s="10"/>
    </row>
    <row r="509" spans="1:16" x14ac:dyDescent="0.25">
      <c r="A509" s="5"/>
      <c r="B509" s="22"/>
      <c r="C509" s="22"/>
      <c r="D509" s="18"/>
      <c r="E509" s="24"/>
      <c r="F509" s="13"/>
      <c r="G509" s="13"/>
      <c r="H509" s="7"/>
      <c r="I509" s="13"/>
      <c r="J509" s="9"/>
      <c r="K509" s="10"/>
      <c r="L509" s="10"/>
      <c r="M509" s="11"/>
      <c r="N509" s="10"/>
      <c r="O509" s="42"/>
      <c r="P509" s="10"/>
    </row>
    <row r="510" spans="1:16" x14ac:dyDescent="0.25">
      <c r="A510" s="5"/>
      <c r="B510" s="22"/>
      <c r="C510" s="22"/>
      <c r="D510" s="18"/>
      <c r="E510" s="24"/>
      <c r="F510" s="13"/>
      <c r="G510" s="13"/>
      <c r="H510" s="7"/>
      <c r="I510" s="13"/>
      <c r="J510" s="9"/>
      <c r="K510" s="10"/>
      <c r="L510" s="10"/>
      <c r="M510" s="11"/>
      <c r="N510" s="10"/>
      <c r="O510" s="42"/>
      <c r="P510" s="10"/>
    </row>
    <row r="511" spans="1:16" x14ac:dyDescent="0.25">
      <c r="A511" s="5"/>
      <c r="B511" s="22"/>
      <c r="C511" s="22"/>
      <c r="D511" s="18"/>
      <c r="E511" s="24"/>
      <c r="F511" s="13"/>
      <c r="G511" s="13"/>
      <c r="H511" s="7"/>
      <c r="I511" s="13"/>
      <c r="J511" s="9"/>
      <c r="K511" s="10"/>
      <c r="L511" s="10"/>
      <c r="M511" s="11"/>
      <c r="N511" s="10"/>
      <c r="O511" s="42"/>
      <c r="P511" s="10"/>
    </row>
    <row r="512" spans="1:16" x14ac:dyDescent="0.25">
      <c r="A512" s="5"/>
      <c r="B512" s="22"/>
      <c r="C512" s="22"/>
      <c r="D512" s="18"/>
      <c r="E512" s="24"/>
      <c r="F512" s="13"/>
      <c r="G512" s="13"/>
      <c r="H512" s="7"/>
      <c r="I512" s="13"/>
      <c r="J512" s="9"/>
      <c r="K512" s="10"/>
      <c r="L512" s="10"/>
      <c r="M512" s="11"/>
      <c r="N512" s="10"/>
      <c r="O512" s="42"/>
      <c r="P512" s="10"/>
    </row>
    <row r="513" spans="1:16" x14ac:dyDescent="0.25">
      <c r="A513" s="5"/>
      <c r="B513" s="22"/>
      <c r="C513" s="22"/>
      <c r="D513" s="18"/>
      <c r="E513" s="24"/>
      <c r="F513" s="13"/>
      <c r="G513" s="13"/>
      <c r="H513" s="7"/>
      <c r="I513" s="13"/>
      <c r="J513" s="9"/>
      <c r="K513" s="10"/>
      <c r="L513" s="10"/>
      <c r="M513" s="11"/>
      <c r="N513" s="10"/>
      <c r="O513" s="42"/>
      <c r="P513" s="10"/>
    </row>
    <row r="514" spans="1:16" x14ac:dyDescent="0.25">
      <c r="A514" s="5"/>
      <c r="B514" s="22"/>
      <c r="C514" s="22"/>
      <c r="D514" s="18"/>
      <c r="E514" s="24"/>
      <c r="F514" s="13"/>
      <c r="G514" s="13"/>
      <c r="H514" s="7"/>
      <c r="I514" s="13"/>
      <c r="J514" s="9"/>
      <c r="K514" s="10"/>
      <c r="L514" s="10"/>
      <c r="M514" s="11"/>
      <c r="N514" s="10"/>
      <c r="O514" s="42"/>
      <c r="P514" s="10"/>
    </row>
    <row r="515" spans="1:16" x14ac:dyDescent="0.25">
      <c r="A515" s="5"/>
      <c r="B515" s="22"/>
      <c r="C515" s="22"/>
      <c r="D515" s="18"/>
      <c r="E515" s="24"/>
      <c r="F515" s="13"/>
      <c r="G515" s="13"/>
      <c r="H515" s="7"/>
      <c r="I515" s="13"/>
      <c r="J515" s="9"/>
      <c r="K515" s="10"/>
      <c r="L515" s="10"/>
      <c r="M515" s="11"/>
      <c r="N515" s="10"/>
      <c r="O515" s="42"/>
      <c r="P515" s="10"/>
    </row>
    <row r="516" spans="1:16" x14ac:dyDescent="0.25">
      <c r="A516" s="5"/>
      <c r="B516" s="22"/>
      <c r="C516" s="22"/>
      <c r="D516" s="18"/>
      <c r="E516" s="24"/>
      <c r="F516" s="13"/>
      <c r="G516" s="13"/>
      <c r="H516" s="7"/>
      <c r="I516" s="13"/>
      <c r="J516" s="9"/>
      <c r="K516" s="10"/>
      <c r="L516" s="10"/>
      <c r="M516" s="11"/>
      <c r="N516" s="10"/>
      <c r="O516" s="42"/>
      <c r="P516" s="10"/>
    </row>
    <row r="517" spans="1:16" x14ac:dyDescent="0.25">
      <c r="A517" s="5"/>
      <c r="B517" s="22"/>
      <c r="C517" s="22"/>
      <c r="D517" s="18"/>
      <c r="E517" s="24"/>
      <c r="F517" s="13"/>
      <c r="G517" s="13"/>
      <c r="H517" s="7"/>
      <c r="I517" s="13"/>
      <c r="J517" s="9"/>
      <c r="K517" s="10"/>
      <c r="L517" s="10"/>
      <c r="M517" s="11"/>
      <c r="N517" s="10"/>
      <c r="O517" s="42"/>
      <c r="P517" s="10"/>
    </row>
    <row r="518" spans="1:16" x14ac:dyDescent="0.25">
      <c r="A518" s="5"/>
      <c r="B518" s="22"/>
      <c r="C518" s="22"/>
      <c r="D518" s="18"/>
      <c r="E518" s="24"/>
      <c r="F518" s="13"/>
      <c r="G518" s="13"/>
      <c r="H518" s="7"/>
      <c r="I518" s="13"/>
      <c r="J518" s="9"/>
      <c r="K518" s="10"/>
      <c r="L518" s="10"/>
      <c r="M518" s="11"/>
      <c r="N518" s="10"/>
      <c r="O518" s="42"/>
      <c r="P518" s="10"/>
    </row>
    <row r="519" spans="1:16" x14ac:dyDescent="0.25">
      <c r="A519" s="5"/>
      <c r="B519" s="22"/>
      <c r="C519" s="22"/>
      <c r="D519" s="18"/>
      <c r="E519" s="24"/>
      <c r="F519" s="13"/>
      <c r="G519" s="13"/>
      <c r="H519" s="7"/>
      <c r="I519" s="13"/>
      <c r="J519" s="9"/>
      <c r="K519" s="10"/>
      <c r="L519" s="10"/>
      <c r="M519" s="11"/>
      <c r="N519" s="10"/>
      <c r="O519" s="42"/>
      <c r="P519" s="10"/>
    </row>
    <row r="520" spans="1:16" x14ac:dyDescent="0.25">
      <c r="A520" s="5"/>
      <c r="B520" s="22"/>
      <c r="C520" s="22"/>
      <c r="D520" s="18"/>
      <c r="E520" s="24"/>
      <c r="F520" s="13"/>
      <c r="G520" s="13"/>
      <c r="H520" s="7"/>
      <c r="I520" s="13"/>
      <c r="J520" s="9"/>
      <c r="K520" s="10"/>
      <c r="L520" s="10"/>
      <c r="M520" s="11"/>
      <c r="N520" s="10"/>
      <c r="O520" s="42"/>
      <c r="P520" s="10"/>
    </row>
    <row r="521" spans="1:16" x14ac:dyDescent="0.25">
      <c r="A521" s="5"/>
      <c r="B521" s="22"/>
      <c r="C521" s="22"/>
      <c r="D521" s="18"/>
      <c r="E521" s="24"/>
      <c r="F521" s="13"/>
      <c r="G521" s="13"/>
      <c r="H521" s="7"/>
      <c r="I521" s="13"/>
      <c r="J521" s="9"/>
      <c r="K521" s="10"/>
      <c r="L521" s="10"/>
      <c r="M521" s="11"/>
      <c r="N521" s="10"/>
      <c r="O521" s="42"/>
      <c r="P521" s="10"/>
    </row>
    <row r="522" spans="1:16" x14ac:dyDescent="0.25">
      <c r="A522" s="5"/>
      <c r="B522" s="22"/>
      <c r="C522" s="22"/>
      <c r="D522" s="18"/>
      <c r="E522" s="24"/>
      <c r="F522" s="13"/>
      <c r="G522" s="13"/>
      <c r="H522" s="7"/>
      <c r="I522" s="13"/>
      <c r="J522" s="9"/>
      <c r="K522" s="10"/>
      <c r="L522" s="10"/>
      <c r="M522" s="11"/>
      <c r="N522" s="10"/>
      <c r="O522" s="42"/>
      <c r="P522" s="10"/>
    </row>
    <row r="523" spans="1:16" x14ac:dyDescent="0.25">
      <c r="A523" s="5"/>
      <c r="B523" s="22"/>
      <c r="C523" s="22"/>
      <c r="D523" s="18"/>
      <c r="E523" s="24"/>
      <c r="F523" s="13"/>
      <c r="G523" s="13"/>
      <c r="H523" s="7"/>
      <c r="I523" s="13"/>
      <c r="J523" s="9"/>
      <c r="K523" s="10"/>
      <c r="L523" s="10"/>
      <c r="M523" s="11"/>
      <c r="N523" s="10"/>
      <c r="O523" s="42"/>
      <c r="P523" s="10"/>
    </row>
    <row r="524" spans="1:16" x14ac:dyDescent="0.25">
      <c r="A524" s="5"/>
      <c r="B524" s="22"/>
      <c r="C524" s="22"/>
      <c r="D524" s="18"/>
      <c r="E524" s="24"/>
      <c r="F524" s="13"/>
      <c r="G524" s="13"/>
      <c r="H524" s="7"/>
      <c r="I524" s="13"/>
      <c r="J524" s="9"/>
      <c r="K524" s="10"/>
      <c r="L524" s="10"/>
      <c r="M524" s="11"/>
      <c r="N524" s="10"/>
      <c r="O524" s="42"/>
      <c r="P524" s="10"/>
    </row>
    <row r="525" spans="1:16" x14ac:dyDescent="0.25">
      <c r="A525" s="5"/>
      <c r="B525" s="22"/>
      <c r="C525" s="22"/>
      <c r="D525" s="18"/>
      <c r="E525" s="24"/>
      <c r="F525" s="13"/>
      <c r="G525" s="13"/>
      <c r="H525" s="7"/>
      <c r="I525" s="13"/>
      <c r="J525" s="9"/>
      <c r="K525" s="10"/>
      <c r="L525" s="10"/>
      <c r="M525" s="11"/>
      <c r="N525" s="10"/>
      <c r="O525" s="42"/>
      <c r="P525" s="10"/>
    </row>
    <row r="526" spans="1:16" x14ac:dyDescent="0.25">
      <c r="A526" s="5"/>
      <c r="B526" s="22"/>
      <c r="C526" s="22"/>
      <c r="D526" s="18"/>
      <c r="E526" s="24"/>
      <c r="F526" s="13"/>
      <c r="G526" s="13"/>
      <c r="H526" s="7"/>
      <c r="I526" s="13"/>
      <c r="J526" s="9"/>
      <c r="K526" s="10"/>
      <c r="L526" s="10"/>
      <c r="M526" s="11"/>
      <c r="N526" s="10"/>
      <c r="O526" s="42"/>
      <c r="P526" s="10"/>
    </row>
    <row r="527" spans="1:16" x14ac:dyDescent="0.25">
      <c r="A527" s="5"/>
      <c r="B527" s="22"/>
      <c r="C527" s="22"/>
      <c r="D527" s="18"/>
      <c r="E527" s="24"/>
      <c r="F527" s="13"/>
      <c r="G527" s="13"/>
      <c r="H527" s="7"/>
      <c r="I527" s="13"/>
      <c r="J527" s="9"/>
      <c r="K527" s="10"/>
      <c r="L527" s="10"/>
      <c r="M527" s="11"/>
      <c r="N527" s="10"/>
      <c r="O527" s="42"/>
      <c r="P527" s="10"/>
    </row>
    <row r="528" spans="1:16" x14ac:dyDescent="0.25">
      <c r="A528" s="5"/>
      <c r="B528" s="22"/>
      <c r="C528" s="22"/>
      <c r="D528" s="18"/>
      <c r="E528" s="24"/>
      <c r="F528" s="13"/>
      <c r="G528" s="13"/>
      <c r="H528" s="7"/>
      <c r="I528" s="13"/>
      <c r="J528" s="9"/>
      <c r="K528" s="10"/>
      <c r="L528" s="10"/>
      <c r="M528" s="11"/>
      <c r="N528" s="10"/>
      <c r="O528" s="42"/>
      <c r="P528" s="10"/>
    </row>
    <row r="529" spans="1:16" x14ac:dyDescent="0.25">
      <c r="A529" s="5"/>
      <c r="B529" s="22"/>
      <c r="C529" s="22"/>
      <c r="D529" s="18"/>
      <c r="E529" s="24"/>
      <c r="F529" s="13"/>
      <c r="G529" s="13"/>
      <c r="H529" s="7"/>
      <c r="I529" s="13"/>
      <c r="J529" s="9"/>
      <c r="K529" s="10"/>
      <c r="L529" s="10"/>
      <c r="M529" s="11"/>
      <c r="N529" s="10"/>
      <c r="O529" s="42"/>
      <c r="P529" s="10"/>
    </row>
    <row r="530" spans="1:16" x14ac:dyDescent="0.25">
      <c r="A530" s="5"/>
      <c r="B530" s="22"/>
      <c r="C530" s="22"/>
      <c r="D530" s="18"/>
      <c r="E530" s="24"/>
      <c r="F530" s="13"/>
      <c r="G530" s="13"/>
      <c r="H530" s="7"/>
      <c r="I530" s="13"/>
      <c r="J530" s="9"/>
      <c r="K530" s="10"/>
      <c r="L530" s="10"/>
      <c r="M530" s="11"/>
      <c r="N530" s="10"/>
      <c r="O530" s="42"/>
      <c r="P530" s="10"/>
    </row>
    <row r="531" spans="1:16" x14ac:dyDescent="0.25">
      <c r="A531" s="5"/>
      <c r="B531" s="22"/>
      <c r="C531" s="22"/>
      <c r="D531" s="18"/>
      <c r="E531" s="24"/>
      <c r="F531" s="13"/>
      <c r="G531" s="13"/>
      <c r="H531" s="7"/>
      <c r="I531" s="13"/>
      <c r="J531" s="9"/>
      <c r="K531" s="10"/>
      <c r="L531" s="10"/>
      <c r="M531" s="11"/>
      <c r="N531" s="10"/>
      <c r="O531" s="42"/>
      <c r="P531" s="10"/>
    </row>
    <row r="532" spans="1:16" x14ac:dyDescent="0.25">
      <c r="A532" s="5"/>
      <c r="B532" s="22"/>
      <c r="C532" s="22"/>
      <c r="D532" s="18"/>
      <c r="E532" s="24"/>
      <c r="F532" s="13"/>
      <c r="G532" s="13"/>
      <c r="H532" s="7"/>
      <c r="I532" s="13"/>
      <c r="J532" s="9"/>
      <c r="K532" s="10"/>
      <c r="L532" s="10"/>
      <c r="M532" s="11"/>
      <c r="N532" s="10"/>
      <c r="O532" s="42"/>
      <c r="P532" s="10"/>
    </row>
    <row r="533" spans="1:16" x14ac:dyDescent="0.25">
      <c r="A533" s="5"/>
      <c r="B533" s="22"/>
      <c r="C533" s="22"/>
      <c r="D533" s="18"/>
      <c r="E533" s="24"/>
      <c r="F533" s="13"/>
      <c r="G533" s="13"/>
      <c r="H533" s="7"/>
      <c r="I533" s="13"/>
      <c r="J533" s="9"/>
      <c r="K533" s="10"/>
      <c r="L533" s="10"/>
      <c r="M533" s="11"/>
      <c r="N533" s="10"/>
      <c r="O533" s="42"/>
      <c r="P533" s="10"/>
    </row>
    <row r="534" spans="1:16" x14ac:dyDescent="0.25">
      <c r="A534" s="5"/>
      <c r="B534" s="22"/>
      <c r="C534" s="22"/>
      <c r="D534" s="18"/>
      <c r="E534" s="24"/>
      <c r="F534" s="13"/>
      <c r="G534" s="13"/>
      <c r="H534" s="7"/>
      <c r="I534" s="13"/>
      <c r="J534" s="9"/>
      <c r="K534" s="10"/>
      <c r="L534" s="10"/>
      <c r="M534" s="11"/>
      <c r="N534" s="10"/>
      <c r="O534" s="42"/>
      <c r="P534" s="10"/>
    </row>
    <row r="535" spans="1:16" x14ac:dyDescent="0.25">
      <c r="A535" s="5"/>
      <c r="B535" s="22"/>
      <c r="C535" s="22"/>
      <c r="D535" s="18"/>
      <c r="E535" s="24"/>
      <c r="F535" s="13"/>
      <c r="G535" s="13"/>
      <c r="H535" s="7"/>
      <c r="I535" s="13"/>
      <c r="J535" s="9"/>
      <c r="K535" s="10"/>
      <c r="L535" s="10"/>
      <c r="M535" s="11"/>
      <c r="N535" s="10"/>
      <c r="O535" s="42"/>
      <c r="P535" s="10"/>
    </row>
    <row r="536" spans="1:16" x14ac:dyDescent="0.25">
      <c r="A536" s="5"/>
      <c r="B536" s="22"/>
      <c r="C536" s="22"/>
      <c r="D536" s="18"/>
      <c r="E536" s="24"/>
      <c r="F536" s="13"/>
      <c r="G536" s="13"/>
      <c r="H536" s="7"/>
      <c r="I536" s="13"/>
      <c r="J536" s="9"/>
      <c r="K536" s="10"/>
      <c r="L536" s="10"/>
      <c r="M536" s="11"/>
      <c r="N536" s="10"/>
      <c r="O536" s="42"/>
      <c r="P536" s="10"/>
    </row>
    <row r="537" spans="1:16" x14ac:dyDescent="0.25">
      <c r="A537" s="5"/>
      <c r="B537" s="22"/>
      <c r="C537" s="22"/>
      <c r="D537" s="18"/>
      <c r="E537" s="24"/>
      <c r="F537" s="13"/>
      <c r="G537" s="13"/>
      <c r="H537" s="7"/>
      <c r="I537" s="13"/>
      <c r="J537" s="9"/>
      <c r="K537" s="10"/>
      <c r="L537" s="10"/>
      <c r="M537" s="11"/>
      <c r="N537" s="10"/>
      <c r="O537" s="42"/>
      <c r="P537" s="10"/>
    </row>
    <row r="538" spans="1:16" x14ac:dyDescent="0.25">
      <c r="A538" s="5"/>
      <c r="B538" s="22"/>
      <c r="C538" s="22"/>
      <c r="D538" s="18"/>
      <c r="E538" s="24"/>
      <c r="F538" s="13"/>
      <c r="G538" s="13"/>
      <c r="H538" s="7"/>
      <c r="I538" s="13"/>
      <c r="J538" s="9"/>
      <c r="K538" s="10"/>
      <c r="L538" s="10"/>
      <c r="M538" s="11"/>
      <c r="N538" s="10"/>
      <c r="O538" s="42"/>
      <c r="P538" s="10"/>
    </row>
    <row r="539" spans="1:16" x14ac:dyDescent="0.25">
      <c r="A539" s="5"/>
      <c r="B539" s="22"/>
      <c r="C539" s="22"/>
      <c r="D539" s="18"/>
      <c r="E539" s="24"/>
      <c r="F539" s="13"/>
      <c r="G539" s="13"/>
      <c r="H539" s="7"/>
      <c r="I539" s="13"/>
      <c r="J539" s="9"/>
      <c r="K539" s="10"/>
      <c r="L539" s="10"/>
      <c r="M539" s="11"/>
      <c r="N539" s="10"/>
      <c r="O539" s="42"/>
      <c r="P539" s="10"/>
    </row>
    <row r="540" spans="1:16" x14ac:dyDescent="0.25">
      <c r="A540" s="5"/>
      <c r="B540" s="22"/>
      <c r="C540" s="22"/>
      <c r="D540" s="18"/>
      <c r="E540" s="24"/>
      <c r="F540" s="13"/>
      <c r="G540" s="13"/>
      <c r="H540" s="7"/>
      <c r="I540" s="13"/>
      <c r="J540" s="9"/>
      <c r="K540" s="10"/>
      <c r="L540" s="10"/>
      <c r="M540" s="11"/>
      <c r="N540" s="10"/>
      <c r="O540" s="42"/>
      <c r="P540" s="10"/>
    </row>
    <row r="541" spans="1:16" x14ac:dyDescent="0.25">
      <c r="A541" s="5"/>
      <c r="B541" s="22"/>
      <c r="C541" s="22"/>
      <c r="D541" s="18"/>
      <c r="E541" s="24"/>
      <c r="F541" s="13"/>
      <c r="G541" s="13"/>
      <c r="H541" s="7"/>
      <c r="I541" s="13"/>
      <c r="J541" s="9"/>
      <c r="K541" s="10"/>
      <c r="L541" s="10"/>
      <c r="M541" s="11"/>
      <c r="N541" s="10"/>
      <c r="O541" s="42"/>
      <c r="P541" s="10"/>
    </row>
    <row r="542" spans="1:16" x14ac:dyDescent="0.25">
      <c r="A542" s="5"/>
      <c r="B542" s="22"/>
      <c r="C542" s="22"/>
      <c r="D542" s="18"/>
      <c r="E542" s="24"/>
      <c r="F542" s="13"/>
      <c r="G542" s="13"/>
      <c r="H542" s="7"/>
      <c r="I542" s="13"/>
      <c r="J542" s="9"/>
      <c r="K542" s="10"/>
      <c r="L542" s="10"/>
      <c r="M542" s="11"/>
      <c r="N542" s="10"/>
      <c r="O542" s="42"/>
      <c r="P542" s="10"/>
    </row>
    <row r="543" spans="1:16" x14ac:dyDescent="0.25">
      <c r="A543" s="5"/>
      <c r="B543" s="22"/>
      <c r="C543" s="22"/>
      <c r="D543" s="18"/>
      <c r="E543" s="24"/>
      <c r="F543" s="13"/>
      <c r="G543" s="13"/>
      <c r="H543" s="7"/>
      <c r="I543" s="13"/>
      <c r="J543" s="9"/>
      <c r="K543" s="10"/>
      <c r="L543" s="10"/>
      <c r="M543" s="11"/>
      <c r="N543" s="10"/>
      <c r="O543" s="42"/>
      <c r="P543" s="10"/>
    </row>
    <row r="544" spans="1:16" x14ac:dyDescent="0.25">
      <c r="A544" s="5"/>
      <c r="B544" s="22"/>
      <c r="C544" s="22"/>
      <c r="D544" s="18"/>
      <c r="E544" s="24"/>
      <c r="F544" s="13"/>
      <c r="G544" s="13"/>
      <c r="H544" s="7"/>
      <c r="I544" s="13"/>
      <c r="J544" s="9"/>
      <c r="K544" s="10"/>
      <c r="L544" s="10"/>
      <c r="M544" s="11"/>
      <c r="N544" s="10"/>
      <c r="O544" s="42"/>
      <c r="P544" s="10"/>
    </row>
    <row r="545" spans="1:16" x14ac:dyDescent="0.25">
      <c r="A545" s="5"/>
      <c r="B545" s="22"/>
      <c r="C545" s="22"/>
      <c r="D545" s="18"/>
      <c r="E545" s="24"/>
      <c r="F545" s="13"/>
      <c r="G545" s="13"/>
      <c r="H545" s="7"/>
      <c r="I545" s="13"/>
      <c r="J545" s="9"/>
      <c r="K545" s="10"/>
      <c r="L545" s="10"/>
      <c r="M545" s="11"/>
      <c r="N545" s="10"/>
      <c r="O545" s="42"/>
      <c r="P545" s="10"/>
    </row>
    <row r="546" spans="1:16" x14ac:dyDescent="0.25">
      <c r="A546" s="5"/>
      <c r="B546" s="22"/>
      <c r="C546" s="22"/>
      <c r="D546" s="18"/>
      <c r="E546" s="24"/>
      <c r="F546" s="13"/>
      <c r="G546" s="13"/>
      <c r="H546" s="7"/>
      <c r="I546" s="13"/>
      <c r="J546" s="9"/>
      <c r="K546" s="10"/>
      <c r="L546" s="10"/>
      <c r="M546" s="11"/>
      <c r="N546" s="10"/>
      <c r="O546" s="42"/>
      <c r="P546" s="10"/>
    </row>
    <row r="547" spans="1:16" x14ac:dyDescent="0.25">
      <c r="A547" s="5"/>
      <c r="B547" s="22"/>
      <c r="C547" s="22"/>
      <c r="D547" s="18"/>
      <c r="E547" s="24"/>
      <c r="F547" s="13"/>
      <c r="G547" s="13"/>
      <c r="H547" s="7"/>
      <c r="I547" s="13"/>
      <c r="J547" s="9"/>
      <c r="K547" s="10"/>
      <c r="L547" s="10"/>
      <c r="M547" s="11"/>
      <c r="N547" s="10"/>
      <c r="O547" s="42"/>
      <c r="P547" s="10"/>
    </row>
    <row r="548" spans="1:16" x14ac:dyDescent="0.25">
      <c r="A548" s="5"/>
      <c r="B548" s="22"/>
      <c r="C548" s="22"/>
      <c r="D548" s="18"/>
      <c r="E548" s="24"/>
      <c r="F548" s="13"/>
      <c r="G548" s="13"/>
      <c r="H548" s="7"/>
      <c r="I548" s="13"/>
      <c r="J548" s="9"/>
      <c r="K548" s="10"/>
      <c r="L548" s="10"/>
      <c r="M548" s="11"/>
      <c r="N548" s="10"/>
      <c r="O548" s="42"/>
      <c r="P548" s="10"/>
    </row>
    <row r="549" spans="1:16" x14ac:dyDescent="0.25">
      <c r="A549" s="5"/>
      <c r="B549" s="22"/>
      <c r="C549" s="22"/>
      <c r="D549" s="18"/>
      <c r="E549" s="24"/>
      <c r="F549" s="13"/>
      <c r="G549" s="13"/>
      <c r="H549" s="7"/>
      <c r="I549" s="13"/>
      <c r="J549" s="9"/>
      <c r="K549" s="10"/>
      <c r="L549" s="10"/>
      <c r="M549" s="11"/>
      <c r="N549" s="10"/>
      <c r="O549" s="42"/>
      <c r="P549" s="10"/>
    </row>
    <row r="550" spans="1:16" x14ac:dyDescent="0.25">
      <c r="A550" s="5"/>
      <c r="B550" s="22"/>
      <c r="C550" s="22"/>
      <c r="D550" s="18"/>
      <c r="E550" s="24"/>
      <c r="F550" s="13"/>
      <c r="G550" s="13"/>
      <c r="H550" s="7"/>
      <c r="I550" s="13"/>
      <c r="J550" s="9"/>
      <c r="K550" s="10"/>
      <c r="L550" s="10"/>
      <c r="M550" s="11"/>
      <c r="N550" s="10"/>
      <c r="O550" s="42"/>
      <c r="P550" s="10"/>
    </row>
    <row r="551" spans="1:16" x14ac:dyDescent="0.25">
      <c r="A551" s="5"/>
      <c r="B551" s="22"/>
      <c r="C551" s="22"/>
      <c r="D551" s="18"/>
      <c r="E551" s="24"/>
      <c r="F551" s="13"/>
      <c r="G551" s="13"/>
      <c r="H551" s="7"/>
      <c r="I551" s="13"/>
      <c r="J551" s="9"/>
      <c r="K551" s="10"/>
      <c r="L551" s="10"/>
      <c r="M551" s="11"/>
      <c r="N551" s="10"/>
      <c r="O551" s="42"/>
      <c r="P551" s="10"/>
    </row>
    <row r="552" spans="1:16" x14ac:dyDescent="0.25">
      <c r="A552" s="5"/>
      <c r="B552" s="22"/>
      <c r="C552" s="22"/>
      <c r="D552" s="18"/>
      <c r="E552" s="24"/>
      <c r="F552" s="13"/>
      <c r="G552" s="13"/>
      <c r="H552" s="7"/>
      <c r="I552" s="13"/>
      <c r="J552" s="9"/>
      <c r="K552" s="10"/>
      <c r="L552" s="10"/>
      <c r="M552" s="11"/>
      <c r="N552" s="10"/>
      <c r="O552" s="42"/>
      <c r="P552" s="10"/>
    </row>
    <row r="553" spans="1:16" x14ac:dyDescent="0.25">
      <c r="A553" s="5"/>
      <c r="B553" s="22"/>
      <c r="C553" s="22"/>
      <c r="D553" s="18"/>
      <c r="E553" s="24"/>
      <c r="F553" s="13"/>
      <c r="G553" s="13"/>
      <c r="H553" s="7"/>
      <c r="I553" s="13"/>
      <c r="J553" s="9"/>
      <c r="K553" s="10"/>
      <c r="L553" s="10"/>
      <c r="M553" s="11"/>
      <c r="N553" s="10"/>
      <c r="O553" s="42"/>
      <c r="P553" s="10"/>
    </row>
    <row r="554" spans="1:16" x14ac:dyDescent="0.25">
      <c r="A554" s="5"/>
      <c r="B554" s="22"/>
      <c r="C554" s="22"/>
      <c r="D554" s="18"/>
      <c r="E554" s="24"/>
      <c r="F554" s="13"/>
      <c r="G554" s="13"/>
      <c r="H554" s="7"/>
      <c r="I554" s="13"/>
      <c r="J554" s="9"/>
      <c r="K554" s="10"/>
      <c r="L554" s="10"/>
      <c r="M554" s="11"/>
      <c r="N554" s="10"/>
      <c r="O554" s="42"/>
      <c r="P554" s="10"/>
    </row>
    <row r="555" spans="1:16" x14ac:dyDescent="0.25">
      <c r="A555" s="5"/>
      <c r="B555" s="22"/>
      <c r="C555" s="22"/>
      <c r="D555" s="18"/>
      <c r="E555" s="24"/>
      <c r="F555" s="13"/>
      <c r="G555" s="13"/>
      <c r="H555" s="7"/>
      <c r="I555" s="13"/>
      <c r="J555" s="9"/>
      <c r="K555" s="10"/>
      <c r="L555" s="10"/>
      <c r="M555" s="11"/>
      <c r="N555" s="10"/>
      <c r="O555" s="42"/>
      <c r="P555" s="10"/>
    </row>
    <row r="556" spans="1:16" x14ac:dyDescent="0.25">
      <c r="A556" s="5"/>
      <c r="B556" s="22"/>
      <c r="C556" s="22"/>
      <c r="D556" s="18"/>
      <c r="E556" s="24"/>
      <c r="F556" s="13"/>
      <c r="G556" s="13"/>
      <c r="H556" s="7"/>
      <c r="I556" s="13"/>
      <c r="J556" s="9"/>
      <c r="K556" s="10"/>
      <c r="L556" s="10"/>
      <c r="M556" s="11"/>
      <c r="N556" s="10"/>
      <c r="O556" s="42"/>
      <c r="P556" s="10"/>
    </row>
    <row r="557" spans="1:16" x14ac:dyDescent="0.25">
      <c r="A557" s="5"/>
      <c r="B557" s="22"/>
      <c r="C557" s="22"/>
      <c r="D557" s="18"/>
      <c r="E557" s="24"/>
      <c r="F557" s="13"/>
      <c r="G557" s="13"/>
      <c r="H557" s="7"/>
      <c r="I557" s="13"/>
      <c r="J557" s="9"/>
      <c r="K557" s="10"/>
      <c r="L557" s="10"/>
      <c r="M557" s="11"/>
      <c r="N557" s="10"/>
      <c r="O557" s="42"/>
      <c r="P557" s="10"/>
    </row>
    <row r="558" spans="1:16" x14ac:dyDescent="0.25">
      <c r="A558" s="5"/>
      <c r="B558" s="22"/>
      <c r="C558" s="22"/>
      <c r="D558" s="18"/>
      <c r="E558" s="24"/>
      <c r="F558" s="13"/>
      <c r="G558" s="13"/>
      <c r="H558" s="7"/>
      <c r="I558" s="13"/>
      <c r="J558" s="9"/>
      <c r="K558" s="10"/>
      <c r="L558" s="10"/>
      <c r="M558" s="11"/>
      <c r="N558" s="10"/>
      <c r="O558" s="42"/>
      <c r="P558" s="10"/>
    </row>
    <row r="559" spans="1:16" x14ac:dyDescent="0.25">
      <c r="A559" s="5"/>
      <c r="B559" s="22"/>
      <c r="C559" s="22"/>
      <c r="D559" s="18"/>
      <c r="E559" s="24"/>
      <c r="F559" s="13"/>
      <c r="G559" s="13"/>
      <c r="H559" s="7"/>
      <c r="I559" s="13"/>
      <c r="J559" s="9"/>
      <c r="K559" s="10"/>
      <c r="L559" s="10"/>
      <c r="M559" s="11"/>
      <c r="N559" s="10"/>
      <c r="O559" s="42"/>
      <c r="P559" s="10"/>
    </row>
    <row r="560" spans="1:16" x14ac:dyDescent="0.25">
      <c r="A560" s="5"/>
      <c r="B560" s="22"/>
      <c r="C560" s="22"/>
      <c r="D560" s="18"/>
      <c r="E560" s="24"/>
      <c r="F560" s="13"/>
      <c r="G560" s="13"/>
      <c r="H560" s="7"/>
      <c r="I560" s="13"/>
      <c r="J560" s="9"/>
      <c r="K560" s="10"/>
      <c r="L560" s="10"/>
      <c r="M560" s="11"/>
      <c r="N560" s="10"/>
      <c r="O560" s="42"/>
      <c r="P560" s="10"/>
    </row>
    <row r="561" spans="1:16" x14ac:dyDescent="0.25">
      <c r="A561" s="5"/>
      <c r="B561" s="22"/>
      <c r="C561" s="22"/>
      <c r="D561" s="18"/>
      <c r="E561" s="24"/>
      <c r="F561" s="13"/>
      <c r="G561" s="13"/>
      <c r="H561" s="7"/>
      <c r="I561" s="13"/>
      <c r="J561" s="9"/>
      <c r="K561" s="10"/>
      <c r="L561" s="10"/>
      <c r="M561" s="11"/>
      <c r="N561" s="10"/>
      <c r="O561" s="42"/>
      <c r="P561" s="10"/>
    </row>
    <row r="562" spans="1:16" x14ac:dyDescent="0.25">
      <c r="A562" s="5"/>
      <c r="B562" s="22"/>
      <c r="C562" s="22"/>
      <c r="D562" s="18"/>
      <c r="E562" s="24"/>
      <c r="F562" s="13"/>
      <c r="G562" s="13"/>
      <c r="H562" s="7"/>
      <c r="I562" s="13"/>
      <c r="J562" s="9"/>
      <c r="K562" s="10"/>
      <c r="L562" s="10"/>
      <c r="M562" s="11"/>
      <c r="N562" s="10"/>
      <c r="O562" s="42"/>
      <c r="P562" s="10"/>
    </row>
    <row r="563" spans="1:16" x14ac:dyDescent="0.25">
      <c r="A563" s="5"/>
      <c r="B563" s="22"/>
      <c r="C563" s="22"/>
      <c r="D563" s="18"/>
      <c r="E563" s="24"/>
      <c r="F563" s="13"/>
      <c r="G563" s="13"/>
      <c r="H563" s="7"/>
      <c r="I563" s="13"/>
      <c r="J563" s="9"/>
      <c r="K563" s="10"/>
      <c r="L563" s="10"/>
      <c r="M563" s="11"/>
      <c r="N563" s="10"/>
      <c r="O563" s="42"/>
      <c r="P563" s="10"/>
    </row>
    <row r="564" spans="1:16" x14ac:dyDescent="0.25">
      <c r="A564" s="5"/>
      <c r="B564" s="22"/>
      <c r="C564" s="22"/>
      <c r="D564" s="18"/>
      <c r="E564" s="24"/>
      <c r="F564" s="13"/>
      <c r="G564" s="13"/>
      <c r="H564" s="7"/>
      <c r="I564" s="13"/>
      <c r="J564" s="9"/>
      <c r="K564" s="10"/>
      <c r="L564" s="10"/>
      <c r="M564" s="11"/>
      <c r="N564" s="10"/>
      <c r="O564" s="42"/>
      <c r="P564" s="10"/>
    </row>
    <row r="565" spans="1:16" x14ac:dyDescent="0.25">
      <c r="A565" s="5"/>
      <c r="B565" s="22"/>
      <c r="C565" s="22"/>
      <c r="D565" s="18"/>
      <c r="E565" s="24"/>
      <c r="F565" s="13"/>
      <c r="G565" s="13"/>
      <c r="H565" s="7"/>
      <c r="I565" s="13"/>
      <c r="J565" s="9"/>
      <c r="K565" s="10"/>
      <c r="L565" s="10"/>
      <c r="M565" s="11"/>
      <c r="N565" s="10"/>
      <c r="O565" s="42"/>
      <c r="P565" s="10"/>
    </row>
    <row r="566" spans="1:16" x14ac:dyDescent="0.25">
      <c r="A566" s="5"/>
      <c r="B566" s="22"/>
      <c r="C566" s="22"/>
      <c r="D566" s="18"/>
      <c r="E566" s="24"/>
      <c r="F566" s="13"/>
      <c r="G566" s="13"/>
      <c r="H566" s="7"/>
      <c r="I566" s="13"/>
      <c r="J566" s="9"/>
      <c r="K566" s="10"/>
      <c r="L566" s="10"/>
      <c r="M566" s="11"/>
      <c r="N566" s="10"/>
      <c r="O566" s="42"/>
      <c r="P566" s="10"/>
    </row>
    <row r="567" spans="1:16" x14ac:dyDescent="0.25">
      <c r="A567" s="5"/>
      <c r="B567" s="22"/>
      <c r="C567" s="22"/>
      <c r="D567" s="18"/>
      <c r="E567" s="24"/>
      <c r="F567" s="13"/>
      <c r="G567" s="13"/>
      <c r="H567" s="7"/>
      <c r="I567" s="13"/>
      <c r="J567" s="9"/>
      <c r="K567" s="10"/>
      <c r="L567" s="10"/>
      <c r="M567" s="11"/>
      <c r="N567" s="10"/>
      <c r="O567" s="42"/>
      <c r="P567" s="10"/>
    </row>
    <row r="568" spans="1:16" x14ac:dyDescent="0.25">
      <c r="A568" s="5"/>
      <c r="B568" s="22"/>
      <c r="C568" s="22"/>
      <c r="D568" s="18"/>
      <c r="E568" s="24"/>
      <c r="F568" s="13"/>
      <c r="G568" s="13"/>
      <c r="H568" s="7"/>
      <c r="I568" s="13"/>
      <c r="J568" s="9"/>
      <c r="K568" s="10"/>
      <c r="L568" s="10"/>
      <c r="M568" s="11"/>
      <c r="N568" s="10"/>
      <c r="O568" s="42"/>
      <c r="P568" s="10"/>
    </row>
    <row r="569" spans="1:16" x14ac:dyDescent="0.25">
      <c r="A569" s="5"/>
      <c r="B569" s="22"/>
      <c r="C569" s="22"/>
      <c r="D569" s="18"/>
      <c r="E569" s="24"/>
      <c r="F569" s="13"/>
      <c r="G569" s="13"/>
      <c r="H569" s="7"/>
      <c r="I569" s="13"/>
      <c r="J569" s="9"/>
      <c r="K569" s="10"/>
      <c r="L569" s="10"/>
      <c r="M569" s="11"/>
      <c r="N569" s="10"/>
      <c r="O569" s="42"/>
      <c r="P569" s="10"/>
    </row>
    <row r="570" spans="1:16" x14ac:dyDescent="0.25">
      <c r="A570" s="5"/>
      <c r="B570" s="22"/>
      <c r="C570" s="22"/>
      <c r="D570" s="18"/>
      <c r="E570" s="24"/>
      <c r="F570" s="13"/>
      <c r="G570" s="13"/>
      <c r="H570" s="7"/>
      <c r="I570" s="13"/>
      <c r="J570" s="9"/>
      <c r="K570" s="10"/>
      <c r="L570" s="10"/>
      <c r="M570" s="11"/>
      <c r="N570" s="10"/>
      <c r="O570" s="42"/>
      <c r="P570" s="10"/>
    </row>
    <row r="571" spans="1:16" x14ac:dyDescent="0.25">
      <c r="A571" s="5"/>
      <c r="B571" s="22"/>
      <c r="C571" s="22"/>
      <c r="D571" s="18"/>
      <c r="E571" s="24"/>
      <c r="F571" s="13"/>
      <c r="G571" s="13"/>
      <c r="H571" s="7"/>
      <c r="I571" s="13"/>
      <c r="J571" s="9"/>
      <c r="K571" s="10"/>
      <c r="L571" s="10"/>
      <c r="M571" s="11"/>
      <c r="N571" s="10"/>
      <c r="O571" s="42"/>
      <c r="P571" s="10"/>
    </row>
    <row r="572" spans="1:16" x14ac:dyDescent="0.25">
      <c r="A572" s="5"/>
      <c r="B572" s="22"/>
      <c r="C572" s="22"/>
      <c r="D572" s="18"/>
      <c r="E572" s="24"/>
      <c r="F572" s="13"/>
      <c r="G572" s="13"/>
      <c r="H572" s="7"/>
      <c r="I572" s="13"/>
      <c r="J572" s="9"/>
      <c r="K572" s="10"/>
      <c r="L572" s="10"/>
      <c r="M572" s="11"/>
      <c r="N572" s="10"/>
      <c r="O572" s="42"/>
      <c r="P572" s="10"/>
    </row>
    <row r="573" spans="1:16" x14ac:dyDescent="0.25">
      <c r="A573" s="5"/>
      <c r="B573" s="22"/>
      <c r="C573" s="22"/>
      <c r="D573" s="18"/>
      <c r="E573" s="24"/>
      <c r="F573" s="13"/>
      <c r="G573" s="13"/>
      <c r="H573" s="7"/>
      <c r="I573" s="13"/>
      <c r="J573" s="9"/>
      <c r="K573" s="10"/>
      <c r="L573" s="10"/>
      <c r="M573" s="11"/>
      <c r="N573" s="10"/>
      <c r="O573" s="42"/>
      <c r="P573" s="10"/>
    </row>
    <row r="574" spans="1:16" x14ac:dyDescent="0.25">
      <c r="A574" s="5"/>
      <c r="B574" s="22"/>
      <c r="C574" s="22"/>
      <c r="D574" s="18"/>
      <c r="E574" s="24"/>
      <c r="F574" s="13"/>
      <c r="G574" s="13"/>
      <c r="H574" s="7"/>
      <c r="I574" s="13"/>
      <c r="J574" s="9"/>
      <c r="K574" s="10"/>
      <c r="L574" s="10"/>
      <c r="M574" s="11"/>
      <c r="N574" s="10"/>
      <c r="O574" s="42"/>
      <c r="P574" s="10"/>
    </row>
    <row r="575" spans="1:16" x14ac:dyDescent="0.25">
      <c r="A575" s="5"/>
      <c r="B575" s="22"/>
      <c r="C575" s="22"/>
      <c r="D575" s="18"/>
      <c r="E575" s="24"/>
      <c r="F575" s="13"/>
      <c r="G575" s="13"/>
      <c r="H575" s="7"/>
      <c r="I575" s="13"/>
      <c r="J575" s="9"/>
      <c r="K575" s="10"/>
      <c r="L575" s="10"/>
      <c r="M575" s="11"/>
      <c r="N575" s="10"/>
      <c r="O575" s="42"/>
      <c r="P575" s="10"/>
    </row>
    <row r="576" spans="1:16" x14ac:dyDescent="0.25">
      <c r="A576" s="5"/>
      <c r="B576" s="22"/>
      <c r="C576" s="22"/>
      <c r="D576" s="18"/>
      <c r="E576" s="24"/>
      <c r="F576" s="13"/>
      <c r="G576" s="13"/>
      <c r="H576" s="7"/>
      <c r="I576" s="13"/>
      <c r="J576" s="9"/>
      <c r="K576" s="10"/>
      <c r="L576" s="10"/>
      <c r="M576" s="11"/>
      <c r="N576" s="10"/>
      <c r="O576" s="42"/>
      <c r="P576" s="10"/>
    </row>
    <row r="577" spans="1:16" x14ac:dyDescent="0.25">
      <c r="A577" s="5"/>
      <c r="B577" s="22"/>
      <c r="C577" s="22"/>
      <c r="D577" s="18"/>
      <c r="E577" s="24"/>
      <c r="F577" s="13"/>
      <c r="G577" s="13"/>
      <c r="H577" s="7"/>
      <c r="I577" s="13"/>
      <c r="J577" s="9"/>
      <c r="K577" s="10"/>
      <c r="L577" s="10"/>
      <c r="M577" s="11"/>
      <c r="N577" s="10"/>
      <c r="O577" s="42"/>
      <c r="P577" s="10"/>
    </row>
    <row r="578" spans="1:16" x14ac:dyDescent="0.25">
      <c r="A578" s="5"/>
      <c r="B578" s="22"/>
      <c r="C578" s="22"/>
      <c r="D578" s="18"/>
      <c r="E578" s="24"/>
      <c r="F578" s="13"/>
      <c r="G578" s="13"/>
      <c r="H578" s="7"/>
      <c r="I578" s="13"/>
      <c r="J578" s="9"/>
      <c r="K578" s="10"/>
      <c r="L578" s="10"/>
      <c r="M578" s="11"/>
      <c r="N578" s="10"/>
      <c r="O578" s="42"/>
      <c r="P578" s="10"/>
    </row>
    <row r="579" spans="1:16" x14ac:dyDescent="0.25">
      <c r="A579" s="5"/>
      <c r="B579" s="22"/>
      <c r="C579" s="22"/>
      <c r="D579" s="18"/>
      <c r="E579" s="24"/>
      <c r="F579" s="13"/>
      <c r="G579" s="13"/>
      <c r="H579" s="7"/>
      <c r="I579" s="13"/>
      <c r="J579" s="9"/>
      <c r="K579" s="10"/>
      <c r="L579" s="10"/>
      <c r="M579" s="11"/>
      <c r="N579" s="10"/>
      <c r="O579" s="42"/>
      <c r="P579" s="10"/>
    </row>
    <row r="580" spans="1:16" x14ac:dyDescent="0.25">
      <c r="A580" s="5"/>
      <c r="B580" s="22"/>
      <c r="C580" s="22"/>
      <c r="D580" s="18"/>
      <c r="E580" s="24"/>
      <c r="F580" s="13"/>
      <c r="G580" s="13"/>
      <c r="H580" s="7"/>
      <c r="I580" s="13"/>
      <c r="J580" s="9"/>
      <c r="K580" s="10"/>
      <c r="L580" s="10"/>
      <c r="M580" s="11"/>
      <c r="N580" s="10"/>
      <c r="O580" s="42"/>
      <c r="P580" s="10"/>
    </row>
    <row r="581" spans="1:16" x14ac:dyDescent="0.25">
      <c r="A581" s="5"/>
      <c r="B581" s="22"/>
      <c r="C581" s="22"/>
      <c r="D581" s="18"/>
      <c r="E581" s="24"/>
      <c r="F581" s="13"/>
      <c r="G581" s="13"/>
      <c r="H581" s="7"/>
      <c r="I581" s="13"/>
      <c r="J581" s="9"/>
      <c r="K581" s="10"/>
      <c r="L581" s="10"/>
      <c r="M581" s="11"/>
      <c r="N581" s="10"/>
      <c r="O581" s="42"/>
      <c r="P581" s="10"/>
    </row>
    <row r="582" spans="1:16" x14ac:dyDescent="0.25">
      <c r="A582" s="5"/>
      <c r="B582" s="22"/>
      <c r="C582" s="22"/>
      <c r="D582" s="18"/>
      <c r="E582" s="24"/>
      <c r="F582" s="13"/>
      <c r="G582" s="13"/>
      <c r="H582" s="7"/>
      <c r="I582" s="13"/>
      <c r="J582" s="9"/>
      <c r="K582" s="10"/>
      <c r="L582" s="10"/>
      <c r="M582" s="11"/>
      <c r="N582" s="10"/>
      <c r="O582" s="42"/>
      <c r="P582" s="10"/>
    </row>
    <row r="583" spans="1:16" x14ac:dyDescent="0.25">
      <c r="A583" s="5"/>
      <c r="B583" s="22"/>
      <c r="C583" s="22"/>
      <c r="D583" s="18"/>
      <c r="E583" s="24"/>
      <c r="F583" s="13"/>
      <c r="G583" s="13"/>
      <c r="H583" s="7"/>
      <c r="I583" s="13"/>
      <c r="J583" s="9"/>
      <c r="K583" s="10"/>
      <c r="L583" s="10"/>
      <c r="M583" s="11"/>
      <c r="N583" s="10"/>
      <c r="O583" s="42"/>
      <c r="P583" s="10"/>
    </row>
    <row r="584" spans="1:16" x14ac:dyDescent="0.25">
      <c r="A584" s="5"/>
      <c r="B584" s="22"/>
      <c r="C584" s="22"/>
      <c r="D584" s="18"/>
      <c r="E584" s="24"/>
      <c r="F584" s="13"/>
      <c r="G584" s="13"/>
      <c r="H584" s="7"/>
      <c r="I584" s="13"/>
      <c r="J584" s="9"/>
      <c r="K584" s="10"/>
      <c r="L584" s="10"/>
      <c r="M584" s="11"/>
      <c r="N584" s="10"/>
      <c r="O584" s="42"/>
      <c r="P584" s="10"/>
    </row>
    <row r="585" spans="1:16" x14ac:dyDescent="0.25">
      <c r="A585" s="5"/>
      <c r="B585" s="22"/>
      <c r="C585" s="22"/>
      <c r="D585" s="18"/>
      <c r="E585" s="24"/>
      <c r="F585" s="13"/>
      <c r="G585" s="13"/>
      <c r="H585" s="7"/>
      <c r="I585" s="13"/>
      <c r="J585" s="9"/>
      <c r="K585" s="10"/>
      <c r="L585" s="10"/>
      <c r="M585" s="11"/>
      <c r="N585" s="10"/>
      <c r="O585" s="42"/>
      <c r="P585" s="10"/>
    </row>
    <row r="586" spans="1:16" x14ac:dyDescent="0.25">
      <c r="A586" s="5"/>
      <c r="B586" s="22"/>
      <c r="C586" s="22"/>
      <c r="D586" s="18"/>
      <c r="E586" s="24"/>
      <c r="F586" s="13"/>
      <c r="G586" s="13"/>
      <c r="H586" s="7"/>
      <c r="I586" s="13"/>
      <c r="J586" s="9"/>
      <c r="K586" s="10"/>
      <c r="L586" s="10"/>
      <c r="M586" s="11"/>
      <c r="N586" s="10"/>
      <c r="O586" s="42"/>
      <c r="P586" s="10"/>
    </row>
    <row r="587" spans="1:16" x14ac:dyDescent="0.25">
      <c r="A587" s="5"/>
      <c r="B587" s="22"/>
      <c r="C587" s="22"/>
      <c r="D587" s="18"/>
      <c r="E587" s="24"/>
      <c r="F587" s="13"/>
      <c r="G587" s="13"/>
      <c r="H587" s="7"/>
      <c r="I587" s="13"/>
      <c r="J587" s="9"/>
      <c r="K587" s="10"/>
      <c r="L587" s="10"/>
      <c r="M587" s="11"/>
      <c r="N587" s="10"/>
      <c r="O587" s="42"/>
      <c r="P587" s="10"/>
    </row>
    <row r="588" spans="1:16" x14ac:dyDescent="0.25">
      <c r="A588" s="5"/>
      <c r="B588" s="22"/>
      <c r="C588" s="22"/>
      <c r="D588" s="18"/>
      <c r="E588" s="24"/>
      <c r="F588" s="13"/>
      <c r="G588" s="13"/>
      <c r="H588" s="7"/>
      <c r="I588" s="13"/>
      <c r="J588" s="9"/>
      <c r="K588" s="10"/>
      <c r="L588" s="10"/>
      <c r="M588" s="11"/>
      <c r="N588" s="10"/>
      <c r="O588" s="42"/>
      <c r="P588" s="10"/>
    </row>
    <row r="589" spans="1:16" x14ac:dyDescent="0.25">
      <c r="A589" s="5"/>
      <c r="B589" s="22"/>
      <c r="C589" s="22"/>
      <c r="D589" s="18"/>
      <c r="E589" s="24"/>
      <c r="F589" s="13"/>
      <c r="G589" s="13"/>
      <c r="H589" s="7"/>
      <c r="I589" s="13"/>
      <c r="J589" s="9"/>
      <c r="K589" s="10"/>
      <c r="L589" s="10"/>
      <c r="M589" s="11"/>
      <c r="N589" s="10"/>
      <c r="O589" s="42"/>
      <c r="P589" s="10"/>
    </row>
    <row r="590" spans="1:16" x14ac:dyDescent="0.25">
      <c r="A590" s="5"/>
      <c r="B590" s="22"/>
      <c r="C590" s="22"/>
      <c r="D590" s="18"/>
      <c r="E590" s="24"/>
      <c r="F590" s="13"/>
      <c r="G590" s="13"/>
      <c r="H590" s="7"/>
      <c r="I590" s="13"/>
      <c r="J590" s="9"/>
      <c r="K590" s="10"/>
      <c r="L590" s="10"/>
      <c r="M590" s="11"/>
      <c r="N590" s="10"/>
      <c r="O590" s="42"/>
      <c r="P590" s="10"/>
    </row>
    <row r="591" spans="1:16" x14ac:dyDescent="0.25">
      <c r="A591" s="5"/>
      <c r="B591" s="22"/>
      <c r="C591" s="22"/>
      <c r="D591" s="18"/>
      <c r="E591" s="24"/>
      <c r="F591" s="13"/>
      <c r="G591" s="13"/>
      <c r="H591" s="7"/>
      <c r="I591" s="13"/>
      <c r="J591" s="9"/>
      <c r="K591" s="10"/>
      <c r="L591" s="10"/>
      <c r="M591" s="11"/>
      <c r="N591" s="10"/>
      <c r="O591" s="42"/>
      <c r="P591" s="10"/>
    </row>
    <row r="592" spans="1:16" x14ac:dyDescent="0.25">
      <c r="A592" s="5"/>
      <c r="B592" s="22"/>
      <c r="C592" s="22"/>
      <c r="D592" s="18"/>
      <c r="E592" s="24"/>
      <c r="F592" s="13"/>
      <c r="G592" s="13"/>
      <c r="H592" s="7"/>
      <c r="I592" s="13"/>
      <c r="J592" s="9"/>
      <c r="K592" s="10"/>
      <c r="L592" s="10"/>
      <c r="M592" s="11"/>
      <c r="N592" s="10"/>
      <c r="O592" s="42"/>
      <c r="P592" s="10"/>
    </row>
    <row r="593" spans="1:16" x14ac:dyDescent="0.25">
      <c r="A593" s="5"/>
      <c r="B593" s="22"/>
      <c r="C593" s="22"/>
      <c r="D593" s="18"/>
      <c r="E593" s="24"/>
      <c r="F593" s="13"/>
      <c r="G593" s="13"/>
      <c r="H593" s="7"/>
      <c r="I593" s="13"/>
      <c r="J593" s="9"/>
      <c r="K593" s="10"/>
      <c r="L593" s="10"/>
      <c r="M593" s="11"/>
      <c r="N593" s="10"/>
      <c r="O593" s="42"/>
      <c r="P593" s="10"/>
    </row>
    <row r="594" spans="1:16" x14ac:dyDescent="0.25">
      <c r="A594" s="5"/>
      <c r="B594" s="22"/>
      <c r="C594" s="22"/>
      <c r="D594" s="18"/>
      <c r="E594" s="24"/>
      <c r="F594" s="13"/>
      <c r="G594" s="13"/>
      <c r="H594" s="7"/>
      <c r="I594" s="13"/>
      <c r="J594" s="9"/>
      <c r="K594" s="10"/>
      <c r="L594" s="10"/>
      <c r="M594" s="11"/>
      <c r="N594" s="10"/>
      <c r="O594" s="42"/>
      <c r="P594" s="10"/>
    </row>
    <row r="595" spans="1:16" x14ac:dyDescent="0.25">
      <c r="A595" s="5"/>
      <c r="B595" s="22"/>
      <c r="C595" s="22"/>
      <c r="D595" s="18"/>
      <c r="E595" s="24"/>
      <c r="F595" s="13"/>
      <c r="G595" s="13"/>
      <c r="H595" s="7"/>
      <c r="I595" s="13"/>
      <c r="J595" s="9"/>
      <c r="K595" s="10"/>
      <c r="L595" s="10"/>
      <c r="M595" s="11"/>
      <c r="N595" s="10"/>
      <c r="O595" s="42"/>
      <c r="P595" s="10"/>
    </row>
    <row r="596" spans="1:16" x14ac:dyDescent="0.25">
      <c r="A596" s="5"/>
      <c r="B596" s="22"/>
      <c r="C596" s="22"/>
      <c r="D596" s="18"/>
      <c r="E596" s="24"/>
      <c r="F596" s="13"/>
      <c r="G596" s="13"/>
      <c r="H596" s="7"/>
      <c r="I596" s="13"/>
      <c r="J596" s="9"/>
      <c r="K596" s="10"/>
      <c r="L596" s="10"/>
      <c r="M596" s="11"/>
      <c r="N596" s="10"/>
      <c r="O596" s="42"/>
      <c r="P596" s="10"/>
    </row>
    <row r="597" spans="1:16" x14ac:dyDescent="0.25">
      <c r="A597" s="5"/>
      <c r="B597" s="22"/>
      <c r="C597" s="22"/>
      <c r="D597" s="18"/>
      <c r="E597" s="24"/>
      <c r="F597" s="13"/>
      <c r="G597" s="13"/>
      <c r="H597" s="7"/>
      <c r="I597" s="13"/>
      <c r="J597" s="9"/>
      <c r="K597" s="10"/>
      <c r="L597" s="10"/>
      <c r="M597" s="11"/>
      <c r="N597" s="10"/>
      <c r="O597" s="42"/>
      <c r="P597" s="10"/>
    </row>
    <row r="598" spans="1:16" x14ac:dyDescent="0.25">
      <c r="A598" s="5"/>
      <c r="B598" s="22"/>
      <c r="C598" s="22"/>
      <c r="D598" s="18"/>
      <c r="E598" s="24"/>
      <c r="F598" s="13"/>
      <c r="G598" s="13"/>
      <c r="H598" s="7"/>
      <c r="I598" s="13"/>
      <c r="J598" s="9"/>
      <c r="K598" s="10"/>
      <c r="L598" s="10"/>
      <c r="M598" s="11"/>
      <c r="N598" s="10"/>
      <c r="O598" s="42"/>
      <c r="P598" s="10"/>
    </row>
    <row r="599" spans="1:16" x14ac:dyDescent="0.25">
      <c r="A599" s="5"/>
      <c r="B599" s="22"/>
      <c r="C599" s="22"/>
      <c r="D599" s="18"/>
      <c r="E599" s="24"/>
      <c r="F599" s="13"/>
      <c r="G599" s="13"/>
      <c r="H599" s="7"/>
      <c r="I599" s="13"/>
      <c r="J599" s="9"/>
      <c r="K599" s="10"/>
      <c r="L599" s="10"/>
      <c r="M599" s="11"/>
      <c r="N599" s="10"/>
      <c r="O599" s="42"/>
      <c r="P599" s="10"/>
    </row>
    <row r="600" spans="1:16" x14ac:dyDescent="0.25">
      <c r="A600" s="5"/>
      <c r="B600" s="22"/>
      <c r="C600" s="22"/>
      <c r="D600" s="18"/>
      <c r="E600" s="24"/>
      <c r="F600" s="13"/>
      <c r="G600" s="13"/>
      <c r="H600" s="7"/>
      <c r="I600" s="13"/>
      <c r="J600" s="9"/>
      <c r="K600" s="10"/>
      <c r="L600" s="10"/>
      <c r="M600" s="11"/>
      <c r="N600" s="10"/>
      <c r="O600" s="42"/>
      <c r="P600" s="10"/>
    </row>
    <row r="601" spans="1:16" x14ac:dyDescent="0.25">
      <c r="A601" s="5"/>
      <c r="B601" s="22"/>
      <c r="C601" s="22"/>
      <c r="D601" s="18"/>
      <c r="E601" s="24"/>
      <c r="F601" s="13"/>
      <c r="G601" s="13"/>
      <c r="H601" s="7"/>
      <c r="I601" s="13"/>
      <c r="J601" s="9"/>
      <c r="K601" s="10"/>
      <c r="L601" s="10"/>
      <c r="M601" s="11"/>
      <c r="N601" s="10"/>
      <c r="O601" s="42"/>
      <c r="P601" s="10"/>
    </row>
    <row r="602" spans="1:16" x14ac:dyDescent="0.25">
      <c r="A602" s="5"/>
      <c r="B602" s="22"/>
      <c r="C602" s="22"/>
      <c r="D602" s="18"/>
      <c r="E602" s="24"/>
      <c r="F602" s="13"/>
      <c r="G602" s="13"/>
      <c r="H602" s="7"/>
      <c r="I602" s="13"/>
      <c r="J602" s="9"/>
      <c r="K602" s="10"/>
      <c r="L602" s="10"/>
      <c r="M602" s="11"/>
      <c r="N602" s="10"/>
      <c r="O602" s="42"/>
      <c r="P602" s="10"/>
    </row>
    <row r="603" spans="1:16" x14ac:dyDescent="0.25">
      <c r="A603" s="5"/>
      <c r="B603" s="22"/>
      <c r="C603" s="22"/>
      <c r="D603" s="18"/>
      <c r="E603" s="24"/>
      <c r="F603" s="13"/>
      <c r="G603" s="13"/>
      <c r="H603" s="7"/>
      <c r="I603" s="13"/>
      <c r="J603" s="9"/>
      <c r="K603" s="10"/>
      <c r="L603" s="10"/>
      <c r="M603" s="11"/>
      <c r="N603" s="10"/>
      <c r="O603" s="42"/>
      <c r="P603" s="10"/>
    </row>
    <row r="604" spans="1:16" x14ac:dyDescent="0.25">
      <c r="A604" s="5"/>
      <c r="B604" s="22"/>
      <c r="C604" s="22"/>
      <c r="D604" s="18"/>
      <c r="E604" s="24"/>
      <c r="F604" s="13"/>
      <c r="G604" s="13"/>
      <c r="H604" s="7"/>
      <c r="I604" s="13"/>
      <c r="J604" s="9"/>
      <c r="K604" s="10"/>
      <c r="L604" s="10"/>
      <c r="M604" s="11"/>
      <c r="N604" s="10"/>
      <c r="O604" s="42"/>
      <c r="P604" s="10"/>
    </row>
    <row r="605" spans="1:16" x14ac:dyDescent="0.25">
      <c r="A605" s="5"/>
      <c r="B605" s="22"/>
      <c r="C605" s="22"/>
      <c r="D605" s="18"/>
      <c r="E605" s="24"/>
      <c r="F605" s="13"/>
      <c r="G605" s="13"/>
      <c r="H605" s="7"/>
      <c r="I605" s="13"/>
      <c r="J605" s="9"/>
      <c r="K605" s="10"/>
      <c r="L605" s="10"/>
      <c r="M605" s="11"/>
      <c r="N605" s="10"/>
      <c r="O605" s="42"/>
      <c r="P605" s="10"/>
    </row>
    <row r="606" spans="1:16" x14ac:dyDescent="0.25">
      <c r="A606" s="5"/>
      <c r="B606" s="22"/>
      <c r="C606" s="22"/>
      <c r="D606" s="18"/>
      <c r="E606" s="24"/>
      <c r="F606" s="13"/>
      <c r="G606" s="13"/>
      <c r="H606" s="7"/>
      <c r="I606" s="13"/>
      <c r="J606" s="9"/>
      <c r="K606" s="10"/>
      <c r="L606" s="10"/>
      <c r="M606" s="11"/>
      <c r="N606" s="10"/>
      <c r="O606" s="42"/>
      <c r="P606" s="10"/>
    </row>
    <row r="607" spans="1:16" x14ac:dyDescent="0.25">
      <c r="A607" s="5"/>
      <c r="B607" s="22"/>
      <c r="C607" s="22"/>
      <c r="D607" s="18"/>
      <c r="E607" s="24"/>
      <c r="F607" s="13"/>
      <c r="G607" s="13"/>
      <c r="H607" s="7"/>
      <c r="I607" s="13"/>
      <c r="J607" s="9"/>
      <c r="K607" s="10"/>
      <c r="L607" s="10"/>
      <c r="M607" s="11"/>
      <c r="N607" s="10"/>
      <c r="O607" s="42"/>
      <c r="P607" s="10"/>
    </row>
    <row r="608" spans="1:16" x14ac:dyDescent="0.25">
      <c r="A608" s="5"/>
      <c r="B608" s="22"/>
      <c r="C608" s="22"/>
      <c r="D608" s="18"/>
      <c r="E608" s="24"/>
      <c r="F608" s="13"/>
      <c r="G608" s="13"/>
      <c r="H608" s="7"/>
      <c r="I608" s="13"/>
      <c r="J608" s="9"/>
      <c r="K608" s="10"/>
      <c r="L608" s="10"/>
      <c r="M608" s="11"/>
      <c r="N608" s="10"/>
      <c r="O608" s="42"/>
      <c r="P608" s="10"/>
    </row>
    <row r="609" spans="1:16" x14ac:dyDescent="0.25">
      <c r="A609" s="5"/>
      <c r="B609" s="22"/>
      <c r="C609" s="22"/>
      <c r="D609" s="18"/>
      <c r="E609" s="24"/>
      <c r="F609" s="13"/>
      <c r="G609" s="13"/>
      <c r="H609" s="7"/>
      <c r="I609" s="13"/>
      <c r="J609" s="9"/>
      <c r="K609" s="10"/>
      <c r="L609" s="10"/>
      <c r="M609" s="11"/>
      <c r="N609" s="10"/>
      <c r="O609" s="42"/>
      <c r="P609" s="10"/>
    </row>
    <row r="610" spans="1:16" x14ac:dyDescent="0.25">
      <c r="A610" s="5"/>
      <c r="B610" s="22"/>
      <c r="C610" s="22"/>
      <c r="D610" s="18"/>
      <c r="E610" s="24"/>
      <c r="F610" s="13"/>
      <c r="G610" s="13"/>
      <c r="H610" s="7"/>
      <c r="I610" s="13"/>
      <c r="J610" s="9"/>
      <c r="K610" s="10"/>
      <c r="L610" s="10"/>
      <c r="M610" s="11"/>
      <c r="N610" s="10"/>
      <c r="O610" s="42"/>
      <c r="P610" s="10"/>
    </row>
    <row r="611" spans="1:16" x14ac:dyDescent="0.25">
      <c r="A611" s="5"/>
      <c r="B611" s="22"/>
      <c r="C611" s="22"/>
      <c r="D611" s="18"/>
      <c r="E611" s="24"/>
      <c r="F611" s="13"/>
      <c r="G611" s="13"/>
      <c r="H611" s="7"/>
      <c r="I611" s="13"/>
      <c r="J611" s="9"/>
      <c r="K611" s="10"/>
      <c r="L611" s="10"/>
      <c r="M611" s="11"/>
      <c r="N611" s="10"/>
      <c r="O611" s="42"/>
      <c r="P611" s="10"/>
    </row>
    <row r="612" spans="1:16" x14ac:dyDescent="0.25">
      <c r="A612" s="5"/>
      <c r="B612" s="22"/>
      <c r="C612" s="22"/>
      <c r="D612" s="18"/>
      <c r="E612" s="24"/>
      <c r="F612" s="13"/>
      <c r="G612" s="13"/>
      <c r="H612" s="7"/>
      <c r="I612" s="13"/>
      <c r="J612" s="9"/>
      <c r="K612" s="10"/>
      <c r="L612" s="10"/>
      <c r="M612" s="11"/>
      <c r="N612" s="10"/>
      <c r="O612" s="42"/>
      <c r="P612" s="10"/>
    </row>
    <row r="613" spans="1:16" x14ac:dyDescent="0.25">
      <c r="A613" s="5"/>
      <c r="B613" s="22"/>
      <c r="C613" s="22"/>
      <c r="D613" s="18"/>
      <c r="E613" s="24"/>
      <c r="F613" s="13"/>
      <c r="G613" s="13"/>
      <c r="H613" s="7"/>
      <c r="I613" s="13"/>
      <c r="J613" s="9"/>
      <c r="K613" s="10"/>
      <c r="L613" s="10"/>
      <c r="M613" s="11"/>
      <c r="N613" s="10"/>
      <c r="O613" s="42"/>
      <c r="P613" s="10"/>
    </row>
    <row r="614" spans="1:16" x14ac:dyDescent="0.25">
      <c r="A614" s="5"/>
      <c r="B614" s="22"/>
      <c r="C614" s="22"/>
      <c r="D614" s="18"/>
      <c r="E614" s="24"/>
      <c r="F614" s="13"/>
      <c r="G614" s="13"/>
      <c r="H614" s="7"/>
      <c r="I614" s="13"/>
      <c r="J614" s="9"/>
      <c r="K614" s="10"/>
      <c r="L614" s="10"/>
      <c r="M614" s="11"/>
      <c r="N614" s="10"/>
      <c r="O614" s="42"/>
      <c r="P614" s="10"/>
    </row>
    <row r="615" spans="1:16" x14ac:dyDescent="0.25">
      <c r="A615" s="5"/>
      <c r="B615" s="22"/>
      <c r="C615" s="22"/>
      <c r="D615" s="18"/>
      <c r="E615" s="24"/>
      <c r="F615" s="13"/>
      <c r="G615" s="13"/>
      <c r="H615" s="7"/>
      <c r="I615" s="13"/>
      <c r="J615" s="9"/>
      <c r="K615" s="10"/>
      <c r="L615" s="10"/>
      <c r="M615" s="11"/>
      <c r="N615" s="10"/>
      <c r="O615" s="42"/>
      <c r="P615" s="10"/>
    </row>
    <row r="616" spans="1:16" x14ac:dyDescent="0.25">
      <c r="A616" s="5"/>
      <c r="B616" s="22"/>
      <c r="C616" s="22"/>
      <c r="D616" s="18"/>
      <c r="E616" s="24"/>
      <c r="F616" s="13"/>
      <c r="G616" s="13"/>
      <c r="H616" s="7"/>
      <c r="I616" s="13"/>
      <c r="J616" s="9"/>
      <c r="K616" s="10"/>
      <c r="L616" s="10"/>
      <c r="M616" s="11"/>
      <c r="N616" s="10"/>
      <c r="O616" s="42"/>
      <c r="P616" s="10"/>
    </row>
    <row r="617" spans="1:16" x14ac:dyDescent="0.25">
      <c r="A617" s="5"/>
      <c r="B617" s="22"/>
      <c r="C617" s="22"/>
      <c r="D617" s="18"/>
      <c r="E617" s="24"/>
      <c r="F617" s="13"/>
      <c r="G617" s="13"/>
      <c r="H617" s="7"/>
      <c r="I617" s="13"/>
      <c r="J617" s="9"/>
      <c r="K617" s="10"/>
      <c r="L617" s="10"/>
      <c r="M617" s="11"/>
      <c r="N617" s="10"/>
      <c r="O617" s="42"/>
      <c r="P617" s="10"/>
    </row>
    <row r="618" spans="1:16" x14ac:dyDescent="0.25">
      <c r="A618" s="5"/>
      <c r="B618" s="22"/>
      <c r="C618" s="22"/>
      <c r="D618" s="18"/>
      <c r="E618" s="24"/>
      <c r="F618" s="13"/>
      <c r="G618" s="13"/>
      <c r="H618" s="7"/>
      <c r="I618" s="13"/>
      <c r="J618" s="9"/>
      <c r="K618" s="10"/>
      <c r="L618" s="10"/>
      <c r="M618" s="11"/>
      <c r="N618" s="10"/>
      <c r="O618" s="42"/>
      <c r="P618" s="10"/>
    </row>
    <row r="619" spans="1:16" x14ac:dyDescent="0.25">
      <c r="A619" s="5"/>
      <c r="B619" s="22"/>
      <c r="C619" s="22"/>
      <c r="D619" s="18"/>
      <c r="E619" s="24"/>
      <c r="F619" s="13"/>
      <c r="G619" s="13"/>
      <c r="H619" s="7"/>
      <c r="I619" s="13"/>
      <c r="J619" s="9"/>
      <c r="K619" s="10"/>
      <c r="L619" s="10"/>
      <c r="M619" s="11"/>
      <c r="N619" s="10"/>
      <c r="O619" s="42"/>
      <c r="P619" s="10"/>
    </row>
    <row r="620" spans="1:16" x14ac:dyDescent="0.25">
      <c r="A620" s="5"/>
      <c r="B620" s="22"/>
      <c r="C620" s="22"/>
      <c r="D620" s="18"/>
      <c r="E620" s="24"/>
      <c r="F620" s="13"/>
      <c r="G620" s="13"/>
      <c r="H620" s="7"/>
      <c r="I620" s="13"/>
      <c r="J620" s="9"/>
      <c r="K620" s="10"/>
      <c r="L620" s="10"/>
      <c r="M620" s="11"/>
      <c r="N620" s="10"/>
      <c r="O620" s="42"/>
      <c r="P620" s="10"/>
    </row>
    <row r="621" spans="1:16" x14ac:dyDescent="0.25">
      <c r="A621" s="5"/>
      <c r="B621" s="22"/>
      <c r="C621" s="22"/>
      <c r="D621" s="18"/>
      <c r="E621" s="24"/>
      <c r="F621" s="13"/>
      <c r="G621" s="13"/>
      <c r="H621" s="7"/>
      <c r="I621" s="13"/>
      <c r="J621" s="9"/>
      <c r="K621" s="10"/>
      <c r="L621" s="10"/>
      <c r="M621" s="11"/>
      <c r="N621" s="10"/>
      <c r="O621" s="42"/>
      <c r="P621" s="10"/>
    </row>
    <row r="622" spans="1:16" x14ac:dyDescent="0.25">
      <c r="A622" s="5"/>
      <c r="B622" s="22"/>
      <c r="C622" s="22"/>
      <c r="D622" s="18"/>
      <c r="E622" s="24"/>
      <c r="F622" s="13"/>
      <c r="G622" s="13"/>
      <c r="H622" s="7"/>
      <c r="I622" s="13"/>
      <c r="J622" s="9"/>
      <c r="K622" s="10"/>
      <c r="L622" s="10"/>
      <c r="M622" s="11"/>
      <c r="N622" s="10"/>
      <c r="O622" s="42"/>
      <c r="P622" s="10"/>
    </row>
    <row r="623" spans="1:16" x14ac:dyDescent="0.25">
      <c r="A623" s="5"/>
      <c r="B623" s="22"/>
      <c r="C623" s="22"/>
      <c r="D623" s="18"/>
      <c r="E623" s="24"/>
      <c r="F623" s="13"/>
      <c r="G623" s="13"/>
      <c r="H623" s="7"/>
      <c r="I623" s="13"/>
      <c r="J623" s="9"/>
      <c r="K623" s="10"/>
      <c r="L623" s="10"/>
      <c r="M623" s="11"/>
      <c r="N623" s="10"/>
      <c r="O623" s="42"/>
      <c r="P623" s="10"/>
    </row>
    <row r="624" spans="1:16" x14ac:dyDescent="0.25">
      <c r="A624" s="5"/>
      <c r="B624" s="22"/>
      <c r="C624" s="22"/>
      <c r="D624" s="18"/>
      <c r="E624" s="24"/>
      <c r="F624" s="13"/>
      <c r="G624" s="13"/>
      <c r="H624" s="7"/>
      <c r="I624" s="13"/>
      <c r="J624" s="9"/>
      <c r="K624" s="10"/>
      <c r="L624" s="10"/>
      <c r="M624" s="11"/>
      <c r="N624" s="10"/>
      <c r="O624" s="42"/>
      <c r="P624" s="10"/>
    </row>
    <row r="625" spans="1:16" x14ac:dyDescent="0.25">
      <c r="A625" s="5"/>
      <c r="B625" s="22"/>
      <c r="C625" s="22"/>
      <c r="D625" s="18"/>
      <c r="E625" s="24"/>
      <c r="F625" s="13"/>
      <c r="G625" s="13"/>
      <c r="H625" s="7"/>
      <c r="I625" s="13"/>
      <c r="J625" s="9"/>
      <c r="K625" s="10"/>
      <c r="L625" s="10"/>
      <c r="M625" s="11"/>
      <c r="N625" s="10"/>
      <c r="O625" s="42"/>
      <c r="P625" s="10"/>
    </row>
    <row r="626" spans="1:16" x14ac:dyDescent="0.25">
      <c r="A626" s="5"/>
      <c r="B626" s="22"/>
      <c r="C626" s="22"/>
      <c r="D626" s="18"/>
      <c r="E626" s="24"/>
      <c r="F626" s="13"/>
      <c r="G626" s="13"/>
      <c r="H626" s="7"/>
      <c r="I626" s="13"/>
      <c r="J626" s="9"/>
      <c r="K626" s="10"/>
      <c r="L626" s="10"/>
      <c r="M626" s="11"/>
      <c r="N626" s="10"/>
      <c r="O626" s="42"/>
      <c r="P626" s="10"/>
    </row>
    <row r="627" spans="1:16" x14ac:dyDescent="0.25">
      <c r="A627" s="5"/>
      <c r="B627" s="22"/>
      <c r="C627" s="22"/>
      <c r="D627" s="18"/>
      <c r="E627" s="24"/>
      <c r="F627" s="13"/>
      <c r="G627" s="13"/>
      <c r="H627" s="7"/>
      <c r="I627" s="13"/>
      <c r="J627" s="9"/>
      <c r="K627" s="10"/>
      <c r="L627" s="10"/>
      <c r="M627" s="11"/>
      <c r="N627" s="10"/>
      <c r="O627" s="42"/>
      <c r="P627" s="10"/>
    </row>
    <row r="628" spans="1:16" x14ac:dyDescent="0.25">
      <c r="A628" s="5"/>
      <c r="B628" s="22"/>
      <c r="C628" s="22"/>
      <c r="D628" s="18"/>
      <c r="E628" s="24"/>
      <c r="F628" s="13"/>
      <c r="G628" s="13"/>
      <c r="H628" s="7"/>
      <c r="I628" s="13"/>
      <c r="J628" s="9"/>
      <c r="K628" s="10"/>
      <c r="L628" s="10"/>
      <c r="M628" s="11"/>
      <c r="N628" s="10"/>
      <c r="O628" s="42"/>
      <c r="P628" s="10"/>
    </row>
    <row r="629" spans="1:16" x14ac:dyDescent="0.25">
      <c r="A629" s="5"/>
      <c r="B629" s="22"/>
      <c r="C629" s="22"/>
      <c r="D629" s="18"/>
      <c r="E629" s="24"/>
      <c r="F629" s="13"/>
      <c r="G629" s="13"/>
      <c r="H629" s="7"/>
      <c r="I629" s="13"/>
      <c r="J629" s="9"/>
      <c r="K629" s="10"/>
      <c r="L629" s="10"/>
      <c r="M629" s="11"/>
      <c r="N629" s="10"/>
      <c r="O629" s="42"/>
      <c r="P629" s="10"/>
    </row>
    <row r="630" spans="1:16" x14ac:dyDescent="0.25">
      <c r="A630" s="5"/>
      <c r="B630" s="22"/>
      <c r="C630" s="22"/>
      <c r="D630" s="18"/>
      <c r="E630" s="24"/>
      <c r="F630" s="13"/>
      <c r="G630" s="13"/>
      <c r="H630" s="7"/>
      <c r="I630" s="13"/>
      <c r="J630" s="9"/>
      <c r="K630" s="10"/>
      <c r="L630" s="10"/>
      <c r="M630" s="11"/>
      <c r="N630" s="10"/>
      <c r="O630" s="42"/>
      <c r="P630" s="10"/>
    </row>
    <row r="631" spans="1:16" x14ac:dyDescent="0.25">
      <c r="A631" s="5"/>
      <c r="B631" s="22"/>
      <c r="C631" s="22"/>
      <c r="D631" s="18"/>
      <c r="E631" s="24"/>
      <c r="F631" s="13"/>
      <c r="G631" s="13"/>
      <c r="H631" s="7"/>
      <c r="I631" s="13"/>
      <c r="J631" s="9"/>
      <c r="K631" s="10"/>
      <c r="L631" s="10"/>
      <c r="M631" s="11"/>
      <c r="N631" s="10"/>
      <c r="O631" s="42"/>
      <c r="P631" s="10"/>
    </row>
    <row r="632" spans="1:16" x14ac:dyDescent="0.25">
      <c r="A632" s="5"/>
      <c r="B632" s="22"/>
      <c r="C632" s="22"/>
      <c r="D632" s="18"/>
      <c r="E632" s="24"/>
      <c r="F632" s="13"/>
      <c r="G632" s="13"/>
      <c r="H632" s="7"/>
      <c r="I632" s="13"/>
      <c r="J632" s="9"/>
      <c r="K632" s="10"/>
      <c r="L632" s="10"/>
      <c r="M632" s="11"/>
      <c r="N632" s="10"/>
      <c r="O632" s="42"/>
      <c r="P632" s="10"/>
    </row>
    <row r="633" spans="1:16" x14ac:dyDescent="0.25">
      <c r="A633" s="5"/>
      <c r="B633" s="22"/>
      <c r="C633" s="22"/>
      <c r="D633" s="18"/>
      <c r="E633" s="24"/>
      <c r="F633" s="13"/>
      <c r="G633" s="13"/>
      <c r="H633" s="7"/>
      <c r="I633" s="13"/>
      <c r="J633" s="9"/>
      <c r="K633" s="10"/>
      <c r="L633" s="10"/>
      <c r="M633" s="11"/>
      <c r="N633" s="10"/>
      <c r="O633" s="42"/>
      <c r="P633" s="10"/>
    </row>
    <row r="634" spans="1:16" x14ac:dyDescent="0.25">
      <c r="A634" s="5"/>
      <c r="B634" s="22"/>
      <c r="C634" s="22"/>
      <c r="D634" s="18"/>
      <c r="E634" s="24"/>
      <c r="F634" s="13"/>
      <c r="G634" s="13"/>
      <c r="H634" s="7"/>
      <c r="I634" s="13"/>
      <c r="J634" s="9"/>
      <c r="K634" s="10"/>
      <c r="L634" s="10"/>
      <c r="M634" s="11"/>
      <c r="N634" s="10"/>
      <c r="O634" s="42"/>
      <c r="P634" s="10"/>
    </row>
    <row r="635" spans="1:16" x14ac:dyDescent="0.25">
      <c r="A635" s="5"/>
      <c r="B635" s="22"/>
      <c r="C635" s="22"/>
      <c r="D635" s="18"/>
      <c r="E635" s="24"/>
      <c r="F635" s="13"/>
      <c r="G635" s="13"/>
      <c r="H635" s="7"/>
      <c r="I635" s="13"/>
      <c r="J635" s="9"/>
      <c r="K635" s="10"/>
      <c r="L635" s="10"/>
      <c r="M635" s="11"/>
      <c r="N635" s="10"/>
      <c r="O635" s="42"/>
      <c r="P635" s="10"/>
    </row>
    <row r="636" spans="1:16" x14ac:dyDescent="0.25">
      <c r="A636" s="5"/>
      <c r="B636" s="22"/>
      <c r="C636" s="22"/>
      <c r="D636" s="18"/>
      <c r="E636" s="24"/>
      <c r="F636" s="13"/>
      <c r="G636" s="13"/>
      <c r="H636" s="7"/>
      <c r="I636" s="13"/>
      <c r="J636" s="9"/>
      <c r="K636" s="10"/>
      <c r="L636" s="10"/>
      <c r="M636" s="11"/>
      <c r="N636" s="10"/>
      <c r="O636" s="42"/>
      <c r="P636" s="10"/>
    </row>
    <row r="637" spans="1:16" x14ac:dyDescent="0.25">
      <c r="A637" s="5"/>
      <c r="B637" s="22"/>
      <c r="C637" s="22"/>
      <c r="D637" s="18"/>
      <c r="E637" s="24"/>
      <c r="F637" s="13"/>
      <c r="G637" s="13"/>
      <c r="H637" s="7"/>
      <c r="I637" s="13"/>
      <c r="J637" s="9"/>
      <c r="K637" s="10"/>
      <c r="L637" s="10"/>
      <c r="M637" s="11"/>
      <c r="N637" s="10"/>
      <c r="O637" s="42"/>
      <c r="P637" s="10"/>
    </row>
    <row r="638" spans="1:16" x14ac:dyDescent="0.25">
      <c r="A638" s="5"/>
      <c r="B638" s="22"/>
      <c r="C638" s="22"/>
      <c r="D638" s="18"/>
      <c r="E638" s="24"/>
      <c r="F638" s="13"/>
      <c r="G638" s="13"/>
      <c r="H638" s="7"/>
      <c r="I638" s="13"/>
      <c r="J638" s="9"/>
      <c r="K638" s="10"/>
      <c r="L638" s="10"/>
      <c r="M638" s="11"/>
      <c r="N638" s="10"/>
      <c r="O638" s="42"/>
      <c r="P638" s="10"/>
    </row>
    <row r="639" spans="1:16" x14ac:dyDescent="0.25">
      <c r="A639" s="5"/>
      <c r="B639" s="22"/>
      <c r="C639" s="22"/>
      <c r="D639" s="18"/>
      <c r="E639" s="24"/>
      <c r="F639" s="13"/>
      <c r="G639" s="13"/>
      <c r="H639" s="7"/>
      <c r="I639" s="13"/>
      <c r="J639" s="9"/>
      <c r="K639" s="10"/>
      <c r="L639" s="10"/>
      <c r="M639" s="11"/>
      <c r="N639" s="10"/>
      <c r="O639" s="42"/>
      <c r="P639" s="10"/>
    </row>
    <row r="640" spans="1:16" x14ac:dyDescent="0.25">
      <c r="A640" s="5"/>
      <c r="B640" s="22"/>
      <c r="C640" s="22"/>
      <c r="D640" s="18"/>
      <c r="E640" s="24"/>
      <c r="F640" s="13"/>
      <c r="G640" s="13"/>
      <c r="H640" s="7"/>
      <c r="I640" s="13"/>
      <c r="J640" s="9"/>
      <c r="K640" s="10"/>
      <c r="L640" s="10"/>
      <c r="M640" s="11"/>
      <c r="N640" s="10"/>
      <c r="O640" s="42"/>
      <c r="P640" s="10"/>
    </row>
    <row r="641" spans="1:16" x14ac:dyDescent="0.25">
      <c r="A641" s="5"/>
      <c r="B641" s="22"/>
      <c r="C641" s="22"/>
      <c r="D641" s="18"/>
      <c r="E641" s="24"/>
      <c r="F641" s="13"/>
      <c r="G641" s="13"/>
      <c r="H641" s="7"/>
      <c r="I641" s="13"/>
      <c r="J641" s="9"/>
      <c r="K641" s="10"/>
      <c r="L641" s="10"/>
      <c r="M641" s="11"/>
      <c r="N641" s="10"/>
      <c r="O641" s="42"/>
      <c r="P641" s="10"/>
    </row>
    <row r="642" spans="1:16" x14ac:dyDescent="0.25">
      <c r="A642" s="5"/>
      <c r="B642" s="22"/>
      <c r="C642" s="22"/>
      <c r="D642" s="18"/>
      <c r="E642" s="24"/>
      <c r="F642" s="13"/>
      <c r="G642" s="13"/>
      <c r="H642" s="7"/>
      <c r="I642" s="13"/>
      <c r="J642" s="9"/>
      <c r="K642" s="10"/>
      <c r="L642" s="10"/>
      <c r="M642" s="11"/>
      <c r="N642" s="10"/>
      <c r="O642" s="42"/>
      <c r="P642" s="10"/>
    </row>
    <row r="643" spans="1:16" x14ac:dyDescent="0.25">
      <c r="A643" s="5"/>
      <c r="B643" s="22"/>
      <c r="C643" s="22"/>
      <c r="D643" s="18"/>
      <c r="E643" s="24"/>
      <c r="F643" s="13"/>
      <c r="G643" s="13"/>
      <c r="H643" s="7"/>
      <c r="I643" s="13"/>
      <c r="J643" s="9"/>
      <c r="K643" s="10"/>
      <c r="L643" s="10"/>
      <c r="M643" s="11"/>
      <c r="N643" s="10"/>
      <c r="O643" s="42"/>
      <c r="P643" s="10"/>
    </row>
    <row r="644" spans="1:16" x14ac:dyDescent="0.25">
      <c r="A644" s="5"/>
      <c r="B644" s="22"/>
      <c r="C644" s="22"/>
      <c r="D644" s="18"/>
      <c r="E644" s="24"/>
      <c r="F644" s="13"/>
      <c r="G644" s="13"/>
      <c r="H644" s="7"/>
      <c r="I644" s="13"/>
      <c r="J644" s="9"/>
      <c r="K644" s="10"/>
      <c r="L644" s="10"/>
      <c r="M644" s="11"/>
      <c r="N644" s="10"/>
      <c r="O644" s="42"/>
      <c r="P644" s="10"/>
    </row>
    <row r="645" spans="1:16" x14ac:dyDescent="0.25">
      <c r="A645" s="5"/>
      <c r="B645" s="22"/>
      <c r="C645" s="22"/>
      <c r="D645" s="18"/>
      <c r="E645" s="24"/>
      <c r="F645" s="13"/>
      <c r="G645" s="13"/>
      <c r="H645" s="7"/>
      <c r="I645" s="13"/>
      <c r="J645" s="9"/>
      <c r="K645" s="10"/>
      <c r="L645" s="10"/>
      <c r="M645" s="11"/>
      <c r="N645" s="10"/>
      <c r="O645" s="42"/>
      <c r="P645" s="10"/>
    </row>
    <row r="646" spans="1:16" x14ac:dyDescent="0.25">
      <c r="A646" s="5"/>
      <c r="B646" s="22"/>
      <c r="C646" s="22"/>
      <c r="D646" s="18"/>
      <c r="E646" s="24"/>
      <c r="F646" s="13"/>
      <c r="G646" s="13"/>
      <c r="H646" s="7"/>
      <c r="I646" s="13"/>
      <c r="J646" s="9"/>
      <c r="K646" s="10"/>
      <c r="L646" s="10"/>
      <c r="M646" s="11"/>
      <c r="N646" s="10"/>
      <c r="O646" s="42"/>
      <c r="P646" s="10"/>
    </row>
    <row r="647" spans="1:16" x14ac:dyDescent="0.25">
      <c r="A647" s="5"/>
      <c r="B647" s="22"/>
      <c r="C647" s="22"/>
      <c r="D647" s="18"/>
      <c r="E647" s="24"/>
      <c r="F647" s="13"/>
      <c r="G647" s="13"/>
      <c r="H647" s="7"/>
      <c r="I647" s="13"/>
      <c r="J647" s="9"/>
      <c r="K647" s="10"/>
      <c r="L647" s="10"/>
      <c r="M647" s="11"/>
      <c r="N647" s="10"/>
      <c r="O647" s="42"/>
      <c r="P647" s="10"/>
    </row>
    <row r="648" spans="1:16" x14ac:dyDescent="0.25">
      <c r="A648" s="5"/>
      <c r="B648" s="22"/>
      <c r="C648" s="22"/>
      <c r="D648" s="18"/>
      <c r="E648" s="24"/>
      <c r="F648" s="13"/>
      <c r="G648" s="13"/>
      <c r="H648" s="7"/>
      <c r="I648" s="13"/>
      <c r="J648" s="9"/>
      <c r="K648" s="10"/>
      <c r="L648" s="10"/>
      <c r="M648" s="11"/>
      <c r="N648" s="10"/>
      <c r="O648" s="42"/>
      <c r="P648" s="10"/>
    </row>
    <row r="649" spans="1:16" x14ac:dyDescent="0.25">
      <c r="A649" s="5"/>
      <c r="B649" s="22"/>
      <c r="C649" s="22"/>
      <c r="D649" s="18"/>
      <c r="E649" s="24"/>
      <c r="F649" s="13"/>
      <c r="G649" s="13"/>
      <c r="H649" s="7"/>
      <c r="I649" s="13"/>
      <c r="J649" s="9"/>
      <c r="K649" s="10"/>
      <c r="L649" s="10"/>
      <c r="M649" s="11"/>
      <c r="N649" s="10"/>
      <c r="O649" s="42"/>
      <c r="P649" s="10"/>
    </row>
    <row r="650" spans="1:16" x14ac:dyDescent="0.25">
      <c r="A650" s="5"/>
      <c r="B650" s="22"/>
      <c r="C650" s="22"/>
      <c r="D650" s="18"/>
      <c r="E650" s="24"/>
      <c r="F650" s="13"/>
      <c r="G650" s="13"/>
      <c r="H650" s="7"/>
      <c r="I650" s="13"/>
      <c r="J650" s="9"/>
      <c r="K650" s="10"/>
      <c r="L650" s="10"/>
      <c r="M650" s="11"/>
      <c r="N650" s="10"/>
      <c r="O650" s="42"/>
      <c r="P650" s="10"/>
    </row>
    <row r="651" spans="1:16" x14ac:dyDescent="0.25">
      <c r="A651" s="5"/>
      <c r="B651" s="22"/>
      <c r="C651" s="22"/>
      <c r="D651" s="18"/>
      <c r="E651" s="24"/>
      <c r="F651" s="13"/>
      <c r="G651" s="13"/>
      <c r="H651" s="7"/>
      <c r="I651" s="13"/>
      <c r="J651" s="9"/>
      <c r="K651" s="10"/>
      <c r="L651" s="10"/>
      <c r="M651" s="11"/>
      <c r="N651" s="10"/>
      <c r="O651" s="42"/>
      <c r="P651" s="10"/>
    </row>
    <row r="652" spans="1:16" x14ac:dyDescent="0.25">
      <c r="A652" s="5"/>
      <c r="B652" s="22"/>
      <c r="C652" s="22"/>
      <c r="D652" s="18"/>
      <c r="E652" s="24"/>
      <c r="F652" s="13"/>
      <c r="G652" s="13"/>
      <c r="H652" s="7"/>
      <c r="I652" s="13"/>
      <c r="J652" s="9"/>
      <c r="K652" s="10"/>
      <c r="L652" s="10"/>
      <c r="M652" s="11"/>
      <c r="N652" s="10"/>
      <c r="O652" s="42"/>
      <c r="P652" s="10"/>
    </row>
    <row r="653" spans="1:16" x14ac:dyDescent="0.25">
      <c r="A653" s="5"/>
      <c r="B653" s="22"/>
      <c r="C653" s="22"/>
      <c r="D653" s="18"/>
      <c r="E653" s="24"/>
      <c r="F653" s="13"/>
      <c r="G653" s="13"/>
      <c r="H653" s="7"/>
      <c r="I653" s="13"/>
      <c r="J653" s="9"/>
      <c r="K653" s="10"/>
      <c r="L653" s="10"/>
      <c r="M653" s="11"/>
      <c r="N653" s="10"/>
      <c r="O653" s="42"/>
      <c r="P653" s="10"/>
    </row>
    <row r="654" spans="1:16" x14ac:dyDescent="0.25">
      <c r="A654" s="5"/>
      <c r="B654" s="22"/>
      <c r="C654" s="22"/>
      <c r="D654" s="18"/>
      <c r="E654" s="24"/>
      <c r="F654" s="13"/>
      <c r="G654" s="13"/>
      <c r="H654" s="7"/>
      <c r="I654" s="13"/>
      <c r="J654" s="9"/>
      <c r="K654" s="10"/>
      <c r="L654" s="10"/>
      <c r="M654" s="11"/>
      <c r="N654" s="10"/>
      <c r="O654" s="42"/>
      <c r="P654" s="10"/>
    </row>
    <row r="655" spans="1:16" x14ac:dyDescent="0.25">
      <c r="A655" s="5"/>
      <c r="B655" s="22"/>
      <c r="C655" s="22"/>
      <c r="D655" s="18"/>
      <c r="E655" s="24"/>
      <c r="F655" s="13"/>
      <c r="G655" s="13"/>
      <c r="H655" s="7"/>
      <c r="I655" s="13"/>
      <c r="J655" s="9"/>
      <c r="K655" s="10"/>
      <c r="L655" s="10"/>
      <c r="M655" s="11"/>
      <c r="N655" s="10"/>
      <c r="O655" s="42"/>
      <c r="P655" s="10"/>
    </row>
    <row r="656" spans="1:16" x14ac:dyDescent="0.25">
      <c r="A656" s="5"/>
      <c r="B656" s="22"/>
      <c r="C656" s="22"/>
      <c r="D656" s="18"/>
      <c r="E656" s="24"/>
      <c r="F656" s="13"/>
      <c r="G656" s="13"/>
      <c r="H656" s="7"/>
      <c r="I656" s="13"/>
      <c r="J656" s="9"/>
      <c r="K656" s="10"/>
      <c r="L656" s="10"/>
      <c r="M656" s="11"/>
      <c r="N656" s="10"/>
      <c r="O656" s="42"/>
      <c r="P656" s="10"/>
    </row>
    <row r="657" spans="1:16" x14ac:dyDescent="0.25">
      <c r="A657" s="5"/>
      <c r="B657" s="22"/>
      <c r="C657" s="22"/>
      <c r="D657" s="18"/>
      <c r="E657" s="24"/>
      <c r="F657" s="13"/>
      <c r="G657" s="13"/>
      <c r="H657" s="7"/>
      <c r="I657" s="13"/>
      <c r="J657" s="9"/>
      <c r="K657" s="10"/>
      <c r="L657" s="10"/>
      <c r="M657" s="11"/>
      <c r="N657" s="10"/>
      <c r="O657" s="42"/>
      <c r="P657" s="10"/>
    </row>
    <row r="658" spans="1:16" x14ac:dyDescent="0.25">
      <c r="A658" s="5"/>
      <c r="B658" s="22"/>
      <c r="C658" s="22"/>
      <c r="D658" s="18"/>
      <c r="E658" s="24"/>
      <c r="F658" s="13"/>
      <c r="G658" s="13"/>
      <c r="H658" s="7"/>
      <c r="I658" s="13"/>
      <c r="J658" s="9"/>
      <c r="K658" s="10"/>
      <c r="L658" s="10"/>
      <c r="M658" s="11"/>
      <c r="N658" s="10"/>
      <c r="O658" s="42"/>
      <c r="P658" s="10"/>
    </row>
    <row r="659" spans="1:16" x14ac:dyDescent="0.25">
      <c r="A659" s="5"/>
      <c r="B659" s="22"/>
      <c r="C659" s="22"/>
      <c r="D659" s="18"/>
      <c r="E659" s="24"/>
      <c r="F659" s="13"/>
      <c r="G659" s="13"/>
      <c r="H659" s="7"/>
      <c r="I659" s="13"/>
      <c r="J659" s="9"/>
      <c r="K659" s="10"/>
      <c r="L659" s="10"/>
      <c r="M659" s="11"/>
      <c r="N659" s="10"/>
      <c r="O659" s="42"/>
      <c r="P659" s="10"/>
    </row>
    <row r="660" spans="1:16" x14ac:dyDescent="0.25">
      <c r="A660" s="5"/>
      <c r="B660" s="22"/>
      <c r="C660" s="22"/>
      <c r="D660" s="18"/>
      <c r="E660" s="24"/>
      <c r="F660" s="13"/>
      <c r="G660" s="13"/>
      <c r="H660" s="7"/>
      <c r="I660" s="13"/>
      <c r="J660" s="9"/>
      <c r="K660" s="10"/>
      <c r="L660" s="10"/>
      <c r="M660" s="11"/>
      <c r="N660" s="10"/>
      <c r="O660" s="42"/>
      <c r="P660" s="10"/>
    </row>
    <row r="661" spans="1:16" x14ac:dyDescent="0.25">
      <c r="A661" s="5"/>
      <c r="B661" s="22"/>
      <c r="C661" s="22"/>
      <c r="D661" s="18"/>
      <c r="E661" s="24"/>
      <c r="F661" s="13"/>
      <c r="G661" s="13"/>
      <c r="H661" s="7"/>
      <c r="I661" s="13"/>
      <c r="J661" s="9"/>
      <c r="K661" s="10"/>
      <c r="L661" s="10"/>
      <c r="M661" s="11"/>
      <c r="N661" s="10"/>
      <c r="O661" s="42"/>
      <c r="P661" s="10"/>
    </row>
    <row r="662" spans="1:16" x14ac:dyDescent="0.25">
      <c r="A662" s="5"/>
      <c r="B662" s="22"/>
      <c r="C662" s="22"/>
      <c r="D662" s="18"/>
      <c r="E662" s="24"/>
      <c r="F662" s="13"/>
      <c r="G662" s="13"/>
      <c r="H662" s="7"/>
      <c r="I662" s="13"/>
      <c r="J662" s="9"/>
      <c r="K662" s="10"/>
      <c r="L662" s="10"/>
      <c r="M662" s="11"/>
      <c r="N662" s="10"/>
      <c r="O662" s="42"/>
      <c r="P662" s="10"/>
    </row>
    <row r="663" spans="1:16" x14ac:dyDescent="0.25">
      <c r="A663" s="5"/>
      <c r="B663" s="22"/>
      <c r="C663" s="22"/>
      <c r="D663" s="18"/>
      <c r="E663" s="24"/>
      <c r="F663" s="13"/>
      <c r="G663" s="13"/>
      <c r="H663" s="7"/>
      <c r="I663" s="13"/>
      <c r="J663" s="9"/>
      <c r="K663" s="10"/>
      <c r="L663" s="10"/>
      <c r="M663" s="11"/>
      <c r="N663" s="10"/>
      <c r="O663" s="42"/>
      <c r="P663" s="10"/>
    </row>
    <row r="664" spans="1:16" x14ac:dyDescent="0.25">
      <c r="A664" s="5"/>
      <c r="B664" s="22"/>
      <c r="C664" s="22"/>
      <c r="D664" s="18"/>
      <c r="E664" s="24"/>
      <c r="F664" s="13"/>
      <c r="G664" s="13"/>
      <c r="H664" s="7"/>
      <c r="I664" s="13"/>
      <c r="J664" s="9"/>
      <c r="K664" s="10"/>
      <c r="L664" s="10"/>
      <c r="M664" s="11"/>
      <c r="N664" s="10"/>
      <c r="O664" s="42"/>
      <c r="P664" s="10"/>
    </row>
    <row r="665" spans="1:16" x14ac:dyDescent="0.25">
      <c r="A665" s="5"/>
      <c r="B665" s="22"/>
      <c r="C665" s="22"/>
      <c r="D665" s="18"/>
      <c r="E665" s="24"/>
      <c r="F665" s="13"/>
      <c r="G665" s="13"/>
      <c r="H665" s="7"/>
      <c r="I665" s="13"/>
      <c r="J665" s="9"/>
      <c r="K665" s="10"/>
      <c r="L665" s="10"/>
      <c r="M665" s="11"/>
      <c r="N665" s="10"/>
      <c r="O665" s="42"/>
      <c r="P665" s="10"/>
    </row>
    <row r="666" spans="1:16" x14ac:dyDescent="0.25">
      <c r="A666" s="5"/>
      <c r="B666" s="22"/>
      <c r="C666" s="22"/>
      <c r="D666" s="18"/>
      <c r="E666" s="24"/>
      <c r="F666" s="13"/>
      <c r="G666" s="13"/>
      <c r="H666" s="7"/>
      <c r="I666" s="13"/>
      <c r="J666" s="9"/>
      <c r="K666" s="10"/>
      <c r="L666" s="10"/>
      <c r="M666" s="11"/>
      <c r="N666" s="10"/>
      <c r="O666" s="42"/>
      <c r="P666" s="10"/>
    </row>
    <row r="667" spans="1:16" x14ac:dyDescent="0.25">
      <c r="A667" s="5"/>
      <c r="B667" s="22"/>
      <c r="C667" s="22"/>
      <c r="D667" s="18"/>
      <c r="E667" s="24"/>
      <c r="F667" s="13"/>
      <c r="G667" s="13"/>
      <c r="H667" s="7"/>
      <c r="I667" s="13"/>
      <c r="J667" s="9"/>
      <c r="K667" s="10"/>
      <c r="L667" s="10"/>
      <c r="M667" s="11"/>
      <c r="N667" s="10"/>
      <c r="O667" s="42"/>
      <c r="P667" s="10"/>
    </row>
    <row r="668" spans="1:16" x14ac:dyDescent="0.25">
      <c r="A668" s="5"/>
      <c r="B668" s="22"/>
      <c r="C668" s="22"/>
      <c r="D668" s="18"/>
      <c r="E668" s="24"/>
      <c r="F668" s="13"/>
      <c r="G668" s="13"/>
      <c r="H668" s="7"/>
      <c r="I668" s="13"/>
      <c r="J668" s="9"/>
      <c r="K668" s="10"/>
      <c r="L668" s="10"/>
      <c r="M668" s="11"/>
      <c r="N668" s="10"/>
      <c r="O668" s="42"/>
      <c r="P668" s="10"/>
    </row>
    <row r="669" spans="1:16" x14ac:dyDescent="0.25">
      <c r="A669" s="5"/>
      <c r="B669" s="22"/>
      <c r="C669" s="22"/>
      <c r="D669" s="18"/>
      <c r="E669" s="24"/>
      <c r="F669" s="13"/>
      <c r="G669" s="13"/>
      <c r="H669" s="7"/>
      <c r="I669" s="13"/>
      <c r="J669" s="9"/>
      <c r="K669" s="10"/>
      <c r="L669" s="10"/>
      <c r="M669" s="11"/>
      <c r="N669" s="10"/>
      <c r="O669" s="42"/>
      <c r="P669" s="10"/>
    </row>
    <row r="670" spans="1:16" x14ac:dyDescent="0.25">
      <c r="A670" s="5"/>
      <c r="B670" s="22"/>
      <c r="C670" s="22"/>
      <c r="D670" s="18"/>
      <c r="E670" s="24"/>
      <c r="F670" s="13"/>
      <c r="G670" s="13"/>
      <c r="H670" s="7"/>
      <c r="I670" s="13"/>
      <c r="J670" s="9"/>
      <c r="K670" s="10"/>
      <c r="L670" s="10"/>
      <c r="M670" s="11"/>
      <c r="N670" s="10"/>
      <c r="O670" s="42"/>
      <c r="P670" s="10"/>
    </row>
    <row r="671" spans="1:16" x14ac:dyDescent="0.25">
      <c r="A671" s="5"/>
      <c r="B671" s="22"/>
      <c r="C671" s="22"/>
      <c r="D671" s="18"/>
      <c r="E671" s="24"/>
      <c r="F671" s="13"/>
      <c r="G671" s="13"/>
      <c r="H671" s="7"/>
      <c r="I671" s="13"/>
      <c r="J671" s="9"/>
      <c r="K671" s="10"/>
      <c r="L671" s="10"/>
      <c r="M671" s="11"/>
      <c r="N671" s="10"/>
      <c r="O671" s="42"/>
      <c r="P671" s="10"/>
    </row>
    <row r="672" spans="1:16" x14ac:dyDescent="0.25">
      <c r="A672" s="5"/>
      <c r="B672" s="22"/>
      <c r="C672" s="22"/>
      <c r="D672" s="18"/>
      <c r="E672" s="24"/>
      <c r="F672" s="13"/>
      <c r="G672" s="13"/>
      <c r="H672" s="7"/>
      <c r="I672" s="13"/>
      <c r="J672" s="9"/>
      <c r="K672" s="10"/>
      <c r="L672" s="10"/>
      <c r="M672" s="11"/>
      <c r="N672" s="10"/>
      <c r="O672" s="42"/>
      <c r="P672" s="10"/>
    </row>
    <row r="673" spans="1:16" x14ac:dyDescent="0.25">
      <c r="A673" s="5"/>
      <c r="B673" s="22"/>
      <c r="C673" s="22"/>
      <c r="D673" s="18"/>
      <c r="E673" s="24"/>
      <c r="F673" s="13"/>
      <c r="G673" s="13"/>
      <c r="H673" s="7"/>
      <c r="I673" s="13"/>
      <c r="J673" s="9"/>
      <c r="K673" s="10"/>
      <c r="L673" s="10"/>
      <c r="M673" s="11"/>
      <c r="N673" s="10"/>
      <c r="O673" s="42"/>
      <c r="P673" s="10"/>
    </row>
    <row r="674" spans="1:16" x14ac:dyDescent="0.25">
      <c r="A674" s="5"/>
      <c r="B674" s="22"/>
      <c r="C674" s="22"/>
      <c r="D674" s="18"/>
      <c r="E674" s="24"/>
      <c r="F674" s="13"/>
      <c r="G674" s="13"/>
      <c r="H674" s="7"/>
      <c r="I674" s="13"/>
      <c r="J674" s="9"/>
      <c r="K674" s="10"/>
      <c r="L674" s="10"/>
      <c r="M674" s="11"/>
      <c r="N674" s="10"/>
      <c r="O674" s="42"/>
      <c r="P674" s="10"/>
    </row>
    <row r="675" spans="1:16" x14ac:dyDescent="0.25">
      <c r="A675" s="5"/>
      <c r="B675" s="22"/>
      <c r="C675" s="22"/>
      <c r="D675" s="18"/>
      <c r="E675" s="24"/>
      <c r="F675" s="13"/>
      <c r="G675" s="13"/>
      <c r="H675" s="7"/>
      <c r="I675" s="13"/>
      <c r="J675" s="9"/>
      <c r="K675" s="10"/>
      <c r="L675" s="10"/>
      <c r="M675" s="11"/>
      <c r="N675" s="10"/>
      <c r="O675" s="42"/>
      <c r="P675" s="10"/>
    </row>
    <row r="676" spans="1:16" x14ac:dyDescent="0.25">
      <c r="A676" s="5"/>
      <c r="B676" s="22"/>
      <c r="C676" s="22"/>
      <c r="D676" s="18"/>
      <c r="E676" s="24"/>
      <c r="F676" s="13"/>
      <c r="G676" s="13"/>
      <c r="H676" s="7"/>
      <c r="I676" s="13"/>
      <c r="J676" s="9"/>
      <c r="K676" s="10"/>
      <c r="L676" s="10"/>
      <c r="M676" s="11"/>
      <c r="N676" s="10"/>
      <c r="O676" s="42"/>
      <c r="P676" s="10"/>
    </row>
    <row r="677" spans="1:16" x14ac:dyDescent="0.25">
      <c r="A677" s="5"/>
      <c r="B677" s="22"/>
      <c r="C677" s="22"/>
      <c r="D677" s="18"/>
      <c r="E677" s="24"/>
      <c r="F677" s="13"/>
      <c r="G677" s="13"/>
      <c r="H677" s="7"/>
      <c r="I677" s="13"/>
      <c r="J677" s="9"/>
      <c r="K677" s="10"/>
      <c r="L677" s="10"/>
      <c r="M677" s="11"/>
      <c r="N677" s="10"/>
      <c r="O677" s="42"/>
      <c r="P677" s="10"/>
    </row>
    <row r="678" spans="1:16" x14ac:dyDescent="0.25">
      <c r="A678" s="5"/>
      <c r="B678" s="22"/>
      <c r="C678" s="22"/>
      <c r="D678" s="18"/>
      <c r="E678" s="24"/>
      <c r="F678" s="13"/>
      <c r="G678" s="13"/>
      <c r="H678" s="7"/>
      <c r="I678" s="13"/>
      <c r="J678" s="9"/>
      <c r="K678" s="10"/>
      <c r="L678" s="10"/>
      <c r="M678" s="11"/>
      <c r="N678" s="10"/>
      <c r="O678" s="42"/>
      <c r="P678" s="10"/>
    </row>
    <row r="679" spans="1:16" x14ac:dyDescent="0.25">
      <c r="A679" s="5"/>
      <c r="B679" s="22"/>
      <c r="C679" s="22"/>
      <c r="D679" s="18"/>
      <c r="E679" s="24"/>
      <c r="F679" s="13"/>
      <c r="G679" s="13"/>
      <c r="H679" s="7"/>
      <c r="I679" s="13"/>
      <c r="J679" s="9"/>
      <c r="K679" s="10"/>
      <c r="L679" s="10"/>
      <c r="M679" s="11"/>
      <c r="N679" s="10"/>
      <c r="O679" s="42"/>
      <c r="P679" s="10"/>
    </row>
    <row r="680" spans="1:16" x14ac:dyDescent="0.25">
      <c r="A680" s="5"/>
      <c r="B680" s="22"/>
      <c r="C680" s="22"/>
      <c r="D680" s="18"/>
      <c r="E680" s="24"/>
      <c r="F680" s="13"/>
      <c r="G680" s="13"/>
      <c r="H680" s="7"/>
      <c r="I680" s="13"/>
      <c r="J680" s="9"/>
      <c r="K680" s="10"/>
      <c r="L680" s="10"/>
      <c r="M680" s="11"/>
      <c r="N680" s="10"/>
      <c r="O680" s="42"/>
      <c r="P680" s="10"/>
    </row>
    <row r="681" spans="1:16" x14ac:dyDescent="0.25">
      <c r="A681" s="5"/>
      <c r="B681" s="22"/>
      <c r="C681" s="22"/>
      <c r="D681" s="18"/>
      <c r="E681" s="24"/>
      <c r="F681" s="13"/>
      <c r="G681" s="13"/>
      <c r="H681" s="7"/>
      <c r="I681" s="13"/>
      <c r="J681" s="9"/>
      <c r="K681" s="10"/>
      <c r="L681" s="10"/>
      <c r="M681" s="11"/>
      <c r="N681" s="10"/>
      <c r="O681" s="42"/>
      <c r="P681" s="10"/>
    </row>
    <row r="682" spans="1:16" x14ac:dyDescent="0.25">
      <c r="A682" s="5"/>
      <c r="B682" s="22"/>
      <c r="C682" s="22"/>
      <c r="D682" s="18"/>
      <c r="E682" s="24"/>
      <c r="F682" s="13"/>
      <c r="G682" s="13"/>
      <c r="H682" s="7"/>
      <c r="I682" s="13"/>
      <c r="J682" s="9"/>
      <c r="K682" s="10"/>
      <c r="L682" s="10"/>
      <c r="M682" s="11"/>
      <c r="N682" s="10"/>
      <c r="O682" s="42"/>
      <c r="P682" s="10"/>
    </row>
    <row r="683" spans="1:16" x14ac:dyDescent="0.25">
      <c r="A683" s="5"/>
      <c r="B683" s="22"/>
      <c r="C683" s="22"/>
      <c r="D683" s="18"/>
      <c r="E683" s="24"/>
      <c r="F683" s="13"/>
      <c r="G683" s="13"/>
      <c r="H683" s="7"/>
      <c r="I683" s="13"/>
      <c r="J683" s="9"/>
      <c r="K683" s="10"/>
      <c r="L683" s="10"/>
      <c r="M683" s="11"/>
      <c r="N683" s="10"/>
      <c r="O683" s="42"/>
      <c r="P683" s="10"/>
    </row>
    <row r="684" spans="1:16" x14ac:dyDescent="0.25">
      <c r="A684" s="5"/>
      <c r="B684" s="22"/>
      <c r="C684" s="22"/>
      <c r="D684" s="18"/>
      <c r="E684" s="24"/>
      <c r="F684" s="13"/>
      <c r="G684" s="13"/>
      <c r="H684" s="7"/>
      <c r="I684" s="13"/>
      <c r="J684" s="9"/>
      <c r="K684" s="10"/>
      <c r="L684" s="10"/>
      <c r="M684" s="11"/>
      <c r="N684" s="10"/>
      <c r="O684" s="42"/>
      <c r="P684" s="10"/>
    </row>
    <row r="685" spans="1:16" x14ac:dyDescent="0.25">
      <c r="A685" s="5"/>
      <c r="B685" s="22"/>
      <c r="C685" s="22"/>
      <c r="D685" s="18"/>
      <c r="E685" s="24"/>
      <c r="F685" s="13"/>
      <c r="G685" s="13"/>
      <c r="H685" s="7"/>
      <c r="I685" s="13"/>
      <c r="J685" s="9"/>
      <c r="K685" s="10"/>
      <c r="L685" s="10"/>
      <c r="M685" s="11"/>
      <c r="N685" s="10"/>
      <c r="O685" s="42"/>
      <c r="P685" s="10"/>
    </row>
    <row r="686" spans="1:16" x14ac:dyDescent="0.25">
      <c r="A686" s="5"/>
      <c r="B686" s="22"/>
      <c r="C686" s="22"/>
      <c r="D686" s="18"/>
      <c r="E686" s="24"/>
      <c r="F686" s="13"/>
      <c r="G686" s="13"/>
      <c r="H686" s="7"/>
      <c r="I686" s="13"/>
      <c r="J686" s="9"/>
      <c r="K686" s="10"/>
      <c r="L686" s="10"/>
      <c r="M686" s="11"/>
      <c r="N686" s="10"/>
      <c r="O686" s="42"/>
      <c r="P686" s="10"/>
    </row>
    <row r="687" spans="1:16" x14ac:dyDescent="0.25">
      <c r="A687" s="5"/>
      <c r="B687" s="22"/>
      <c r="C687" s="22"/>
      <c r="D687" s="18"/>
      <c r="E687" s="24"/>
      <c r="F687" s="13"/>
      <c r="G687" s="13"/>
      <c r="H687" s="7"/>
      <c r="I687" s="13"/>
      <c r="J687" s="9"/>
      <c r="K687" s="10"/>
      <c r="L687" s="10"/>
      <c r="M687" s="11"/>
      <c r="N687" s="10"/>
      <c r="O687" s="42"/>
      <c r="P687" s="10"/>
    </row>
    <row r="688" spans="1:16" x14ac:dyDescent="0.25">
      <c r="A688" s="5"/>
      <c r="B688" s="22"/>
      <c r="C688" s="22"/>
      <c r="D688" s="18"/>
      <c r="E688" s="24"/>
      <c r="F688" s="13"/>
      <c r="G688" s="13"/>
      <c r="H688" s="7"/>
      <c r="I688" s="13"/>
      <c r="J688" s="9"/>
      <c r="K688" s="10"/>
      <c r="L688" s="10"/>
      <c r="M688" s="11"/>
      <c r="N688" s="10"/>
      <c r="O688" s="42"/>
      <c r="P688" s="10"/>
    </row>
    <row r="689" spans="1:16" x14ac:dyDescent="0.25">
      <c r="A689" s="5"/>
      <c r="B689" s="22"/>
      <c r="C689" s="22"/>
      <c r="D689" s="18"/>
      <c r="E689" s="24"/>
      <c r="F689" s="13"/>
      <c r="G689" s="13"/>
      <c r="H689" s="7"/>
      <c r="I689" s="13"/>
      <c r="J689" s="9"/>
      <c r="K689" s="10"/>
      <c r="L689" s="10"/>
      <c r="M689" s="11"/>
      <c r="N689" s="10"/>
      <c r="O689" s="42"/>
      <c r="P689" s="10"/>
    </row>
    <row r="690" spans="1:16" x14ac:dyDescent="0.25">
      <c r="A690" s="5"/>
      <c r="B690" s="22"/>
      <c r="C690" s="22"/>
      <c r="D690" s="18"/>
      <c r="E690" s="24"/>
      <c r="F690" s="13"/>
      <c r="G690" s="13"/>
      <c r="H690" s="7"/>
      <c r="I690" s="13"/>
      <c r="J690" s="9"/>
      <c r="K690" s="10"/>
      <c r="L690" s="10"/>
      <c r="M690" s="11"/>
      <c r="N690" s="10"/>
      <c r="O690" s="42"/>
      <c r="P690" s="10"/>
    </row>
    <row r="691" spans="1:16" x14ac:dyDescent="0.25">
      <c r="A691" s="5"/>
      <c r="B691" s="22"/>
      <c r="C691" s="22"/>
      <c r="D691" s="18"/>
      <c r="E691" s="24"/>
      <c r="F691" s="13"/>
      <c r="G691" s="13"/>
      <c r="H691" s="7"/>
      <c r="I691" s="13"/>
      <c r="J691" s="9"/>
      <c r="K691" s="10"/>
      <c r="L691" s="10"/>
      <c r="M691" s="11"/>
      <c r="N691" s="10"/>
      <c r="O691" s="42"/>
      <c r="P691" s="10"/>
    </row>
    <row r="692" spans="1:16" x14ac:dyDescent="0.25">
      <c r="A692" s="5"/>
      <c r="B692" s="22"/>
      <c r="C692" s="22"/>
      <c r="D692" s="18"/>
      <c r="E692" s="24"/>
      <c r="F692" s="13"/>
      <c r="G692" s="13"/>
      <c r="H692" s="7"/>
      <c r="I692" s="13"/>
      <c r="J692" s="9"/>
      <c r="K692" s="10"/>
      <c r="L692" s="10"/>
      <c r="M692" s="11"/>
      <c r="N692" s="10"/>
      <c r="O692" s="42"/>
      <c r="P692" s="10"/>
    </row>
    <row r="693" spans="1:16" x14ac:dyDescent="0.25">
      <c r="A693" s="5"/>
      <c r="B693" s="22"/>
      <c r="C693" s="22"/>
      <c r="D693" s="18"/>
      <c r="E693" s="24"/>
      <c r="F693" s="13"/>
      <c r="G693" s="13"/>
      <c r="H693" s="7"/>
      <c r="I693" s="13"/>
      <c r="J693" s="9"/>
      <c r="K693" s="10"/>
      <c r="L693" s="10"/>
      <c r="M693" s="11"/>
      <c r="N693" s="10"/>
      <c r="O693" s="42"/>
      <c r="P693" s="10"/>
    </row>
    <row r="694" spans="1:16" x14ac:dyDescent="0.25">
      <c r="A694" s="5"/>
      <c r="B694" s="22"/>
      <c r="C694" s="22"/>
      <c r="D694" s="18"/>
      <c r="E694" s="24"/>
      <c r="F694" s="13"/>
      <c r="G694" s="13"/>
      <c r="H694" s="7"/>
      <c r="I694" s="13"/>
      <c r="J694" s="9"/>
      <c r="K694" s="10"/>
      <c r="L694" s="10"/>
      <c r="M694" s="11"/>
      <c r="N694" s="10"/>
      <c r="O694" s="42"/>
      <c r="P694" s="10"/>
    </row>
    <row r="695" spans="1:16" x14ac:dyDescent="0.25">
      <c r="A695" s="5"/>
      <c r="B695" s="22"/>
      <c r="C695" s="22"/>
      <c r="D695" s="18"/>
      <c r="E695" s="24"/>
      <c r="F695" s="13"/>
      <c r="G695" s="13"/>
      <c r="H695" s="7"/>
      <c r="I695" s="13"/>
      <c r="J695" s="9"/>
      <c r="K695" s="10"/>
      <c r="L695" s="10"/>
      <c r="M695" s="11"/>
      <c r="N695" s="10"/>
      <c r="O695" s="42"/>
      <c r="P695" s="10"/>
    </row>
    <row r="696" spans="1:16" x14ac:dyDescent="0.25">
      <c r="A696" s="5"/>
      <c r="B696" s="22"/>
      <c r="C696" s="22"/>
      <c r="D696" s="18"/>
      <c r="E696" s="24"/>
      <c r="F696" s="13"/>
      <c r="G696" s="13"/>
      <c r="H696" s="7"/>
      <c r="I696" s="13"/>
      <c r="J696" s="9"/>
      <c r="K696" s="10"/>
      <c r="L696" s="10"/>
      <c r="M696" s="11"/>
      <c r="N696" s="10"/>
      <c r="O696" s="42"/>
      <c r="P696" s="10"/>
    </row>
    <row r="697" spans="1:16" x14ac:dyDescent="0.25">
      <c r="A697" s="5"/>
      <c r="B697" s="22"/>
      <c r="C697" s="22"/>
      <c r="D697" s="18"/>
      <c r="E697" s="24"/>
      <c r="F697" s="13"/>
      <c r="G697" s="13"/>
      <c r="H697" s="7"/>
      <c r="I697" s="13"/>
      <c r="J697" s="9"/>
      <c r="K697" s="10"/>
      <c r="L697" s="10"/>
      <c r="M697" s="11"/>
      <c r="N697" s="10"/>
      <c r="O697" s="42"/>
      <c r="P697" s="10"/>
    </row>
    <row r="698" spans="1:16" x14ac:dyDescent="0.25">
      <c r="A698" s="5"/>
      <c r="B698" s="22"/>
      <c r="C698" s="22"/>
      <c r="D698" s="18"/>
      <c r="E698" s="24"/>
      <c r="F698" s="13"/>
      <c r="G698" s="13"/>
      <c r="H698" s="7"/>
      <c r="I698" s="13"/>
      <c r="J698" s="9"/>
      <c r="K698" s="10"/>
      <c r="L698" s="10"/>
      <c r="M698" s="11"/>
      <c r="N698" s="10"/>
      <c r="O698" s="42"/>
      <c r="P698" s="10"/>
    </row>
    <row r="699" spans="1:16" x14ac:dyDescent="0.25">
      <c r="A699" s="5"/>
      <c r="B699" s="22"/>
      <c r="C699" s="22"/>
      <c r="D699" s="18"/>
      <c r="E699" s="24"/>
      <c r="F699" s="13"/>
      <c r="G699" s="13"/>
      <c r="H699" s="7"/>
      <c r="I699" s="13"/>
      <c r="J699" s="9"/>
      <c r="K699" s="10"/>
      <c r="L699" s="10"/>
      <c r="M699" s="11"/>
      <c r="N699" s="10"/>
      <c r="O699" s="42"/>
      <c r="P699" s="10"/>
    </row>
    <row r="700" spans="1:16" x14ac:dyDescent="0.25">
      <c r="A700" s="5"/>
      <c r="B700" s="22"/>
      <c r="C700" s="22"/>
      <c r="D700" s="18"/>
      <c r="E700" s="24"/>
      <c r="F700" s="13"/>
      <c r="G700" s="13"/>
      <c r="H700" s="7"/>
      <c r="I700" s="13"/>
      <c r="J700" s="9"/>
      <c r="K700" s="10"/>
      <c r="L700" s="10"/>
      <c r="M700" s="11"/>
      <c r="N700" s="10"/>
      <c r="O700" s="42"/>
      <c r="P700" s="10"/>
    </row>
    <row r="701" spans="1:16" x14ac:dyDescent="0.25">
      <c r="A701" s="5"/>
      <c r="B701" s="22"/>
      <c r="C701" s="22"/>
      <c r="D701" s="18"/>
      <c r="E701" s="24"/>
      <c r="F701" s="13"/>
      <c r="G701" s="13"/>
      <c r="H701" s="7"/>
      <c r="I701" s="13"/>
      <c r="J701" s="9"/>
      <c r="K701" s="10"/>
      <c r="L701" s="10"/>
      <c r="M701" s="11"/>
      <c r="N701" s="10"/>
      <c r="O701" s="42"/>
      <c r="P701" s="10"/>
    </row>
    <row r="702" spans="1:16" x14ac:dyDescent="0.25">
      <c r="A702" s="5"/>
      <c r="B702" s="22"/>
      <c r="C702" s="22"/>
      <c r="D702" s="18"/>
      <c r="E702" s="24"/>
      <c r="F702" s="13"/>
      <c r="G702" s="13"/>
      <c r="H702" s="7"/>
      <c r="I702" s="13"/>
      <c r="J702" s="9"/>
      <c r="K702" s="10"/>
      <c r="L702" s="10"/>
      <c r="M702" s="11"/>
      <c r="N702" s="10"/>
      <c r="O702" s="42"/>
      <c r="P702" s="10"/>
    </row>
    <row r="703" spans="1:16" x14ac:dyDescent="0.25">
      <c r="A703" s="5"/>
      <c r="B703" s="22"/>
      <c r="C703" s="22"/>
      <c r="D703" s="18"/>
      <c r="E703" s="24"/>
      <c r="F703" s="13"/>
      <c r="G703" s="13"/>
      <c r="H703" s="7"/>
      <c r="I703" s="13"/>
      <c r="J703" s="9"/>
      <c r="K703" s="10"/>
      <c r="L703" s="10"/>
      <c r="M703" s="11"/>
      <c r="N703" s="10"/>
      <c r="O703" s="42"/>
      <c r="P703" s="10"/>
    </row>
    <row r="704" spans="1:16" x14ac:dyDescent="0.25">
      <c r="A704" s="5"/>
      <c r="B704" s="22"/>
      <c r="C704" s="22"/>
      <c r="D704" s="18"/>
      <c r="E704" s="24"/>
      <c r="F704" s="13"/>
      <c r="G704" s="13"/>
      <c r="H704" s="7"/>
      <c r="I704" s="13"/>
      <c r="J704" s="9"/>
      <c r="K704" s="10"/>
      <c r="L704" s="10"/>
      <c r="M704" s="11"/>
      <c r="N704" s="10"/>
      <c r="O704" s="42"/>
      <c r="P704" s="10"/>
    </row>
    <row r="705" spans="1:16" x14ac:dyDescent="0.25">
      <c r="A705" s="5"/>
      <c r="B705" s="22"/>
      <c r="C705" s="22"/>
      <c r="D705" s="18"/>
      <c r="E705" s="24"/>
      <c r="F705" s="13"/>
      <c r="G705" s="13"/>
      <c r="H705" s="7"/>
      <c r="I705" s="13"/>
      <c r="J705" s="9"/>
      <c r="K705" s="10"/>
      <c r="L705" s="10"/>
      <c r="M705" s="11"/>
      <c r="N705" s="10"/>
      <c r="O705" s="42"/>
      <c r="P705" s="10"/>
    </row>
    <row r="706" spans="1:16" x14ac:dyDescent="0.25">
      <c r="A706" s="5"/>
      <c r="B706" s="22"/>
      <c r="C706" s="22"/>
      <c r="D706" s="18"/>
      <c r="E706" s="24"/>
      <c r="F706" s="13"/>
      <c r="G706" s="13"/>
      <c r="H706" s="7"/>
      <c r="I706" s="13"/>
      <c r="J706" s="9"/>
      <c r="K706" s="10"/>
      <c r="L706" s="10"/>
      <c r="M706" s="11"/>
      <c r="N706" s="10"/>
      <c r="O706" s="42"/>
      <c r="P706" s="10"/>
    </row>
    <row r="707" spans="1:16" x14ac:dyDescent="0.25">
      <c r="A707" s="5"/>
      <c r="B707" s="22"/>
      <c r="C707" s="22"/>
      <c r="D707" s="18"/>
      <c r="E707" s="24"/>
      <c r="F707" s="13"/>
      <c r="G707" s="13"/>
      <c r="H707" s="7"/>
      <c r="I707" s="13"/>
      <c r="J707" s="9"/>
      <c r="K707" s="10"/>
      <c r="L707" s="10"/>
      <c r="M707" s="11"/>
      <c r="N707" s="10"/>
      <c r="O707" s="42"/>
      <c r="P707" s="10"/>
    </row>
    <row r="708" spans="1:16" x14ac:dyDescent="0.25">
      <c r="A708" s="5"/>
      <c r="B708" s="22"/>
      <c r="C708" s="22"/>
      <c r="D708" s="18"/>
      <c r="E708" s="24"/>
      <c r="F708" s="13"/>
      <c r="G708" s="13"/>
      <c r="H708" s="7"/>
      <c r="I708" s="13"/>
      <c r="J708" s="9"/>
      <c r="K708" s="10"/>
      <c r="L708" s="10"/>
      <c r="M708" s="11"/>
      <c r="N708" s="10"/>
      <c r="O708" s="42"/>
      <c r="P708" s="10"/>
    </row>
    <row r="709" spans="1:16" x14ac:dyDescent="0.25">
      <c r="A709" s="5"/>
      <c r="B709" s="22"/>
      <c r="C709" s="22"/>
      <c r="D709" s="18"/>
      <c r="E709" s="24"/>
      <c r="F709" s="13"/>
      <c r="G709" s="13"/>
      <c r="H709" s="7"/>
      <c r="I709" s="13"/>
      <c r="J709" s="9"/>
      <c r="K709" s="10"/>
      <c r="L709" s="10"/>
      <c r="M709" s="11"/>
      <c r="N709" s="10"/>
      <c r="O709" s="42"/>
      <c r="P709" s="10"/>
    </row>
    <row r="710" spans="1:16" x14ac:dyDescent="0.25">
      <c r="A710" s="5"/>
      <c r="B710" s="22"/>
      <c r="C710" s="22"/>
      <c r="D710" s="18"/>
      <c r="E710" s="24"/>
      <c r="F710" s="13"/>
      <c r="G710" s="13"/>
      <c r="H710" s="7"/>
      <c r="I710" s="13"/>
      <c r="J710" s="9"/>
      <c r="K710" s="10"/>
      <c r="L710" s="10"/>
      <c r="M710" s="11"/>
      <c r="N710" s="10"/>
      <c r="O710" s="42"/>
      <c r="P710" s="10"/>
    </row>
    <row r="711" spans="1:16" x14ac:dyDescent="0.25">
      <c r="A711" s="5"/>
      <c r="B711" s="22"/>
      <c r="C711" s="22"/>
      <c r="D711" s="18"/>
      <c r="E711" s="24"/>
      <c r="F711" s="13"/>
      <c r="G711" s="13"/>
      <c r="H711" s="7"/>
      <c r="I711" s="13"/>
      <c r="J711" s="9"/>
      <c r="K711" s="10"/>
      <c r="L711" s="10"/>
      <c r="M711" s="11"/>
      <c r="N711" s="10"/>
      <c r="O711" s="42"/>
      <c r="P711" s="10"/>
    </row>
    <row r="712" spans="1:16" x14ac:dyDescent="0.25">
      <c r="A712" s="5"/>
      <c r="B712" s="22"/>
      <c r="C712" s="22"/>
      <c r="D712" s="18"/>
      <c r="E712" s="24"/>
      <c r="F712" s="13"/>
      <c r="G712" s="13"/>
      <c r="H712" s="7"/>
      <c r="I712" s="13"/>
      <c r="J712" s="9"/>
      <c r="K712" s="10"/>
      <c r="L712" s="10"/>
      <c r="M712" s="11"/>
      <c r="N712" s="10"/>
      <c r="O712" s="42"/>
      <c r="P712" s="10"/>
    </row>
    <row r="713" spans="1:16" x14ac:dyDescent="0.25">
      <c r="A713" s="5"/>
      <c r="B713" s="22"/>
      <c r="C713" s="22"/>
      <c r="D713" s="18"/>
      <c r="E713" s="24"/>
      <c r="F713" s="13"/>
      <c r="G713" s="13"/>
      <c r="H713" s="7"/>
      <c r="I713" s="13"/>
      <c r="J713" s="9"/>
      <c r="K713" s="10"/>
      <c r="L713" s="10"/>
      <c r="M713" s="11"/>
      <c r="N713" s="10"/>
      <c r="O713" s="42"/>
      <c r="P713" s="10"/>
    </row>
    <row r="714" spans="1:16" x14ac:dyDescent="0.25">
      <c r="A714" s="5"/>
      <c r="B714" s="22"/>
      <c r="C714" s="22"/>
      <c r="D714" s="18"/>
      <c r="E714" s="24"/>
      <c r="F714" s="13"/>
      <c r="G714" s="13"/>
      <c r="H714" s="7"/>
      <c r="I714" s="13"/>
      <c r="J714" s="9"/>
      <c r="K714" s="10"/>
      <c r="L714" s="10"/>
      <c r="M714" s="11"/>
      <c r="N714" s="10"/>
      <c r="O714" s="42"/>
      <c r="P714" s="10"/>
    </row>
    <row r="715" spans="1:16" x14ac:dyDescent="0.25">
      <c r="A715" s="5"/>
      <c r="B715" s="22"/>
      <c r="C715" s="22"/>
      <c r="D715" s="18"/>
      <c r="E715" s="24"/>
      <c r="F715" s="13"/>
      <c r="G715" s="13"/>
      <c r="H715" s="7"/>
      <c r="I715" s="13"/>
      <c r="J715" s="9"/>
      <c r="K715" s="10"/>
      <c r="L715" s="10"/>
      <c r="M715" s="11"/>
      <c r="N715" s="10"/>
      <c r="O715" s="42"/>
      <c r="P715" s="10"/>
    </row>
    <row r="716" spans="1:16" x14ac:dyDescent="0.25">
      <c r="A716" s="5"/>
      <c r="B716" s="22"/>
      <c r="C716" s="22"/>
      <c r="D716" s="18"/>
      <c r="E716" s="24"/>
      <c r="F716" s="13"/>
      <c r="G716" s="13"/>
      <c r="H716" s="7"/>
      <c r="I716" s="13"/>
      <c r="J716" s="9"/>
      <c r="K716" s="10"/>
      <c r="L716" s="10"/>
      <c r="M716" s="11"/>
      <c r="N716" s="10"/>
      <c r="O716" s="42"/>
      <c r="P716" s="10"/>
    </row>
    <row r="717" spans="1:16" x14ac:dyDescent="0.25">
      <c r="A717" s="5"/>
      <c r="B717" s="22"/>
      <c r="C717" s="22"/>
      <c r="D717" s="18"/>
      <c r="E717" s="24"/>
      <c r="F717" s="13"/>
      <c r="G717" s="13"/>
      <c r="H717" s="7"/>
      <c r="I717" s="13"/>
      <c r="J717" s="9"/>
      <c r="K717" s="10"/>
      <c r="L717" s="10"/>
      <c r="M717" s="11"/>
      <c r="N717" s="10"/>
      <c r="O717" s="42"/>
      <c r="P717" s="10"/>
    </row>
    <row r="718" spans="1:16" x14ac:dyDescent="0.25">
      <c r="A718" s="5"/>
      <c r="B718" s="22"/>
      <c r="C718" s="22"/>
      <c r="D718" s="18"/>
      <c r="E718" s="24"/>
      <c r="F718" s="13"/>
      <c r="G718" s="13"/>
      <c r="H718" s="7"/>
      <c r="I718" s="13"/>
      <c r="J718" s="9"/>
      <c r="K718" s="10"/>
      <c r="L718" s="10"/>
      <c r="M718" s="11"/>
      <c r="N718" s="10"/>
      <c r="O718" s="42"/>
      <c r="P718" s="10"/>
    </row>
    <row r="719" spans="1:16" x14ac:dyDescent="0.25">
      <c r="A719" s="5"/>
      <c r="B719" s="22"/>
      <c r="C719" s="22"/>
      <c r="D719" s="18"/>
      <c r="E719" s="24"/>
      <c r="F719" s="13"/>
      <c r="G719" s="13"/>
      <c r="H719" s="7"/>
      <c r="I719" s="13"/>
      <c r="J719" s="9"/>
      <c r="K719" s="10"/>
      <c r="L719" s="10"/>
      <c r="M719" s="11"/>
      <c r="N719" s="10"/>
      <c r="O719" s="42"/>
      <c r="P719" s="10"/>
    </row>
    <row r="720" spans="1:16" x14ac:dyDescent="0.25">
      <c r="A720" s="5"/>
      <c r="B720" s="22"/>
      <c r="C720" s="22"/>
      <c r="D720" s="18"/>
      <c r="E720" s="24"/>
      <c r="F720" s="13"/>
      <c r="G720" s="13"/>
      <c r="H720" s="7"/>
      <c r="I720" s="13"/>
      <c r="J720" s="9"/>
      <c r="K720" s="10"/>
      <c r="L720" s="10"/>
      <c r="M720" s="11"/>
      <c r="N720" s="10"/>
      <c r="O720" s="42"/>
      <c r="P720" s="10"/>
    </row>
    <row r="721" spans="1:16" x14ac:dyDescent="0.25">
      <c r="A721" s="5"/>
      <c r="B721" s="22"/>
      <c r="C721" s="22"/>
      <c r="D721" s="18"/>
      <c r="E721" s="24"/>
      <c r="F721" s="13"/>
      <c r="G721" s="13"/>
      <c r="H721" s="7"/>
      <c r="I721" s="13"/>
      <c r="J721" s="9"/>
      <c r="K721" s="10"/>
      <c r="L721" s="10"/>
      <c r="M721" s="11"/>
      <c r="N721" s="10"/>
      <c r="O721" s="42"/>
      <c r="P721" s="10"/>
    </row>
    <row r="722" spans="1:16" x14ac:dyDescent="0.25">
      <c r="A722" s="5"/>
      <c r="B722" s="22"/>
      <c r="C722" s="22"/>
      <c r="D722" s="18"/>
      <c r="E722" s="24"/>
      <c r="F722" s="13"/>
      <c r="G722" s="13"/>
      <c r="H722" s="7"/>
      <c r="I722" s="13"/>
      <c r="J722" s="9"/>
      <c r="K722" s="10"/>
      <c r="L722" s="10"/>
      <c r="M722" s="11"/>
      <c r="N722" s="10"/>
      <c r="O722" s="42"/>
      <c r="P722" s="10"/>
    </row>
    <row r="723" spans="1:16" x14ac:dyDescent="0.25">
      <c r="A723" s="5"/>
      <c r="B723" s="22"/>
      <c r="C723" s="22"/>
      <c r="D723" s="18"/>
      <c r="E723" s="24"/>
      <c r="F723" s="13"/>
      <c r="G723" s="13"/>
      <c r="H723" s="7"/>
      <c r="I723" s="13"/>
      <c r="J723" s="9"/>
      <c r="K723" s="10"/>
      <c r="L723" s="10"/>
      <c r="M723" s="11"/>
      <c r="N723" s="10"/>
      <c r="O723" s="42"/>
      <c r="P723" s="10"/>
    </row>
    <row r="724" spans="1:16" x14ac:dyDescent="0.25">
      <c r="A724" s="5"/>
      <c r="B724" s="22"/>
      <c r="C724" s="22"/>
      <c r="D724" s="18"/>
      <c r="E724" s="24"/>
      <c r="F724" s="13"/>
      <c r="G724" s="13"/>
      <c r="H724" s="7"/>
      <c r="I724" s="13"/>
      <c r="J724" s="9"/>
      <c r="K724" s="10"/>
      <c r="L724" s="10"/>
      <c r="M724" s="11"/>
      <c r="N724" s="10"/>
      <c r="O724" s="42"/>
      <c r="P724" s="10"/>
    </row>
    <row r="725" spans="1:16" x14ac:dyDescent="0.25">
      <c r="A725" s="5"/>
      <c r="B725" s="22"/>
      <c r="C725" s="22"/>
      <c r="D725" s="18"/>
      <c r="E725" s="24"/>
      <c r="F725" s="13"/>
      <c r="G725" s="13"/>
      <c r="H725" s="7"/>
      <c r="I725" s="13"/>
      <c r="J725" s="9"/>
      <c r="K725" s="10"/>
      <c r="L725" s="10"/>
      <c r="M725" s="11"/>
      <c r="N725" s="10"/>
      <c r="O725" s="42"/>
      <c r="P725" s="10"/>
    </row>
    <row r="726" spans="1:16" x14ac:dyDescent="0.25">
      <c r="A726" s="5"/>
      <c r="B726" s="22"/>
      <c r="C726" s="22"/>
      <c r="D726" s="18"/>
      <c r="E726" s="24"/>
      <c r="F726" s="13"/>
      <c r="G726" s="13"/>
      <c r="H726" s="7"/>
      <c r="I726" s="13"/>
      <c r="J726" s="9"/>
      <c r="K726" s="10"/>
      <c r="L726" s="10"/>
      <c r="M726" s="11"/>
      <c r="N726" s="10"/>
      <c r="O726" s="42"/>
      <c r="P726" s="10"/>
    </row>
    <row r="727" spans="1:16" x14ac:dyDescent="0.25">
      <c r="A727" s="5"/>
      <c r="B727" s="22"/>
      <c r="C727" s="22"/>
      <c r="D727" s="18"/>
      <c r="E727" s="24"/>
      <c r="F727" s="13"/>
      <c r="G727" s="13"/>
      <c r="H727" s="7"/>
      <c r="I727" s="13"/>
      <c r="J727" s="9"/>
      <c r="K727" s="10"/>
      <c r="L727" s="10"/>
      <c r="M727" s="11"/>
      <c r="N727" s="10"/>
      <c r="O727" s="42"/>
      <c r="P727" s="10"/>
    </row>
    <row r="728" spans="1:16" x14ac:dyDescent="0.25">
      <c r="A728" s="5"/>
      <c r="B728" s="22"/>
      <c r="C728" s="22"/>
      <c r="D728" s="18"/>
      <c r="E728" s="24"/>
      <c r="F728" s="13"/>
      <c r="G728" s="13"/>
      <c r="H728" s="7"/>
      <c r="I728" s="13"/>
      <c r="J728" s="9"/>
      <c r="K728" s="10"/>
      <c r="L728" s="10"/>
      <c r="M728" s="11"/>
      <c r="N728" s="10"/>
      <c r="O728" s="42"/>
      <c r="P728" s="10"/>
    </row>
    <row r="729" spans="1:16" x14ac:dyDescent="0.25">
      <c r="A729" s="5"/>
      <c r="B729" s="22"/>
      <c r="C729" s="22"/>
      <c r="D729" s="18"/>
      <c r="E729" s="24"/>
      <c r="F729" s="13"/>
      <c r="G729" s="13"/>
      <c r="H729" s="7"/>
      <c r="I729" s="13"/>
      <c r="J729" s="9"/>
      <c r="K729" s="10"/>
      <c r="L729" s="10"/>
      <c r="M729" s="11"/>
      <c r="N729" s="10"/>
      <c r="O729" s="42"/>
      <c r="P729" s="10"/>
    </row>
    <row r="730" spans="1:16" x14ac:dyDescent="0.25">
      <c r="A730" s="5"/>
      <c r="B730" s="22"/>
      <c r="C730" s="22"/>
      <c r="D730" s="18"/>
      <c r="E730" s="24"/>
      <c r="F730" s="13"/>
      <c r="G730" s="13"/>
      <c r="H730" s="7"/>
      <c r="I730" s="13"/>
      <c r="J730" s="9"/>
      <c r="K730" s="10"/>
      <c r="L730" s="10"/>
      <c r="M730" s="11"/>
      <c r="N730" s="10"/>
      <c r="O730" s="42"/>
      <c r="P730" s="10"/>
    </row>
    <row r="731" spans="1:16" x14ac:dyDescent="0.25">
      <c r="A731" s="5"/>
      <c r="B731" s="22"/>
      <c r="C731" s="22"/>
      <c r="D731" s="18"/>
      <c r="E731" s="24"/>
      <c r="F731" s="13"/>
      <c r="G731" s="13"/>
      <c r="H731" s="7"/>
      <c r="I731" s="13"/>
      <c r="J731" s="9"/>
      <c r="K731" s="10"/>
      <c r="L731" s="10"/>
      <c r="M731" s="11"/>
      <c r="N731" s="10"/>
      <c r="O731" s="42"/>
      <c r="P731" s="10"/>
    </row>
    <row r="732" spans="1:16" x14ac:dyDescent="0.25">
      <c r="A732" s="5"/>
      <c r="B732" s="22"/>
      <c r="C732" s="22"/>
      <c r="D732" s="18"/>
      <c r="E732" s="24"/>
      <c r="F732" s="13"/>
      <c r="G732" s="13"/>
      <c r="H732" s="7"/>
      <c r="I732" s="13"/>
      <c r="J732" s="9"/>
      <c r="K732" s="10"/>
      <c r="L732" s="10"/>
      <c r="M732" s="11"/>
      <c r="N732" s="10"/>
      <c r="O732" s="42"/>
      <c r="P732" s="10"/>
    </row>
    <row r="733" spans="1:16" x14ac:dyDescent="0.25">
      <c r="A733" s="5"/>
      <c r="B733" s="22"/>
      <c r="C733" s="22"/>
      <c r="D733" s="18"/>
      <c r="E733" s="24"/>
      <c r="F733" s="13"/>
      <c r="G733" s="13"/>
      <c r="H733" s="7"/>
      <c r="I733" s="13"/>
      <c r="J733" s="9"/>
      <c r="K733" s="10"/>
      <c r="L733" s="10"/>
      <c r="M733" s="11"/>
      <c r="N733" s="10"/>
      <c r="O733" s="42"/>
      <c r="P733" s="10"/>
    </row>
    <row r="734" spans="1:16" x14ac:dyDescent="0.25">
      <c r="A734" s="5"/>
      <c r="B734" s="22"/>
      <c r="C734" s="22"/>
      <c r="D734" s="18"/>
      <c r="E734" s="24"/>
      <c r="F734" s="13"/>
      <c r="G734" s="13"/>
      <c r="H734" s="7"/>
      <c r="I734" s="13"/>
      <c r="J734" s="9"/>
      <c r="K734" s="10"/>
      <c r="L734" s="10"/>
      <c r="M734" s="11"/>
      <c r="N734" s="10"/>
      <c r="O734" s="42"/>
      <c r="P734" s="10"/>
    </row>
    <row r="735" spans="1:16" x14ac:dyDescent="0.25">
      <c r="A735" s="5"/>
      <c r="B735" s="22"/>
      <c r="C735" s="22"/>
      <c r="D735" s="18"/>
      <c r="E735" s="24"/>
      <c r="F735" s="13"/>
      <c r="G735" s="13"/>
      <c r="H735" s="7"/>
      <c r="I735" s="13"/>
      <c r="J735" s="9"/>
      <c r="K735" s="10"/>
      <c r="L735" s="10"/>
      <c r="M735" s="11"/>
      <c r="N735" s="10"/>
      <c r="O735" s="42"/>
      <c r="P735" s="10"/>
    </row>
    <row r="736" spans="1:16" x14ac:dyDescent="0.25">
      <c r="A736" s="5"/>
      <c r="B736" s="22"/>
      <c r="C736" s="22"/>
      <c r="D736" s="18"/>
      <c r="E736" s="24"/>
      <c r="F736" s="13"/>
      <c r="G736" s="13"/>
      <c r="H736" s="7"/>
      <c r="I736" s="13"/>
      <c r="J736" s="9"/>
      <c r="K736" s="10"/>
      <c r="L736" s="10"/>
      <c r="M736" s="11"/>
      <c r="N736" s="10"/>
      <c r="O736" s="42"/>
      <c r="P736" s="10"/>
    </row>
    <row r="737" spans="1:16" x14ac:dyDescent="0.25">
      <c r="A737" s="5"/>
      <c r="B737" s="22"/>
      <c r="C737" s="22"/>
      <c r="D737" s="18"/>
      <c r="E737" s="24"/>
      <c r="F737" s="13"/>
      <c r="G737" s="13"/>
      <c r="H737" s="7"/>
      <c r="I737" s="13"/>
      <c r="J737" s="9"/>
      <c r="K737" s="10"/>
      <c r="L737" s="10"/>
      <c r="M737" s="11"/>
      <c r="N737" s="10"/>
      <c r="O737" s="42"/>
      <c r="P737" s="10"/>
    </row>
    <row r="738" spans="1:16" x14ac:dyDescent="0.25">
      <c r="A738" s="5"/>
      <c r="B738" s="22"/>
      <c r="C738" s="22"/>
      <c r="D738" s="18"/>
      <c r="E738" s="24"/>
      <c r="F738" s="13"/>
      <c r="G738" s="13"/>
      <c r="H738" s="7"/>
      <c r="I738" s="13"/>
      <c r="J738" s="9"/>
      <c r="K738" s="10"/>
      <c r="L738" s="10"/>
      <c r="M738" s="11"/>
      <c r="N738" s="10"/>
      <c r="O738" s="42"/>
      <c r="P738" s="10"/>
    </row>
    <row r="739" spans="1:16" x14ac:dyDescent="0.25">
      <c r="A739" s="5"/>
      <c r="B739" s="22"/>
      <c r="C739" s="22"/>
      <c r="D739" s="18"/>
      <c r="E739" s="24"/>
      <c r="F739" s="13"/>
      <c r="G739" s="13"/>
      <c r="H739" s="7"/>
      <c r="I739" s="13"/>
      <c r="J739" s="9"/>
      <c r="K739" s="10"/>
      <c r="L739" s="10"/>
      <c r="M739" s="11"/>
      <c r="N739" s="10"/>
      <c r="O739" s="42"/>
      <c r="P739" s="10"/>
    </row>
    <row r="740" spans="1:16" x14ac:dyDescent="0.25">
      <c r="A740" s="5"/>
      <c r="B740" s="22"/>
      <c r="C740" s="22"/>
      <c r="D740" s="18"/>
      <c r="E740" s="24"/>
      <c r="F740" s="13"/>
      <c r="G740" s="13"/>
      <c r="H740" s="7"/>
      <c r="I740" s="13"/>
      <c r="J740" s="9"/>
      <c r="K740" s="10"/>
      <c r="L740" s="10"/>
      <c r="M740" s="11"/>
      <c r="N740" s="10"/>
      <c r="O740" s="42"/>
      <c r="P740" s="10"/>
    </row>
    <row r="741" spans="1:16" x14ac:dyDescent="0.25">
      <c r="A741" s="5"/>
      <c r="B741" s="22"/>
      <c r="C741" s="22"/>
      <c r="D741" s="18"/>
      <c r="E741" s="24"/>
      <c r="F741" s="13"/>
      <c r="G741" s="13"/>
      <c r="H741" s="7"/>
      <c r="I741" s="13"/>
      <c r="J741" s="9"/>
      <c r="K741" s="10"/>
      <c r="L741" s="10"/>
      <c r="M741" s="11"/>
      <c r="N741" s="10"/>
      <c r="O741" s="42"/>
      <c r="P741" s="10"/>
    </row>
    <row r="742" spans="1:16" x14ac:dyDescent="0.25">
      <c r="A742" s="5"/>
      <c r="B742" s="22"/>
      <c r="C742" s="22"/>
      <c r="D742" s="18"/>
      <c r="E742" s="24"/>
      <c r="F742" s="13"/>
      <c r="G742" s="13"/>
      <c r="H742" s="7"/>
      <c r="I742" s="13"/>
      <c r="J742" s="9"/>
      <c r="K742" s="10"/>
      <c r="L742" s="10"/>
      <c r="M742" s="11"/>
      <c r="N742" s="10"/>
      <c r="O742" s="42"/>
      <c r="P742" s="10"/>
    </row>
    <row r="743" spans="1:16" x14ac:dyDescent="0.25">
      <c r="A743" s="5"/>
      <c r="B743" s="22"/>
      <c r="C743" s="22"/>
      <c r="D743" s="18"/>
      <c r="E743" s="24"/>
      <c r="F743" s="13"/>
      <c r="G743" s="13"/>
      <c r="H743" s="7"/>
      <c r="I743" s="13"/>
      <c r="J743" s="9"/>
      <c r="K743" s="10"/>
      <c r="L743" s="10"/>
      <c r="M743" s="11"/>
      <c r="N743" s="10"/>
      <c r="O743" s="42"/>
      <c r="P743" s="10"/>
    </row>
    <row r="744" spans="1:16" x14ac:dyDescent="0.25">
      <c r="A744" s="5"/>
      <c r="B744" s="22"/>
      <c r="C744" s="22"/>
      <c r="D744" s="18"/>
      <c r="E744" s="24"/>
      <c r="F744" s="13"/>
      <c r="G744" s="13"/>
      <c r="H744" s="7"/>
      <c r="I744" s="13"/>
      <c r="J744" s="9"/>
      <c r="K744" s="10"/>
      <c r="L744" s="10"/>
      <c r="M744" s="11"/>
      <c r="N744" s="10"/>
      <c r="O744" s="42"/>
      <c r="P744" s="10"/>
    </row>
    <row r="745" spans="1:16" x14ac:dyDescent="0.25">
      <c r="A745" s="5"/>
      <c r="B745" s="22"/>
      <c r="C745" s="22"/>
      <c r="D745" s="18"/>
      <c r="E745" s="24"/>
      <c r="F745" s="13"/>
      <c r="G745" s="13"/>
      <c r="H745" s="7"/>
      <c r="I745" s="13"/>
      <c r="J745" s="9"/>
      <c r="K745" s="10"/>
      <c r="L745" s="10"/>
      <c r="M745" s="11"/>
      <c r="N745" s="10"/>
      <c r="O745" s="42"/>
      <c r="P745" s="10"/>
    </row>
    <row r="746" spans="1:16" x14ac:dyDescent="0.25">
      <c r="A746" s="5"/>
      <c r="B746" s="22"/>
      <c r="C746" s="22"/>
      <c r="D746" s="18"/>
      <c r="E746" s="24"/>
      <c r="F746" s="13"/>
      <c r="G746" s="13"/>
      <c r="H746" s="7"/>
      <c r="I746" s="13"/>
      <c r="J746" s="9"/>
      <c r="K746" s="10"/>
      <c r="L746" s="10"/>
      <c r="M746" s="11"/>
      <c r="N746" s="10"/>
      <c r="O746" s="42"/>
      <c r="P746" s="10"/>
    </row>
    <row r="747" spans="1:16" x14ac:dyDescent="0.25">
      <c r="A747" s="5"/>
      <c r="B747" s="22"/>
      <c r="C747" s="22"/>
      <c r="D747" s="18"/>
      <c r="E747" s="24"/>
      <c r="F747" s="13"/>
      <c r="G747" s="13"/>
      <c r="H747" s="7"/>
      <c r="I747" s="13"/>
      <c r="J747" s="9"/>
      <c r="K747" s="10"/>
      <c r="L747" s="10"/>
      <c r="M747" s="11"/>
      <c r="N747" s="10"/>
      <c r="O747" s="42"/>
      <c r="P747" s="10"/>
    </row>
    <row r="748" spans="1:16" x14ac:dyDescent="0.25">
      <c r="A748" s="5"/>
      <c r="B748" s="22"/>
      <c r="C748" s="22"/>
      <c r="D748" s="18"/>
      <c r="E748" s="24"/>
      <c r="F748" s="13"/>
      <c r="G748" s="13"/>
      <c r="H748" s="7"/>
      <c r="I748" s="13"/>
      <c r="J748" s="9"/>
      <c r="K748" s="10"/>
      <c r="L748" s="10"/>
      <c r="M748" s="11"/>
      <c r="N748" s="10"/>
      <c r="O748" s="42"/>
      <c r="P748" s="10"/>
    </row>
    <row r="749" spans="1:16" x14ac:dyDescent="0.25">
      <c r="A749" s="5"/>
      <c r="B749" s="22"/>
      <c r="C749" s="22"/>
      <c r="D749" s="18"/>
      <c r="E749" s="24"/>
      <c r="F749" s="13"/>
      <c r="G749" s="13"/>
      <c r="H749" s="7"/>
      <c r="I749" s="13"/>
      <c r="J749" s="9"/>
      <c r="K749" s="10"/>
      <c r="L749" s="10"/>
      <c r="M749" s="11"/>
      <c r="N749" s="10"/>
      <c r="O749" s="42"/>
      <c r="P749" s="10"/>
    </row>
    <row r="750" spans="1:16" x14ac:dyDescent="0.25">
      <c r="A750" s="5"/>
      <c r="B750" s="22"/>
      <c r="C750" s="22"/>
      <c r="D750" s="18"/>
      <c r="E750" s="24"/>
      <c r="F750" s="13"/>
      <c r="G750" s="13"/>
      <c r="H750" s="7"/>
      <c r="I750" s="13"/>
      <c r="J750" s="9"/>
      <c r="K750" s="10"/>
      <c r="L750" s="10"/>
      <c r="M750" s="11"/>
      <c r="N750" s="10"/>
      <c r="O750" s="42"/>
      <c r="P750" s="10"/>
    </row>
    <row r="751" spans="1:16" x14ac:dyDescent="0.25">
      <c r="A751" s="5"/>
      <c r="B751" s="22"/>
      <c r="C751" s="22"/>
      <c r="D751" s="18"/>
      <c r="E751" s="24"/>
      <c r="F751" s="13"/>
      <c r="G751" s="13"/>
      <c r="H751" s="7"/>
      <c r="I751" s="13"/>
      <c r="J751" s="9"/>
      <c r="K751" s="10"/>
      <c r="L751" s="10"/>
      <c r="M751" s="11"/>
      <c r="N751" s="10"/>
      <c r="O751" s="42"/>
      <c r="P751" s="10"/>
    </row>
    <row r="752" spans="1:16" x14ac:dyDescent="0.25">
      <c r="A752" s="5"/>
      <c r="B752" s="22"/>
      <c r="C752" s="22"/>
      <c r="D752" s="18"/>
      <c r="E752" s="24"/>
      <c r="F752" s="13"/>
      <c r="G752" s="13"/>
      <c r="H752" s="7"/>
      <c r="I752" s="13"/>
      <c r="J752" s="9"/>
      <c r="K752" s="10"/>
      <c r="L752" s="10"/>
      <c r="M752" s="11"/>
      <c r="N752" s="10"/>
      <c r="O752" s="42"/>
      <c r="P752" s="10"/>
    </row>
    <row r="753" spans="1:16" x14ac:dyDescent="0.25">
      <c r="A753" s="5"/>
      <c r="B753" s="22"/>
      <c r="C753" s="22"/>
      <c r="D753" s="18"/>
      <c r="E753" s="24"/>
      <c r="F753" s="13"/>
      <c r="G753" s="13"/>
      <c r="H753" s="7"/>
      <c r="I753" s="13"/>
      <c r="J753" s="9"/>
      <c r="K753" s="10"/>
      <c r="L753" s="10"/>
      <c r="M753" s="11"/>
      <c r="N753" s="10"/>
      <c r="O753" s="42"/>
      <c r="P753" s="10"/>
    </row>
    <row r="754" spans="1:16" x14ac:dyDescent="0.25">
      <c r="A754" s="5"/>
      <c r="B754" s="22"/>
      <c r="C754" s="22"/>
      <c r="D754" s="18"/>
      <c r="E754" s="24"/>
      <c r="F754" s="13"/>
      <c r="G754" s="13"/>
      <c r="H754" s="7"/>
      <c r="I754" s="13"/>
      <c r="J754" s="9"/>
      <c r="K754" s="10"/>
      <c r="L754" s="10"/>
      <c r="M754" s="11"/>
      <c r="N754" s="10"/>
      <c r="O754" s="42"/>
      <c r="P754" s="10"/>
    </row>
    <row r="755" spans="1:16" x14ac:dyDescent="0.25">
      <c r="A755" s="5"/>
      <c r="B755" s="22"/>
      <c r="C755" s="22"/>
      <c r="D755" s="18"/>
      <c r="E755" s="24"/>
      <c r="F755" s="13"/>
      <c r="G755" s="13"/>
      <c r="H755" s="7"/>
      <c r="I755" s="13"/>
      <c r="J755" s="9"/>
      <c r="K755" s="10"/>
      <c r="L755" s="10"/>
      <c r="M755" s="11"/>
      <c r="N755" s="10"/>
      <c r="O755" s="42"/>
      <c r="P755" s="10"/>
    </row>
    <row r="756" spans="1:16" x14ac:dyDescent="0.25">
      <c r="A756" s="5"/>
      <c r="B756" s="22"/>
      <c r="C756" s="22"/>
      <c r="D756" s="19"/>
      <c r="E756" s="24"/>
      <c r="F756" s="13"/>
      <c r="G756" s="13"/>
      <c r="H756" s="7"/>
      <c r="I756" s="13"/>
      <c r="J756" s="9"/>
      <c r="K756" s="10"/>
      <c r="L756" s="10"/>
      <c r="M756" s="11"/>
      <c r="N756" s="10"/>
      <c r="O756" s="42"/>
      <c r="P756" s="10"/>
    </row>
    <row r="757" spans="1:16" x14ac:dyDescent="0.25">
      <c r="A757" s="5"/>
      <c r="B757" s="22"/>
      <c r="C757" s="22"/>
      <c r="D757" s="18"/>
      <c r="E757" s="24"/>
      <c r="F757" s="13"/>
      <c r="G757" s="13"/>
      <c r="H757" s="7"/>
      <c r="I757" s="13"/>
      <c r="J757" s="9"/>
      <c r="K757" s="10"/>
      <c r="L757" s="10"/>
      <c r="M757" s="11"/>
      <c r="N757" s="10"/>
      <c r="O757" s="42"/>
      <c r="P757" s="10"/>
    </row>
    <row r="758" spans="1:16" x14ac:dyDescent="0.25">
      <c r="A758" s="5"/>
      <c r="B758" s="22"/>
      <c r="C758" s="22"/>
      <c r="D758" s="18"/>
      <c r="E758" s="24"/>
      <c r="F758" s="13"/>
      <c r="G758" s="13"/>
      <c r="H758" s="7"/>
      <c r="I758" s="13"/>
      <c r="J758" s="9"/>
      <c r="K758" s="10"/>
      <c r="L758" s="10"/>
      <c r="M758" s="11"/>
      <c r="N758" s="10"/>
      <c r="O758" s="42"/>
      <c r="P758" s="10"/>
    </row>
    <row r="759" spans="1:16" x14ac:dyDescent="0.25">
      <c r="A759" s="5"/>
      <c r="B759" s="22"/>
      <c r="C759" s="22"/>
      <c r="D759" s="18"/>
      <c r="E759" s="24"/>
      <c r="F759" s="13"/>
      <c r="G759" s="13"/>
      <c r="H759" s="7"/>
      <c r="I759" s="13"/>
      <c r="J759" s="9"/>
      <c r="K759" s="10"/>
      <c r="L759" s="10"/>
      <c r="M759" s="11"/>
      <c r="N759" s="10"/>
      <c r="O759" s="42"/>
      <c r="P759" s="10"/>
    </row>
    <row r="760" spans="1:16" x14ac:dyDescent="0.25">
      <c r="A760" s="5"/>
      <c r="B760" s="22"/>
      <c r="C760" s="22"/>
      <c r="D760" s="18"/>
      <c r="E760" s="24"/>
      <c r="F760" s="13"/>
      <c r="G760" s="13"/>
      <c r="H760" s="7"/>
      <c r="I760" s="13"/>
      <c r="J760" s="9"/>
      <c r="K760" s="10"/>
      <c r="L760" s="10"/>
      <c r="M760" s="11"/>
      <c r="N760" s="10"/>
      <c r="O760" s="42"/>
      <c r="P760" s="10"/>
    </row>
    <row r="761" spans="1:16" x14ac:dyDescent="0.25">
      <c r="A761" s="5"/>
      <c r="B761" s="22"/>
      <c r="C761" s="22"/>
      <c r="D761" s="18"/>
      <c r="E761" s="24"/>
      <c r="F761" s="13"/>
      <c r="G761" s="13"/>
      <c r="H761" s="7"/>
      <c r="I761" s="13"/>
      <c r="J761" s="9"/>
      <c r="K761" s="10"/>
      <c r="L761" s="10"/>
      <c r="M761" s="11"/>
      <c r="N761" s="10"/>
      <c r="O761" s="42"/>
      <c r="P761" s="10"/>
    </row>
    <row r="762" spans="1:16" x14ac:dyDescent="0.25">
      <c r="A762" s="5"/>
      <c r="B762" s="22"/>
      <c r="C762" s="22"/>
      <c r="D762" s="18"/>
      <c r="E762" s="24"/>
      <c r="F762" s="13"/>
      <c r="G762" s="13"/>
      <c r="H762" s="7"/>
      <c r="I762" s="13"/>
      <c r="J762" s="9"/>
      <c r="K762" s="10"/>
      <c r="L762" s="10"/>
      <c r="M762" s="11"/>
      <c r="N762" s="10"/>
      <c r="O762" s="42"/>
      <c r="P762" s="10"/>
    </row>
    <row r="763" spans="1:16" x14ac:dyDescent="0.25">
      <c r="A763" s="5"/>
      <c r="B763" s="22"/>
      <c r="C763" s="22"/>
      <c r="D763" s="18"/>
      <c r="E763" s="24"/>
      <c r="F763" s="13"/>
      <c r="G763" s="13"/>
      <c r="H763" s="7"/>
      <c r="I763" s="13"/>
      <c r="J763" s="9"/>
      <c r="K763" s="10"/>
      <c r="L763" s="10"/>
      <c r="M763" s="11"/>
      <c r="N763" s="10"/>
      <c r="O763" s="42"/>
      <c r="P763" s="10"/>
    </row>
    <row r="764" spans="1:16" x14ac:dyDescent="0.25">
      <c r="A764" s="5"/>
      <c r="B764" s="22"/>
      <c r="C764" s="22"/>
      <c r="D764" s="18"/>
      <c r="E764" s="24"/>
      <c r="F764" s="13"/>
      <c r="G764" s="13"/>
      <c r="H764" s="7"/>
      <c r="I764" s="13"/>
      <c r="J764" s="9"/>
      <c r="K764" s="10"/>
      <c r="L764" s="10"/>
      <c r="M764" s="11"/>
      <c r="N764" s="10"/>
      <c r="O764" s="42"/>
      <c r="P764" s="10"/>
    </row>
    <row r="765" spans="1:16" x14ac:dyDescent="0.25">
      <c r="A765" s="5"/>
      <c r="B765" s="22"/>
      <c r="C765" s="22"/>
      <c r="D765" s="18"/>
      <c r="E765" s="24"/>
      <c r="F765" s="13"/>
      <c r="G765" s="13"/>
      <c r="H765" s="7"/>
      <c r="I765" s="13"/>
      <c r="J765" s="9"/>
      <c r="K765" s="10"/>
      <c r="L765" s="10"/>
      <c r="M765" s="11"/>
      <c r="N765" s="10"/>
      <c r="O765" s="42"/>
      <c r="P765" s="10"/>
    </row>
    <row r="766" spans="1:16" x14ac:dyDescent="0.25">
      <c r="A766" s="5"/>
      <c r="B766" s="22"/>
      <c r="C766" s="22"/>
      <c r="D766" s="18"/>
      <c r="E766" s="24"/>
      <c r="F766" s="13"/>
      <c r="G766" s="13"/>
      <c r="H766" s="7"/>
      <c r="I766" s="13"/>
      <c r="J766" s="9"/>
      <c r="K766" s="10"/>
      <c r="L766" s="10"/>
      <c r="M766" s="11"/>
      <c r="N766" s="10"/>
      <c r="O766" s="42"/>
      <c r="P766" s="10"/>
    </row>
    <row r="767" spans="1:16" x14ac:dyDescent="0.25">
      <c r="A767" s="5"/>
      <c r="B767" s="22"/>
      <c r="C767" s="22"/>
      <c r="D767" s="18"/>
      <c r="E767" s="24"/>
      <c r="F767" s="13"/>
      <c r="G767" s="13"/>
      <c r="H767" s="7"/>
      <c r="I767" s="13"/>
      <c r="J767" s="9"/>
      <c r="K767" s="10"/>
      <c r="L767" s="10"/>
      <c r="M767" s="11"/>
      <c r="N767" s="10"/>
      <c r="O767" s="42"/>
      <c r="P767" s="10"/>
    </row>
    <row r="768" spans="1:16" x14ac:dyDescent="0.25">
      <c r="A768" s="5"/>
      <c r="B768" s="22"/>
      <c r="C768" s="22"/>
      <c r="D768" s="18"/>
      <c r="E768" s="24"/>
      <c r="F768" s="13"/>
      <c r="G768" s="13"/>
      <c r="H768" s="7"/>
      <c r="I768" s="13"/>
      <c r="J768" s="9"/>
      <c r="K768" s="10"/>
      <c r="L768" s="10"/>
      <c r="M768" s="11"/>
      <c r="N768" s="10"/>
      <c r="O768" s="42"/>
      <c r="P768" s="10"/>
    </row>
    <row r="769" spans="1:16" x14ac:dyDescent="0.25">
      <c r="A769" s="5"/>
      <c r="B769" s="22"/>
      <c r="C769" s="22"/>
      <c r="D769" s="18"/>
      <c r="E769" s="24"/>
      <c r="F769" s="13"/>
      <c r="G769" s="13"/>
      <c r="H769" s="7"/>
      <c r="I769" s="13"/>
      <c r="J769" s="9"/>
      <c r="K769" s="10"/>
      <c r="L769" s="10"/>
      <c r="M769" s="11"/>
      <c r="N769" s="10"/>
      <c r="O769" s="42"/>
      <c r="P769" s="10"/>
    </row>
    <row r="770" spans="1:16" x14ac:dyDescent="0.25">
      <c r="A770" s="5"/>
      <c r="B770" s="22"/>
      <c r="C770" s="22"/>
      <c r="D770" s="18"/>
      <c r="E770" s="24"/>
      <c r="F770" s="13"/>
      <c r="G770" s="13"/>
      <c r="H770" s="7"/>
      <c r="I770" s="13"/>
      <c r="J770" s="9"/>
      <c r="K770" s="10"/>
      <c r="L770" s="10"/>
      <c r="M770" s="11"/>
      <c r="N770" s="10"/>
      <c r="O770" s="42"/>
      <c r="P770" s="10"/>
    </row>
    <row r="771" spans="1:16" x14ac:dyDescent="0.25">
      <c r="A771" s="5"/>
      <c r="B771" s="22"/>
      <c r="C771" s="22"/>
      <c r="D771" s="18"/>
      <c r="E771" s="24"/>
      <c r="F771" s="13"/>
      <c r="G771" s="13"/>
      <c r="H771" s="7"/>
      <c r="I771" s="13"/>
      <c r="J771" s="9"/>
      <c r="K771" s="10"/>
      <c r="L771" s="10"/>
      <c r="M771" s="11"/>
      <c r="N771" s="10"/>
      <c r="O771" s="42"/>
      <c r="P771" s="10"/>
    </row>
    <row r="772" spans="1:16" x14ac:dyDescent="0.25">
      <c r="A772" s="5"/>
      <c r="B772" s="22"/>
      <c r="C772" s="22"/>
      <c r="D772" s="18"/>
      <c r="E772" s="24"/>
      <c r="F772" s="13"/>
      <c r="G772" s="13"/>
      <c r="H772" s="7"/>
      <c r="I772" s="13"/>
      <c r="J772" s="9"/>
      <c r="K772" s="10"/>
      <c r="L772" s="10"/>
      <c r="M772" s="11"/>
      <c r="N772" s="10"/>
      <c r="O772" s="42"/>
      <c r="P772" s="10"/>
    </row>
    <row r="773" spans="1:16" x14ac:dyDescent="0.25">
      <c r="A773" s="5"/>
      <c r="B773" s="22"/>
      <c r="C773" s="22"/>
      <c r="D773" s="18"/>
      <c r="E773" s="24"/>
      <c r="F773" s="13"/>
      <c r="G773" s="13"/>
      <c r="H773" s="7"/>
      <c r="I773" s="13"/>
      <c r="J773" s="9"/>
      <c r="K773" s="10"/>
      <c r="L773" s="10"/>
      <c r="M773" s="11"/>
      <c r="N773" s="10"/>
      <c r="O773" s="42"/>
      <c r="P773" s="10"/>
    </row>
    <row r="774" spans="1:16" x14ac:dyDescent="0.25">
      <c r="A774" s="5"/>
      <c r="B774" s="22"/>
      <c r="C774" s="22"/>
      <c r="D774" s="18"/>
      <c r="E774" s="24"/>
      <c r="F774" s="13"/>
      <c r="G774" s="13"/>
      <c r="H774" s="7"/>
      <c r="I774" s="13"/>
      <c r="J774" s="9"/>
      <c r="K774" s="10"/>
      <c r="L774" s="10"/>
      <c r="M774" s="11"/>
      <c r="N774" s="10"/>
      <c r="O774" s="42"/>
      <c r="P774" s="10"/>
    </row>
    <row r="775" spans="1:16" x14ac:dyDescent="0.25">
      <c r="A775" s="5"/>
      <c r="B775" s="22"/>
      <c r="C775" s="22"/>
      <c r="D775" s="18"/>
      <c r="E775" s="24"/>
      <c r="F775" s="13"/>
      <c r="G775" s="13"/>
      <c r="H775" s="7"/>
      <c r="I775" s="13"/>
      <c r="J775" s="9"/>
      <c r="K775" s="10"/>
      <c r="L775" s="10"/>
      <c r="M775" s="11"/>
      <c r="N775" s="10"/>
      <c r="O775" s="42"/>
      <c r="P775" s="10"/>
    </row>
    <row r="776" spans="1:16" x14ac:dyDescent="0.25">
      <c r="A776" s="5"/>
      <c r="B776" s="22"/>
      <c r="C776" s="22"/>
      <c r="D776" s="18"/>
      <c r="E776" s="24"/>
      <c r="F776" s="13"/>
      <c r="G776" s="13"/>
      <c r="H776" s="7"/>
      <c r="I776" s="13"/>
      <c r="J776" s="9"/>
      <c r="K776" s="10"/>
      <c r="L776" s="10"/>
      <c r="M776" s="11"/>
      <c r="N776" s="10"/>
      <c r="O776" s="42"/>
      <c r="P776" s="10"/>
    </row>
    <row r="777" spans="1:16" x14ac:dyDescent="0.25">
      <c r="A777" s="5"/>
      <c r="B777" s="22"/>
      <c r="C777" s="22"/>
      <c r="D777" s="18"/>
      <c r="E777" s="24"/>
      <c r="F777" s="13"/>
      <c r="G777" s="13"/>
      <c r="H777" s="7"/>
      <c r="I777" s="13"/>
      <c r="J777" s="9"/>
      <c r="K777" s="10"/>
      <c r="L777" s="10"/>
      <c r="M777" s="11"/>
      <c r="N777" s="10"/>
      <c r="O777" s="42"/>
      <c r="P777" s="10"/>
    </row>
    <row r="778" spans="1:16" x14ac:dyDescent="0.25">
      <c r="A778" s="5"/>
      <c r="B778" s="22"/>
      <c r="C778" s="22"/>
      <c r="D778" s="18"/>
      <c r="E778" s="24"/>
      <c r="F778" s="13"/>
      <c r="G778" s="13"/>
      <c r="H778" s="7"/>
      <c r="I778" s="13"/>
      <c r="J778" s="9"/>
      <c r="K778" s="10"/>
      <c r="L778" s="10"/>
      <c r="M778" s="11"/>
      <c r="N778" s="10"/>
      <c r="O778" s="42"/>
      <c r="P778" s="10"/>
    </row>
    <row r="779" spans="1:16" x14ac:dyDescent="0.25">
      <c r="A779" s="5"/>
      <c r="B779" s="22"/>
      <c r="C779" s="22"/>
      <c r="D779" s="18"/>
      <c r="E779" s="24"/>
      <c r="F779" s="13"/>
      <c r="G779" s="13"/>
      <c r="H779" s="7"/>
      <c r="I779" s="13"/>
      <c r="J779" s="9"/>
      <c r="K779" s="10"/>
      <c r="L779" s="10"/>
      <c r="M779" s="11"/>
      <c r="N779" s="10"/>
      <c r="O779" s="42"/>
      <c r="P779" s="10"/>
    </row>
    <row r="780" spans="1:16" x14ac:dyDescent="0.25">
      <c r="A780" s="5"/>
      <c r="B780" s="22"/>
      <c r="C780" s="22"/>
      <c r="D780" s="18"/>
      <c r="E780" s="24"/>
      <c r="F780" s="13"/>
      <c r="G780" s="13"/>
      <c r="H780" s="7"/>
      <c r="I780" s="13"/>
      <c r="J780" s="9"/>
      <c r="K780" s="10"/>
      <c r="L780" s="10"/>
      <c r="M780" s="11"/>
      <c r="N780" s="10"/>
      <c r="O780" s="42"/>
      <c r="P780" s="10"/>
    </row>
    <row r="781" spans="1:16" x14ac:dyDescent="0.25">
      <c r="A781" s="5"/>
      <c r="B781" s="22"/>
      <c r="C781" s="22"/>
      <c r="D781" s="18"/>
      <c r="E781" s="24"/>
      <c r="F781" s="13"/>
      <c r="G781" s="13"/>
      <c r="H781" s="7"/>
      <c r="I781" s="13"/>
      <c r="J781" s="9"/>
      <c r="K781" s="10"/>
      <c r="L781" s="10"/>
      <c r="M781" s="11"/>
      <c r="N781" s="10"/>
      <c r="O781" s="42"/>
      <c r="P781" s="10"/>
    </row>
    <row r="782" spans="1:16" x14ac:dyDescent="0.25">
      <c r="A782" s="5"/>
      <c r="B782" s="22"/>
      <c r="C782" s="22"/>
      <c r="D782" s="18"/>
      <c r="E782" s="24"/>
      <c r="F782" s="13"/>
      <c r="G782" s="13"/>
      <c r="H782" s="7"/>
      <c r="I782" s="13"/>
      <c r="J782" s="9"/>
      <c r="K782" s="10"/>
      <c r="L782" s="10"/>
      <c r="M782" s="11"/>
      <c r="N782" s="10"/>
      <c r="O782" s="42"/>
      <c r="P782" s="10"/>
    </row>
    <row r="783" spans="1:16" x14ac:dyDescent="0.25">
      <c r="A783" s="5"/>
      <c r="B783" s="22"/>
      <c r="C783" s="22"/>
      <c r="D783" s="18"/>
      <c r="E783" s="24"/>
      <c r="F783" s="13"/>
      <c r="G783" s="13"/>
      <c r="H783" s="7"/>
      <c r="I783" s="13"/>
      <c r="J783" s="9"/>
      <c r="K783" s="10"/>
      <c r="L783" s="10"/>
      <c r="M783" s="11"/>
      <c r="N783" s="10"/>
      <c r="O783" s="42"/>
      <c r="P783" s="10"/>
    </row>
    <row r="784" spans="1:16" x14ac:dyDescent="0.25">
      <c r="A784" s="5"/>
      <c r="B784" s="22"/>
      <c r="C784" s="22"/>
      <c r="D784" s="18"/>
      <c r="E784" s="24"/>
      <c r="F784" s="13"/>
      <c r="G784" s="13"/>
      <c r="H784" s="7"/>
      <c r="I784" s="13"/>
      <c r="J784" s="9"/>
      <c r="K784" s="10"/>
      <c r="L784" s="10"/>
      <c r="M784" s="11"/>
      <c r="N784" s="10"/>
      <c r="O784" s="42"/>
      <c r="P784" s="10"/>
    </row>
    <row r="785" spans="1:16" x14ac:dyDescent="0.25">
      <c r="A785" s="5"/>
      <c r="B785" s="22"/>
      <c r="C785" s="22"/>
      <c r="D785" s="18"/>
      <c r="E785" s="24"/>
      <c r="F785" s="13"/>
      <c r="G785" s="13"/>
      <c r="H785" s="7"/>
      <c r="I785" s="13"/>
      <c r="J785" s="9"/>
      <c r="K785" s="10"/>
      <c r="L785" s="10"/>
      <c r="M785" s="11"/>
      <c r="N785" s="10"/>
      <c r="O785" s="42"/>
      <c r="P785" s="10"/>
    </row>
    <row r="786" spans="1:16" x14ac:dyDescent="0.25">
      <c r="A786" s="5"/>
      <c r="B786" s="22"/>
      <c r="C786" s="22"/>
      <c r="D786" s="18"/>
      <c r="E786" s="24"/>
      <c r="F786" s="13"/>
      <c r="G786" s="13"/>
      <c r="H786" s="7"/>
      <c r="I786" s="13"/>
      <c r="J786" s="9"/>
      <c r="K786" s="10"/>
      <c r="L786" s="10"/>
      <c r="M786" s="11"/>
      <c r="N786" s="10"/>
      <c r="O786" s="42"/>
      <c r="P786" s="10"/>
    </row>
    <row r="787" spans="1:16" x14ac:dyDescent="0.25">
      <c r="A787" s="5"/>
      <c r="B787" s="22"/>
      <c r="C787" s="22"/>
      <c r="D787" s="18"/>
      <c r="E787" s="24"/>
      <c r="F787" s="13"/>
      <c r="G787" s="13"/>
      <c r="H787" s="7"/>
      <c r="I787" s="13"/>
      <c r="J787" s="9"/>
      <c r="K787" s="10"/>
      <c r="L787" s="10"/>
      <c r="M787" s="11"/>
      <c r="N787" s="10"/>
      <c r="O787" s="42"/>
      <c r="P787" s="10"/>
    </row>
    <row r="788" spans="1:16" x14ac:dyDescent="0.25">
      <c r="A788" s="5"/>
      <c r="B788" s="22"/>
      <c r="C788" s="22"/>
      <c r="D788" s="18"/>
      <c r="E788" s="24"/>
      <c r="F788" s="13"/>
      <c r="G788" s="13"/>
      <c r="H788" s="7"/>
      <c r="I788" s="13"/>
      <c r="J788" s="9"/>
      <c r="K788" s="10"/>
      <c r="L788" s="10"/>
      <c r="M788" s="11"/>
      <c r="N788" s="10"/>
      <c r="O788" s="42"/>
      <c r="P788" s="10"/>
    </row>
    <row r="789" spans="1:16" x14ac:dyDescent="0.25">
      <c r="A789" s="5"/>
      <c r="B789" s="22"/>
      <c r="C789" s="22"/>
      <c r="D789" s="18"/>
      <c r="E789" s="24"/>
      <c r="F789" s="13"/>
      <c r="G789" s="13"/>
      <c r="H789" s="7"/>
      <c r="I789" s="13"/>
      <c r="J789" s="9"/>
      <c r="K789" s="10"/>
      <c r="L789" s="10"/>
      <c r="M789" s="11"/>
      <c r="N789" s="10"/>
      <c r="O789" s="42"/>
      <c r="P789" s="10"/>
    </row>
    <row r="790" spans="1:16" x14ac:dyDescent="0.25">
      <c r="A790" s="5"/>
      <c r="B790" s="22"/>
      <c r="C790" s="22"/>
      <c r="D790" s="18"/>
      <c r="E790" s="24"/>
      <c r="F790" s="13"/>
      <c r="G790" s="13"/>
      <c r="H790" s="7"/>
      <c r="I790" s="13"/>
      <c r="J790" s="9"/>
      <c r="K790" s="10"/>
      <c r="L790" s="10"/>
      <c r="M790" s="11"/>
      <c r="N790" s="10"/>
      <c r="O790" s="42"/>
      <c r="P790" s="10"/>
    </row>
    <row r="791" spans="1:16" x14ac:dyDescent="0.25">
      <c r="A791" s="5"/>
      <c r="B791" s="22"/>
      <c r="C791" s="22"/>
      <c r="D791" s="18"/>
      <c r="E791" s="24"/>
      <c r="F791" s="13"/>
      <c r="G791" s="13"/>
      <c r="H791" s="7"/>
      <c r="I791" s="13"/>
      <c r="J791" s="9"/>
      <c r="K791" s="10"/>
      <c r="L791" s="10"/>
      <c r="M791" s="11"/>
      <c r="N791" s="10"/>
      <c r="O791" s="42"/>
      <c r="P791" s="10"/>
    </row>
    <row r="792" spans="1:16" x14ac:dyDescent="0.25">
      <c r="A792" s="5"/>
      <c r="B792" s="22"/>
      <c r="C792" s="22"/>
      <c r="D792" s="18"/>
      <c r="E792" s="24"/>
      <c r="F792" s="13"/>
      <c r="G792" s="13"/>
      <c r="H792" s="7"/>
      <c r="I792" s="13"/>
      <c r="J792" s="9"/>
      <c r="K792" s="10"/>
      <c r="L792" s="10"/>
      <c r="M792" s="11"/>
      <c r="N792" s="10"/>
      <c r="O792" s="42"/>
      <c r="P792" s="10"/>
    </row>
    <row r="793" spans="1:16" x14ac:dyDescent="0.25">
      <c r="A793" s="5"/>
      <c r="B793" s="22"/>
      <c r="C793" s="22"/>
      <c r="D793" s="18"/>
      <c r="E793" s="24"/>
      <c r="F793" s="13"/>
      <c r="G793" s="13"/>
      <c r="H793" s="7"/>
      <c r="I793" s="13"/>
      <c r="J793" s="9"/>
      <c r="K793" s="10"/>
      <c r="L793" s="10"/>
      <c r="M793" s="11"/>
      <c r="N793" s="10"/>
      <c r="O793" s="42"/>
      <c r="P793" s="10"/>
    </row>
    <row r="794" spans="1:16" x14ac:dyDescent="0.25">
      <c r="A794" s="5"/>
      <c r="B794" s="22"/>
      <c r="C794" s="22"/>
      <c r="D794" s="18"/>
      <c r="E794" s="24"/>
      <c r="F794" s="13"/>
      <c r="G794" s="13"/>
      <c r="H794" s="7"/>
      <c r="I794" s="13"/>
      <c r="J794" s="9"/>
      <c r="K794" s="10"/>
      <c r="L794" s="10"/>
      <c r="M794" s="11"/>
      <c r="N794" s="10"/>
      <c r="O794" s="42"/>
      <c r="P794" s="10"/>
    </row>
    <row r="795" spans="1:16" x14ac:dyDescent="0.25">
      <c r="A795" s="5"/>
      <c r="B795" s="22"/>
      <c r="C795" s="22"/>
      <c r="D795" s="18"/>
      <c r="E795" s="24"/>
      <c r="F795" s="13"/>
      <c r="G795" s="13"/>
      <c r="H795" s="7"/>
      <c r="I795" s="13"/>
      <c r="J795" s="9"/>
      <c r="K795" s="10"/>
      <c r="L795" s="10"/>
      <c r="M795" s="11"/>
      <c r="N795" s="10"/>
      <c r="O795" s="42"/>
      <c r="P795" s="10"/>
    </row>
    <row r="796" spans="1:16" x14ac:dyDescent="0.25">
      <c r="A796" s="5"/>
      <c r="B796" s="22"/>
      <c r="C796" s="22"/>
      <c r="D796" s="18"/>
      <c r="E796" s="24"/>
      <c r="F796" s="13"/>
      <c r="G796" s="13"/>
      <c r="H796" s="7"/>
      <c r="I796" s="13"/>
      <c r="J796" s="9"/>
      <c r="K796" s="10"/>
      <c r="L796" s="10"/>
      <c r="M796" s="11"/>
      <c r="N796" s="10"/>
      <c r="O796" s="42"/>
      <c r="P796" s="10"/>
    </row>
    <row r="797" spans="1:16" x14ac:dyDescent="0.25">
      <c r="A797" s="5"/>
      <c r="B797" s="22"/>
      <c r="C797" s="22"/>
      <c r="D797" s="18"/>
      <c r="E797" s="24"/>
      <c r="F797" s="13"/>
      <c r="G797" s="13"/>
      <c r="H797" s="7"/>
      <c r="I797" s="13"/>
      <c r="J797" s="9"/>
      <c r="K797" s="10"/>
      <c r="L797" s="10"/>
      <c r="M797" s="11"/>
      <c r="N797" s="10"/>
      <c r="O797" s="42"/>
      <c r="P797" s="10"/>
    </row>
    <row r="798" spans="1:16" x14ac:dyDescent="0.25">
      <c r="A798" s="5"/>
      <c r="B798" s="22"/>
      <c r="C798" s="22"/>
      <c r="D798" s="18"/>
      <c r="E798" s="24"/>
      <c r="F798" s="13"/>
      <c r="G798" s="13"/>
      <c r="H798" s="7"/>
      <c r="I798" s="13"/>
      <c r="J798" s="9"/>
      <c r="K798" s="10"/>
      <c r="L798" s="10"/>
      <c r="M798" s="11"/>
      <c r="N798" s="10"/>
      <c r="O798" s="42"/>
      <c r="P798" s="10"/>
    </row>
    <row r="799" spans="1:16" x14ac:dyDescent="0.25">
      <c r="A799" s="5"/>
      <c r="B799" s="22"/>
      <c r="C799" s="22"/>
      <c r="D799" s="18"/>
      <c r="E799" s="24"/>
      <c r="F799" s="13"/>
      <c r="G799" s="13"/>
      <c r="H799" s="7"/>
      <c r="I799" s="13"/>
      <c r="J799" s="9"/>
      <c r="K799" s="10"/>
      <c r="L799" s="10"/>
      <c r="M799" s="11"/>
      <c r="N799" s="10"/>
      <c r="O799" s="42"/>
      <c r="P799" s="10"/>
    </row>
    <row r="800" spans="1:16" x14ac:dyDescent="0.25">
      <c r="A800" s="5"/>
      <c r="B800" s="22"/>
      <c r="C800" s="22"/>
      <c r="D800" s="18"/>
      <c r="E800" s="24"/>
      <c r="F800" s="13"/>
      <c r="G800" s="13"/>
      <c r="H800" s="7"/>
      <c r="I800" s="13"/>
      <c r="J800" s="9"/>
      <c r="K800" s="10"/>
      <c r="L800" s="10"/>
      <c r="M800" s="11"/>
      <c r="N800" s="10"/>
      <c r="O800" s="42"/>
      <c r="P800" s="10"/>
    </row>
    <row r="801" spans="1:16" x14ac:dyDescent="0.25">
      <c r="A801" s="5"/>
      <c r="B801" s="22"/>
      <c r="C801" s="22"/>
      <c r="D801" s="18"/>
      <c r="E801" s="24"/>
      <c r="F801" s="13"/>
      <c r="G801" s="13"/>
      <c r="H801" s="7"/>
      <c r="I801" s="13"/>
      <c r="J801" s="9"/>
      <c r="K801" s="10"/>
      <c r="L801" s="10"/>
      <c r="M801" s="11"/>
      <c r="N801" s="10"/>
      <c r="O801" s="42"/>
      <c r="P801" s="10"/>
    </row>
    <row r="802" spans="1:16" x14ac:dyDescent="0.25">
      <c r="A802" s="5"/>
      <c r="B802" s="22"/>
      <c r="C802" s="22"/>
      <c r="D802" s="18"/>
      <c r="E802" s="24"/>
      <c r="F802" s="13"/>
      <c r="G802" s="13"/>
      <c r="H802" s="7"/>
      <c r="I802" s="13"/>
      <c r="J802" s="9"/>
      <c r="K802" s="10"/>
      <c r="L802" s="10"/>
      <c r="M802" s="11"/>
      <c r="N802" s="10"/>
      <c r="O802" s="42"/>
      <c r="P802" s="10"/>
    </row>
    <row r="803" spans="1:16" x14ac:dyDescent="0.25">
      <c r="A803" s="5"/>
      <c r="B803" s="22"/>
      <c r="C803" s="22"/>
      <c r="D803" s="18"/>
      <c r="E803" s="24"/>
      <c r="F803" s="13"/>
      <c r="G803" s="13"/>
      <c r="H803" s="7"/>
      <c r="I803" s="13"/>
      <c r="J803" s="9"/>
      <c r="K803" s="10"/>
      <c r="L803" s="10"/>
      <c r="M803" s="11"/>
      <c r="N803" s="10"/>
      <c r="O803" s="42"/>
      <c r="P803" s="10"/>
    </row>
    <row r="804" spans="1:16" x14ac:dyDescent="0.25">
      <c r="A804" s="5"/>
      <c r="B804" s="22"/>
      <c r="C804" s="22"/>
      <c r="D804" s="18"/>
      <c r="E804" s="24"/>
      <c r="F804" s="13"/>
      <c r="G804" s="13"/>
      <c r="H804" s="7"/>
      <c r="I804" s="13"/>
      <c r="J804" s="9"/>
      <c r="K804" s="10"/>
      <c r="L804" s="10"/>
      <c r="M804" s="11"/>
      <c r="N804" s="10"/>
      <c r="O804" s="42"/>
      <c r="P804" s="10"/>
    </row>
    <row r="805" spans="1:16" x14ac:dyDescent="0.25">
      <c r="A805" s="5"/>
      <c r="B805" s="22"/>
      <c r="C805" s="22"/>
      <c r="D805" s="18"/>
      <c r="E805" s="24"/>
      <c r="F805" s="13"/>
      <c r="G805" s="13"/>
      <c r="H805" s="7"/>
      <c r="I805" s="13"/>
      <c r="J805" s="9"/>
      <c r="K805" s="10"/>
      <c r="L805" s="10"/>
      <c r="M805" s="11"/>
      <c r="N805" s="10"/>
      <c r="O805" s="42"/>
      <c r="P805" s="10"/>
    </row>
    <row r="806" spans="1:16" x14ac:dyDescent="0.25">
      <c r="A806" s="5"/>
      <c r="B806" s="22"/>
      <c r="C806" s="22"/>
      <c r="D806" s="18"/>
      <c r="E806" s="24"/>
      <c r="F806" s="13"/>
      <c r="G806" s="13"/>
      <c r="H806" s="7"/>
      <c r="I806" s="13"/>
      <c r="J806" s="9"/>
      <c r="K806" s="10"/>
      <c r="L806" s="10"/>
      <c r="M806" s="11"/>
      <c r="N806" s="10"/>
      <c r="O806" s="42"/>
      <c r="P806" s="10"/>
    </row>
    <row r="807" spans="1:16" x14ac:dyDescent="0.25">
      <c r="A807" s="5"/>
      <c r="B807" s="22"/>
      <c r="C807" s="22"/>
      <c r="D807" s="18"/>
      <c r="E807" s="24"/>
      <c r="F807" s="13"/>
      <c r="G807" s="13"/>
      <c r="H807" s="7"/>
      <c r="I807" s="13"/>
      <c r="J807" s="9"/>
      <c r="K807" s="10"/>
      <c r="L807" s="10"/>
      <c r="M807" s="11"/>
      <c r="N807" s="10"/>
      <c r="O807" s="42"/>
      <c r="P807" s="10"/>
    </row>
    <row r="808" spans="1:16" x14ac:dyDescent="0.25">
      <c r="A808" s="5"/>
      <c r="B808" s="22"/>
      <c r="C808" s="22"/>
      <c r="D808" s="18"/>
      <c r="E808" s="24"/>
      <c r="F808" s="13"/>
      <c r="G808" s="13"/>
      <c r="H808" s="7"/>
      <c r="I808" s="13"/>
      <c r="J808" s="9"/>
      <c r="K808" s="10"/>
      <c r="L808" s="10"/>
      <c r="M808" s="11"/>
      <c r="N808" s="10"/>
      <c r="O808" s="42"/>
      <c r="P808" s="10"/>
    </row>
    <row r="809" spans="1:16" x14ac:dyDescent="0.25">
      <c r="A809" s="5"/>
      <c r="B809" s="22"/>
      <c r="C809" s="22"/>
      <c r="D809" s="18"/>
      <c r="E809" s="24"/>
      <c r="F809" s="13"/>
      <c r="G809" s="13"/>
      <c r="H809" s="7"/>
      <c r="I809" s="13"/>
      <c r="J809" s="9"/>
      <c r="K809" s="10"/>
      <c r="L809" s="10"/>
      <c r="M809" s="11"/>
      <c r="N809" s="10"/>
      <c r="O809" s="42"/>
      <c r="P809" s="10"/>
    </row>
    <row r="810" spans="1:16" x14ac:dyDescent="0.25">
      <c r="A810" s="5"/>
      <c r="B810" s="22"/>
      <c r="C810" s="22"/>
      <c r="D810" s="18"/>
      <c r="E810" s="24"/>
      <c r="F810" s="13"/>
      <c r="G810" s="13"/>
      <c r="H810" s="7"/>
      <c r="I810" s="13"/>
      <c r="J810" s="9"/>
      <c r="K810" s="10"/>
      <c r="L810" s="10"/>
      <c r="M810" s="11"/>
      <c r="N810" s="10"/>
      <c r="O810" s="42"/>
      <c r="P810" s="10"/>
    </row>
    <row r="811" spans="1:16" x14ac:dyDescent="0.25">
      <c r="A811" s="5"/>
      <c r="B811" s="22"/>
      <c r="C811" s="22"/>
      <c r="D811" s="18"/>
      <c r="E811" s="24"/>
      <c r="F811" s="13"/>
      <c r="G811" s="13"/>
      <c r="H811" s="7"/>
      <c r="I811" s="13"/>
      <c r="J811" s="9"/>
      <c r="K811" s="10"/>
      <c r="L811" s="10"/>
      <c r="M811" s="11"/>
      <c r="N811" s="10"/>
      <c r="O811" s="42"/>
      <c r="P811" s="10"/>
    </row>
    <row r="812" spans="1:16" x14ac:dyDescent="0.25">
      <c r="A812" s="5"/>
      <c r="B812" s="22"/>
      <c r="C812" s="22"/>
      <c r="D812" s="18"/>
      <c r="E812" s="24"/>
      <c r="F812" s="13"/>
      <c r="G812" s="13"/>
      <c r="H812" s="7"/>
      <c r="I812" s="13"/>
      <c r="J812" s="9"/>
      <c r="K812" s="10"/>
      <c r="L812" s="10"/>
      <c r="M812" s="11"/>
      <c r="N812" s="10"/>
      <c r="O812" s="42"/>
      <c r="P812" s="10"/>
    </row>
    <row r="813" spans="1:16" x14ac:dyDescent="0.25">
      <c r="A813" s="5"/>
      <c r="B813" s="22"/>
      <c r="C813" s="22"/>
      <c r="D813" s="18"/>
      <c r="E813" s="24"/>
      <c r="F813" s="13"/>
      <c r="G813" s="13"/>
      <c r="H813" s="7"/>
      <c r="I813" s="13"/>
      <c r="J813" s="9"/>
      <c r="K813" s="10"/>
      <c r="L813" s="10"/>
      <c r="M813" s="11"/>
      <c r="N813" s="10"/>
      <c r="O813" s="42"/>
      <c r="P813" s="10"/>
    </row>
    <row r="814" spans="1:16" x14ac:dyDescent="0.25">
      <c r="A814" s="5"/>
      <c r="B814" s="22"/>
      <c r="C814" s="22"/>
      <c r="D814" s="18"/>
      <c r="E814" s="24"/>
      <c r="F814" s="13"/>
      <c r="G814" s="13"/>
      <c r="H814" s="7"/>
      <c r="I814" s="13"/>
      <c r="J814" s="9"/>
      <c r="K814" s="10"/>
      <c r="L814" s="10"/>
      <c r="M814" s="11"/>
      <c r="N814" s="10"/>
      <c r="O814" s="42"/>
      <c r="P814" s="10"/>
    </row>
    <row r="815" spans="1:16" x14ac:dyDescent="0.25">
      <c r="A815" s="5"/>
      <c r="B815" s="22"/>
      <c r="C815" s="22"/>
      <c r="D815" s="18"/>
      <c r="E815" s="24"/>
      <c r="F815" s="13"/>
      <c r="G815" s="13"/>
      <c r="H815" s="7"/>
      <c r="I815" s="13"/>
      <c r="J815" s="9"/>
      <c r="K815" s="10"/>
      <c r="L815" s="10"/>
      <c r="M815" s="11"/>
      <c r="N815" s="10"/>
      <c r="O815" s="42"/>
      <c r="P815" s="10"/>
    </row>
    <row r="816" spans="1:16" x14ac:dyDescent="0.25">
      <c r="A816" s="5"/>
      <c r="B816" s="22"/>
      <c r="C816" s="22"/>
      <c r="D816" s="18"/>
      <c r="E816" s="24"/>
      <c r="F816" s="13"/>
      <c r="G816" s="13"/>
      <c r="H816" s="7"/>
      <c r="I816" s="13"/>
      <c r="J816" s="9"/>
      <c r="K816" s="10"/>
      <c r="L816" s="10"/>
      <c r="M816" s="11"/>
      <c r="N816" s="10"/>
      <c r="O816" s="42"/>
      <c r="P816" s="10"/>
    </row>
    <row r="817" spans="1:16" x14ac:dyDescent="0.25">
      <c r="A817" s="5"/>
      <c r="B817" s="22"/>
      <c r="C817" s="22"/>
      <c r="D817" s="18"/>
      <c r="E817" s="24"/>
      <c r="F817" s="13"/>
      <c r="G817" s="13"/>
      <c r="H817" s="7"/>
      <c r="I817" s="13"/>
      <c r="J817" s="9"/>
      <c r="K817" s="10"/>
      <c r="L817" s="10"/>
      <c r="M817" s="11"/>
      <c r="N817" s="10"/>
      <c r="O817" s="42"/>
      <c r="P817" s="10"/>
    </row>
    <row r="818" spans="1:16" x14ac:dyDescent="0.25">
      <c r="A818" s="5"/>
      <c r="B818" s="22"/>
      <c r="C818" s="22"/>
      <c r="D818" s="18"/>
      <c r="E818" s="24"/>
      <c r="F818" s="13"/>
      <c r="G818" s="13"/>
      <c r="H818" s="7"/>
      <c r="I818" s="13"/>
      <c r="J818" s="9"/>
      <c r="K818" s="10"/>
      <c r="L818" s="10"/>
      <c r="M818" s="11"/>
      <c r="N818" s="10"/>
      <c r="O818" s="42"/>
      <c r="P818" s="10"/>
    </row>
    <row r="819" spans="1:16" x14ac:dyDescent="0.25">
      <c r="A819" s="5"/>
      <c r="B819" s="22"/>
      <c r="C819" s="22"/>
      <c r="D819" s="18"/>
      <c r="E819" s="24"/>
      <c r="F819" s="13"/>
      <c r="G819" s="13"/>
      <c r="H819" s="7"/>
      <c r="I819" s="13"/>
      <c r="J819" s="9"/>
      <c r="K819" s="10"/>
      <c r="L819" s="10"/>
      <c r="M819" s="11"/>
      <c r="N819" s="10"/>
      <c r="O819" s="42"/>
      <c r="P819" s="10"/>
    </row>
    <row r="820" spans="1:16" x14ac:dyDescent="0.25">
      <c r="A820" s="5"/>
      <c r="B820" s="22"/>
      <c r="C820" s="22"/>
      <c r="D820" s="18"/>
      <c r="E820" s="24"/>
      <c r="F820" s="13"/>
      <c r="G820" s="13"/>
      <c r="H820" s="7"/>
      <c r="I820" s="13"/>
      <c r="J820" s="9"/>
      <c r="K820" s="10"/>
      <c r="L820" s="10"/>
      <c r="M820" s="11"/>
      <c r="N820" s="10"/>
      <c r="O820" s="42"/>
      <c r="P820" s="10"/>
    </row>
    <row r="821" spans="1:16" x14ac:dyDescent="0.25">
      <c r="A821" s="5"/>
      <c r="B821" s="22"/>
      <c r="C821" s="22"/>
      <c r="D821" s="18"/>
      <c r="E821" s="24"/>
      <c r="F821" s="13"/>
      <c r="G821" s="13"/>
      <c r="H821" s="7"/>
      <c r="I821" s="13"/>
      <c r="J821" s="9"/>
      <c r="K821" s="10"/>
      <c r="L821" s="10"/>
      <c r="M821" s="11"/>
      <c r="N821" s="10"/>
      <c r="O821" s="42"/>
      <c r="P821" s="10"/>
    </row>
    <row r="822" spans="1:16" x14ac:dyDescent="0.25">
      <c r="A822" s="5"/>
      <c r="B822" s="22"/>
      <c r="C822" s="22"/>
      <c r="D822" s="18"/>
      <c r="E822" s="24"/>
      <c r="F822" s="13"/>
      <c r="G822" s="13"/>
      <c r="H822" s="7"/>
      <c r="I822" s="13"/>
      <c r="J822" s="9"/>
      <c r="K822" s="10"/>
      <c r="L822" s="10"/>
      <c r="M822" s="11"/>
      <c r="N822" s="10"/>
      <c r="O822" s="42"/>
      <c r="P822" s="10"/>
    </row>
    <row r="823" spans="1:16" x14ac:dyDescent="0.25">
      <c r="A823" s="5"/>
      <c r="B823" s="22"/>
      <c r="C823" s="22"/>
      <c r="D823" s="18"/>
      <c r="E823" s="24"/>
      <c r="F823" s="13"/>
      <c r="G823" s="13"/>
      <c r="H823" s="7"/>
      <c r="I823" s="13"/>
      <c r="J823" s="9"/>
      <c r="K823" s="10"/>
      <c r="L823" s="10"/>
      <c r="M823" s="11"/>
      <c r="N823" s="10"/>
      <c r="O823" s="42"/>
      <c r="P823" s="10"/>
    </row>
    <row r="824" spans="1:16" x14ac:dyDescent="0.25">
      <c r="A824" s="5"/>
      <c r="B824" s="22"/>
      <c r="C824" s="22"/>
      <c r="D824" s="18"/>
      <c r="E824" s="24"/>
      <c r="F824" s="13"/>
      <c r="G824" s="13"/>
      <c r="H824" s="7"/>
      <c r="I824" s="13"/>
      <c r="J824" s="9"/>
      <c r="K824" s="10"/>
      <c r="L824" s="10"/>
      <c r="M824" s="11"/>
      <c r="N824" s="10"/>
      <c r="O824" s="42"/>
      <c r="P824" s="10"/>
    </row>
    <row r="825" spans="1:16" x14ac:dyDescent="0.25">
      <c r="A825" s="5"/>
      <c r="B825" s="22"/>
      <c r="C825" s="22"/>
      <c r="D825" s="18"/>
      <c r="E825" s="24"/>
      <c r="F825" s="13"/>
      <c r="G825" s="13"/>
      <c r="H825" s="7"/>
      <c r="I825" s="13"/>
      <c r="J825" s="9"/>
      <c r="K825" s="10"/>
      <c r="L825" s="10"/>
      <c r="M825" s="11"/>
      <c r="N825" s="10"/>
      <c r="O825" s="42"/>
      <c r="P825" s="10"/>
    </row>
    <row r="826" spans="1:16" x14ac:dyDescent="0.25">
      <c r="A826" s="5"/>
      <c r="B826" s="22"/>
      <c r="C826" s="22"/>
      <c r="D826" s="18"/>
      <c r="E826" s="24"/>
      <c r="F826" s="13"/>
      <c r="G826" s="13"/>
      <c r="H826" s="7"/>
      <c r="I826" s="13"/>
      <c r="J826" s="9"/>
      <c r="K826" s="10"/>
      <c r="L826" s="10"/>
      <c r="M826" s="11"/>
      <c r="N826" s="10"/>
      <c r="O826" s="42"/>
      <c r="P826" s="10"/>
    </row>
    <row r="827" spans="1:16" x14ac:dyDescent="0.25">
      <c r="A827" s="5"/>
      <c r="B827" s="22"/>
      <c r="C827" s="22"/>
      <c r="D827" s="18"/>
      <c r="E827" s="24"/>
      <c r="F827" s="13"/>
      <c r="G827" s="13"/>
      <c r="H827" s="7"/>
      <c r="I827" s="13"/>
      <c r="J827" s="9"/>
      <c r="K827" s="10"/>
      <c r="L827" s="10"/>
      <c r="M827" s="11"/>
      <c r="N827" s="10"/>
      <c r="O827" s="42"/>
      <c r="P827" s="10"/>
    </row>
    <row r="828" spans="1:16" x14ac:dyDescent="0.25">
      <c r="A828" s="5"/>
      <c r="B828" s="22"/>
      <c r="C828" s="22"/>
      <c r="D828" s="18"/>
      <c r="E828" s="24"/>
      <c r="F828" s="13"/>
      <c r="G828" s="13"/>
      <c r="H828" s="7"/>
      <c r="I828" s="13"/>
      <c r="J828" s="9"/>
      <c r="K828" s="10"/>
      <c r="L828" s="10"/>
      <c r="M828" s="11"/>
      <c r="N828" s="10"/>
      <c r="O828" s="42"/>
      <c r="P828" s="10"/>
    </row>
    <row r="829" spans="1:16" x14ac:dyDescent="0.25">
      <c r="A829" s="5"/>
      <c r="B829" s="22"/>
      <c r="C829" s="22"/>
      <c r="D829" s="18"/>
      <c r="E829" s="24"/>
      <c r="F829" s="13"/>
      <c r="G829" s="13"/>
      <c r="H829" s="7"/>
      <c r="I829" s="13"/>
      <c r="J829" s="9"/>
      <c r="K829" s="10"/>
      <c r="L829" s="10"/>
      <c r="M829" s="11"/>
      <c r="N829" s="10"/>
      <c r="O829" s="42"/>
      <c r="P829" s="10"/>
    </row>
    <row r="830" spans="1:16" x14ac:dyDescent="0.25">
      <c r="A830" s="5"/>
      <c r="B830" s="22"/>
      <c r="C830" s="22"/>
      <c r="D830" s="18"/>
      <c r="E830" s="24"/>
      <c r="F830" s="13"/>
      <c r="G830" s="13"/>
      <c r="H830" s="7"/>
      <c r="I830" s="13"/>
      <c r="J830" s="9"/>
      <c r="K830" s="10"/>
      <c r="L830" s="10"/>
      <c r="M830" s="11"/>
      <c r="N830" s="10"/>
      <c r="O830" s="42"/>
      <c r="P830" s="10"/>
    </row>
    <row r="831" spans="1:16" x14ac:dyDescent="0.25">
      <c r="A831" s="5"/>
      <c r="B831" s="22"/>
      <c r="C831" s="22"/>
      <c r="D831" s="18"/>
      <c r="E831" s="24"/>
      <c r="F831" s="13"/>
      <c r="G831" s="13"/>
      <c r="H831" s="7"/>
      <c r="I831" s="13"/>
      <c r="J831" s="9"/>
      <c r="K831" s="10"/>
      <c r="L831" s="10"/>
      <c r="M831" s="11"/>
      <c r="N831" s="10"/>
      <c r="O831" s="42"/>
      <c r="P831" s="10"/>
    </row>
    <row r="832" spans="1:16" x14ac:dyDescent="0.25">
      <c r="A832" s="5"/>
      <c r="B832" s="22"/>
      <c r="C832" s="22"/>
      <c r="D832" s="18"/>
      <c r="E832" s="24"/>
      <c r="F832" s="13"/>
      <c r="G832" s="13"/>
      <c r="H832" s="7"/>
      <c r="I832" s="13"/>
      <c r="J832" s="9"/>
      <c r="K832" s="10"/>
      <c r="L832" s="10"/>
      <c r="M832" s="11"/>
      <c r="N832" s="10"/>
      <c r="O832" s="42"/>
      <c r="P832" s="10"/>
    </row>
    <row r="833" spans="1:16" x14ac:dyDescent="0.25">
      <c r="A833" s="5"/>
      <c r="B833" s="22"/>
      <c r="C833" s="22"/>
      <c r="D833" s="18"/>
      <c r="E833" s="24"/>
      <c r="F833" s="13"/>
      <c r="G833" s="13"/>
      <c r="H833" s="7"/>
      <c r="I833" s="13"/>
      <c r="J833" s="9"/>
      <c r="K833" s="10"/>
      <c r="L833" s="10"/>
      <c r="M833" s="11"/>
      <c r="N833" s="10"/>
      <c r="O833" s="42"/>
      <c r="P833" s="10"/>
    </row>
    <row r="834" spans="1:16" x14ac:dyDescent="0.25">
      <c r="A834" s="5"/>
      <c r="B834" s="22"/>
      <c r="C834" s="22"/>
      <c r="D834" s="18"/>
      <c r="E834" s="24"/>
      <c r="F834" s="13"/>
      <c r="G834" s="13"/>
      <c r="H834" s="7"/>
      <c r="I834" s="13"/>
      <c r="J834" s="9"/>
      <c r="K834" s="10"/>
      <c r="L834" s="10"/>
      <c r="M834" s="11"/>
      <c r="N834" s="10"/>
      <c r="O834" s="42"/>
      <c r="P834" s="10"/>
    </row>
    <row r="835" spans="1:16" x14ac:dyDescent="0.25">
      <c r="A835" s="5"/>
      <c r="B835" s="22"/>
      <c r="C835" s="22"/>
      <c r="D835" s="18"/>
      <c r="E835" s="24"/>
      <c r="F835" s="13"/>
      <c r="G835" s="13"/>
      <c r="H835" s="7"/>
      <c r="I835" s="13"/>
      <c r="J835" s="9"/>
      <c r="K835" s="10"/>
      <c r="L835" s="10"/>
      <c r="M835" s="11"/>
      <c r="N835" s="10"/>
      <c r="O835" s="42"/>
      <c r="P835" s="10"/>
    </row>
    <row r="836" spans="1:16" x14ac:dyDescent="0.25">
      <c r="A836" s="5"/>
      <c r="B836" s="22"/>
      <c r="C836" s="22"/>
      <c r="D836" s="18"/>
      <c r="E836" s="24"/>
      <c r="F836" s="13"/>
      <c r="G836" s="13"/>
      <c r="H836" s="7"/>
      <c r="I836" s="13"/>
      <c r="J836" s="9"/>
      <c r="K836" s="10"/>
      <c r="L836" s="10"/>
      <c r="M836" s="11"/>
      <c r="N836" s="10"/>
      <c r="O836" s="42"/>
      <c r="P836" s="10"/>
    </row>
    <row r="837" spans="1:16" x14ac:dyDescent="0.25">
      <c r="A837" s="5"/>
      <c r="B837" s="22"/>
      <c r="C837" s="22"/>
      <c r="D837" s="18"/>
      <c r="E837" s="24"/>
      <c r="F837" s="13"/>
      <c r="G837" s="13"/>
      <c r="H837" s="7"/>
      <c r="I837" s="13"/>
      <c r="J837" s="9"/>
      <c r="K837" s="10"/>
      <c r="L837" s="10"/>
      <c r="M837" s="11"/>
      <c r="N837" s="10"/>
      <c r="O837" s="42"/>
      <c r="P837" s="10"/>
    </row>
    <row r="838" spans="1:16" x14ac:dyDescent="0.25">
      <c r="A838" s="5"/>
      <c r="B838" s="22"/>
      <c r="C838" s="22"/>
      <c r="D838" s="18"/>
      <c r="E838" s="24"/>
      <c r="F838" s="13"/>
      <c r="G838" s="13"/>
      <c r="H838" s="7"/>
      <c r="I838" s="13"/>
      <c r="J838" s="9"/>
      <c r="K838" s="10"/>
      <c r="L838" s="10"/>
      <c r="M838" s="11"/>
      <c r="N838" s="10"/>
      <c r="O838" s="42"/>
      <c r="P838" s="10"/>
    </row>
    <row r="839" spans="1:16" x14ac:dyDescent="0.25">
      <c r="A839" s="5"/>
      <c r="B839" s="22"/>
      <c r="C839" s="22"/>
      <c r="D839" s="18"/>
      <c r="E839" s="24"/>
      <c r="F839" s="13"/>
      <c r="G839" s="13"/>
      <c r="H839" s="7"/>
      <c r="I839" s="13"/>
      <c r="J839" s="9"/>
      <c r="K839" s="10"/>
      <c r="L839" s="10"/>
      <c r="M839" s="11"/>
      <c r="N839" s="10"/>
      <c r="O839" s="42"/>
      <c r="P839" s="10"/>
    </row>
    <row r="840" spans="1:16" x14ac:dyDescent="0.25">
      <c r="A840" s="5"/>
      <c r="B840" s="22"/>
      <c r="C840" s="22"/>
      <c r="D840" s="18"/>
      <c r="E840" s="24"/>
      <c r="F840" s="13"/>
      <c r="G840" s="13"/>
      <c r="H840" s="7"/>
      <c r="I840" s="13"/>
      <c r="J840" s="9"/>
      <c r="K840" s="10"/>
      <c r="L840" s="10"/>
      <c r="M840" s="11"/>
      <c r="N840" s="10"/>
      <c r="O840" s="42"/>
      <c r="P840" s="10"/>
    </row>
    <row r="841" spans="1:16" x14ac:dyDescent="0.25">
      <c r="A841" s="5"/>
      <c r="B841" s="22"/>
      <c r="C841" s="22"/>
      <c r="D841" s="18"/>
      <c r="E841" s="24"/>
      <c r="F841" s="13"/>
      <c r="G841" s="13"/>
      <c r="H841" s="7"/>
      <c r="I841" s="13"/>
      <c r="J841" s="9"/>
      <c r="K841" s="10"/>
      <c r="L841" s="10"/>
      <c r="M841" s="11"/>
      <c r="N841" s="10"/>
      <c r="O841" s="42"/>
      <c r="P841" s="10"/>
    </row>
    <row r="842" spans="1:16" x14ac:dyDescent="0.25">
      <c r="A842" s="5"/>
      <c r="B842" s="22"/>
      <c r="C842" s="22"/>
      <c r="D842" s="18"/>
      <c r="E842" s="24"/>
      <c r="F842" s="13"/>
      <c r="G842" s="13"/>
      <c r="H842" s="7"/>
      <c r="I842" s="13"/>
      <c r="J842" s="9"/>
      <c r="K842" s="10"/>
      <c r="L842" s="10"/>
      <c r="M842" s="11"/>
      <c r="N842" s="10"/>
      <c r="O842" s="42"/>
      <c r="P842" s="10"/>
    </row>
    <row r="843" spans="1:16" x14ac:dyDescent="0.25">
      <c r="A843" s="5"/>
      <c r="B843" s="22"/>
      <c r="C843" s="22"/>
      <c r="D843" s="18"/>
      <c r="E843" s="24"/>
      <c r="F843" s="13"/>
      <c r="G843" s="13"/>
      <c r="H843" s="7"/>
      <c r="I843" s="13"/>
      <c r="J843" s="9"/>
      <c r="K843" s="10"/>
      <c r="L843" s="10"/>
      <c r="M843" s="11"/>
      <c r="N843" s="10"/>
      <c r="O843" s="42"/>
      <c r="P843" s="10"/>
    </row>
    <row r="844" spans="1:16" x14ac:dyDescent="0.25">
      <c r="A844" s="5"/>
      <c r="B844" s="22"/>
      <c r="C844" s="22"/>
      <c r="D844" s="18"/>
      <c r="E844" s="24"/>
      <c r="F844" s="13"/>
      <c r="G844" s="13"/>
      <c r="H844" s="7"/>
      <c r="I844" s="13"/>
      <c r="J844" s="9"/>
      <c r="K844" s="10"/>
      <c r="L844" s="10"/>
      <c r="M844" s="11"/>
      <c r="N844" s="10"/>
      <c r="O844" s="42"/>
      <c r="P844" s="10"/>
    </row>
    <row r="845" spans="1:16" x14ac:dyDescent="0.25">
      <c r="A845" s="5"/>
      <c r="B845" s="22"/>
      <c r="C845" s="22"/>
      <c r="D845" s="18"/>
      <c r="E845" s="24"/>
      <c r="F845" s="13"/>
      <c r="G845" s="13"/>
      <c r="H845" s="7"/>
      <c r="I845" s="13"/>
      <c r="J845" s="9"/>
      <c r="K845" s="10"/>
      <c r="L845" s="10"/>
      <c r="M845" s="11"/>
      <c r="N845" s="10"/>
      <c r="O845" s="42"/>
      <c r="P845" s="10"/>
    </row>
    <row r="846" spans="1:16" x14ac:dyDescent="0.25">
      <c r="A846" s="5"/>
      <c r="B846" s="22"/>
      <c r="C846" s="22"/>
      <c r="D846" s="18"/>
      <c r="E846" s="24"/>
      <c r="F846" s="13"/>
      <c r="G846" s="13"/>
      <c r="H846" s="7"/>
      <c r="I846" s="13"/>
      <c r="J846" s="9"/>
      <c r="K846" s="10"/>
      <c r="L846" s="10"/>
      <c r="M846" s="11"/>
      <c r="N846" s="10"/>
      <c r="O846" s="42"/>
      <c r="P846" s="10"/>
    </row>
    <row r="847" spans="1:16" x14ac:dyDescent="0.25">
      <c r="A847" s="5"/>
      <c r="B847" s="22"/>
      <c r="C847" s="22"/>
      <c r="D847" s="18"/>
      <c r="E847" s="24"/>
      <c r="F847" s="13"/>
      <c r="G847" s="13"/>
      <c r="H847" s="7"/>
      <c r="I847" s="13"/>
      <c r="J847" s="9"/>
      <c r="K847" s="10"/>
      <c r="L847" s="10"/>
      <c r="M847" s="11"/>
      <c r="N847" s="10"/>
      <c r="O847" s="42"/>
      <c r="P847" s="10"/>
    </row>
    <row r="848" spans="1:16" x14ac:dyDescent="0.25">
      <c r="A848" s="5"/>
      <c r="B848" s="22"/>
      <c r="C848" s="22"/>
      <c r="D848" s="18"/>
      <c r="E848" s="24"/>
      <c r="F848" s="13"/>
      <c r="G848" s="13"/>
      <c r="H848" s="7"/>
      <c r="I848" s="13"/>
      <c r="J848" s="9"/>
      <c r="K848" s="10"/>
      <c r="L848" s="10"/>
      <c r="M848" s="11"/>
      <c r="N848" s="10"/>
      <c r="O848" s="42"/>
      <c r="P848" s="10"/>
    </row>
    <row r="849" spans="1:16" x14ac:dyDescent="0.25">
      <c r="A849" s="5"/>
      <c r="B849" s="22"/>
      <c r="C849" s="22"/>
      <c r="D849" s="18"/>
      <c r="E849" s="24"/>
      <c r="F849" s="13"/>
      <c r="G849" s="13"/>
      <c r="H849" s="7"/>
      <c r="I849" s="13"/>
      <c r="J849" s="9"/>
      <c r="K849" s="10"/>
      <c r="L849" s="10"/>
      <c r="M849" s="11"/>
      <c r="N849" s="10"/>
      <c r="O849" s="42"/>
      <c r="P849" s="10"/>
    </row>
    <row r="850" spans="1:16" x14ac:dyDescent="0.25">
      <c r="A850" s="5"/>
      <c r="B850" s="22"/>
      <c r="C850" s="22"/>
      <c r="D850" s="18"/>
      <c r="E850" s="24"/>
      <c r="F850" s="13"/>
      <c r="G850" s="13"/>
      <c r="H850" s="7"/>
      <c r="I850" s="13"/>
      <c r="J850" s="9"/>
      <c r="K850" s="10"/>
      <c r="L850" s="10"/>
      <c r="M850" s="11"/>
      <c r="N850" s="10"/>
      <c r="O850" s="42"/>
      <c r="P850" s="10"/>
    </row>
    <row r="851" spans="1:16" x14ac:dyDescent="0.25">
      <c r="A851" s="5"/>
      <c r="B851" s="22"/>
      <c r="C851" s="22"/>
      <c r="D851" s="18"/>
      <c r="E851" s="24"/>
      <c r="F851" s="13"/>
      <c r="G851" s="13"/>
      <c r="H851" s="7"/>
      <c r="I851" s="13"/>
      <c r="J851" s="9"/>
      <c r="K851" s="10"/>
      <c r="L851" s="10"/>
      <c r="M851" s="11"/>
      <c r="N851" s="10"/>
      <c r="O851" s="42"/>
      <c r="P851" s="10"/>
    </row>
    <row r="852" spans="1:16" x14ac:dyDescent="0.25">
      <c r="A852" s="5"/>
      <c r="B852" s="22"/>
      <c r="C852" s="22"/>
      <c r="D852" s="18"/>
      <c r="E852" s="24"/>
      <c r="F852" s="13"/>
      <c r="G852" s="13"/>
      <c r="H852" s="7"/>
      <c r="I852" s="13"/>
      <c r="J852" s="9"/>
      <c r="K852" s="10"/>
      <c r="L852" s="10"/>
      <c r="M852" s="11"/>
      <c r="N852" s="10"/>
      <c r="O852" s="42"/>
      <c r="P852" s="10"/>
    </row>
    <row r="853" spans="1:16" x14ac:dyDescent="0.25">
      <c r="A853" s="5"/>
      <c r="B853" s="22"/>
      <c r="C853" s="22"/>
      <c r="D853" s="18"/>
      <c r="E853" s="24"/>
      <c r="F853" s="13"/>
      <c r="G853" s="13"/>
      <c r="H853" s="7"/>
      <c r="I853" s="13"/>
      <c r="J853" s="9"/>
      <c r="K853" s="10"/>
      <c r="L853" s="10"/>
      <c r="M853" s="11"/>
      <c r="N853" s="10"/>
      <c r="O853" s="42"/>
      <c r="P853" s="10"/>
    </row>
    <row r="854" spans="1:16" x14ac:dyDescent="0.25">
      <c r="A854" s="5"/>
      <c r="B854" s="22"/>
      <c r="C854" s="22"/>
      <c r="D854" s="18"/>
      <c r="E854" s="24"/>
      <c r="F854" s="13"/>
      <c r="G854" s="13"/>
      <c r="H854" s="7"/>
      <c r="I854" s="13"/>
      <c r="J854" s="9"/>
      <c r="K854" s="10"/>
      <c r="L854" s="10"/>
      <c r="M854" s="11"/>
      <c r="N854" s="10"/>
      <c r="O854" s="42"/>
      <c r="P854" s="10"/>
    </row>
    <row r="855" spans="1:16" x14ac:dyDescent="0.25">
      <c r="A855" s="5"/>
      <c r="B855" s="22"/>
      <c r="C855" s="22"/>
      <c r="D855" s="18"/>
      <c r="E855" s="24"/>
      <c r="F855" s="13"/>
      <c r="G855" s="13"/>
      <c r="H855" s="7"/>
      <c r="I855" s="13"/>
      <c r="J855" s="9"/>
      <c r="K855" s="10"/>
      <c r="L855" s="10"/>
      <c r="M855" s="11"/>
      <c r="N855" s="10"/>
      <c r="O855" s="42"/>
      <c r="P855" s="10"/>
    </row>
    <row r="856" spans="1:16" x14ac:dyDescent="0.25">
      <c r="A856" s="5"/>
      <c r="B856" s="22"/>
      <c r="C856" s="22"/>
      <c r="D856" s="19"/>
      <c r="E856" s="24"/>
      <c r="F856" s="13"/>
      <c r="G856" s="13"/>
      <c r="H856" s="7"/>
      <c r="I856" s="13"/>
      <c r="J856" s="9"/>
      <c r="K856" s="10"/>
      <c r="L856" s="10"/>
      <c r="M856" s="11"/>
      <c r="N856" s="10"/>
      <c r="O856" s="42"/>
      <c r="P856" s="10"/>
    </row>
    <row r="857" spans="1:16" x14ac:dyDescent="0.25">
      <c r="A857" s="5"/>
      <c r="B857" s="22"/>
      <c r="C857" s="22"/>
      <c r="D857" s="18"/>
      <c r="E857" s="24"/>
      <c r="F857" s="13"/>
      <c r="G857" s="13"/>
      <c r="H857" s="7"/>
      <c r="I857" s="13"/>
      <c r="J857" s="9"/>
      <c r="K857" s="10"/>
      <c r="L857" s="10"/>
      <c r="M857" s="11"/>
      <c r="N857" s="10"/>
      <c r="O857" s="42"/>
      <c r="P857" s="10"/>
    </row>
    <row r="858" spans="1:16" x14ac:dyDescent="0.25">
      <c r="A858" s="5"/>
      <c r="B858" s="22"/>
      <c r="C858" s="22"/>
      <c r="D858" s="18"/>
      <c r="E858" s="24"/>
      <c r="F858" s="13"/>
      <c r="G858" s="13"/>
      <c r="H858" s="7"/>
      <c r="I858" s="13"/>
      <c r="J858" s="9"/>
      <c r="K858" s="10"/>
      <c r="L858" s="10"/>
      <c r="M858" s="11"/>
      <c r="N858" s="10"/>
      <c r="O858" s="42"/>
      <c r="P858" s="10"/>
    </row>
    <row r="859" spans="1:16" x14ac:dyDescent="0.25">
      <c r="A859" s="5"/>
      <c r="B859" s="22"/>
      <c r="C859" s="22"/>
      <c r="D859" s="18"/>
      <c r="E859" s="24"/>
      <c r="F859" s="13"/>
      <c r="G859" s="13"/>
      <c r="H859" s="7"/>
      <c r="I859" s="13"/>
      <c r="J859" s="9"/>
      <c r="K859" s="10"/>
      <c r="L859" s="10"/>
      <c r="M859" s="11"/>
      <c r="N859" s="10"/>
      <c r="O859" s="42"/>
      <c r="P859" s="10"/>
    </row>
    <row r="860" spans="1:16" x14ac:dyDescent="0.25">
      <c r="A860" s="5"/>
      <c r="B860" s="22"/>
      <c r="C860" s="22"/>
      <c r="D860" s="18"/>
      <c r="E860" s="24"/>
      <c r="F860" s="13"/>
      <c r="G860" s="13"/>
      <c r="H860" s="7"/>
      <c r="I860" s="13"/>
      <c r="J860" s="9"/>
      <c r="K860" s="10"/>
      <c r="L860" s="10"/>
      <c r="M860" s="11"/>
      <c r="N860" s="10"/>
      <c r="O860" s="42"/>
      <c r="P860" s="10"/>
    </row>
    <row r="861" spans="1:16" x14ac:dyDescent="0.25">
      <c r="A861" s="5"/>
      <c r="B861" s="22"/>
      <c r="C861" s="22"/>
      <c r="D861" s="18"/>
      <c r="E861" s="24"/>
      <c r="F861" s="13"/>
      <c r="G861" s="13"/>
      <c r="H861" s="7"/>
      <c r="I861" s="13"/>
      <c r="J861" s="9"/>
      <c r="K861" s="10"/>
      <c r="L861" s="10"/>
      <c r="M861" s="11"/>
      <c r="N861" s="10"/>
      <c r="O861" s="42"/>
      <c r="P861" s="10"/>
    </row>
    <row r="862" spans="1:16" x14ac:dyDescent="0.25">
      <c r="A862" s="5"/>
      <c r="B862" s="22"/>
      <c r="C862" s="22"/>
      <c r="D862" s="18"/>
      <c r="E862" s="24"/>
      <c r="F862" s="13"/>
      <c r="G862" s="13"/>
      <c r="H862" s="7"/>
      <c r="I862" s="13"/>
      <c r="J862" s="9"/>
      <c r="K862" s="10"/>
      <c r="L862" s="10"/>
      <c r="M862" s="11"/>
      <c r="N862" s="10"/>
      <c r="O862" s="42"/>
      <c r="P862" s="10"/>
    </row>
    <row r="863" spans="1:16" x14ac:dyDescent="0.25">
      <c r="A863" s="5"/>
      <c r="B863" s="22"/>
      <c r="C863" s="22"/>
      <c r="D863" s="18"/>
      <c r="E863" s="24"/>
      <c r="F863" s="13"/>
      <c r="G863" s="13"/>
      <c r="H863" s="7"/>
      <c r="I863" s="13"/>
      <c r="J863" s="9"/>
      <c r="K863" s="10"/>
      <c r="L863" s="10"/>
      <c r="M863" s="11"/>
      <c r="N863" s="10"/>
      <c r="O863" s="42"/>
      <c r="P863" s="10"/>
    </row>
    <row r="864" spans="1:16" x14ac:dyDescent="0.25">
      <c r="A864" s="5"/>
      <c r="B864" s="22"/>
      <c r="C864" s="22"/>
      <c r="D864" s="18"/>
      <c r="E864" s="24"/>
      <c r="F864" s="13"/>
      <c r="G864" s="13"/>
      <c r="H864" s="7"/>
      <c r="I864" s="13"/>
      <c r="J864" s="9"/>
      <c r="K864" s="10"/>
      <c r="L864" s="10"/>
      <c r="M864" s="11"/>
      <c r="N864" s="10"/>
      <c r="O864" s="42"/>
      <c r="P864" s="10"/>
    </row>
    <row r="865" spans="1:16" x14ac:dyDescent="0.25">
      <c r="A865" s="5"/>
      <c r="B865" s="22"/>
      <c r="C865" s="22"/>
      <c r="D865" s="18"/>
      <c r="E865" s="24"/>
      <c r="F865" s="13"/>
      <c r="G865" s="13"/>
      <c r="H865" s="7"/>
      <c r="I865" s="13"/>
      <c r="J865" s="9"/>
      <c r="K865" s="10"/>
      <c r="L865" s="10"/>
      <c r="M865" s="11"/>
      <c r="N865" s="10"/>
      <c r="O865" s="42"/>
      <c r="P865" s="10"/>
    </row>
    <row r="866" spans="1:16" x14ac:dyDescent="0.25">
      <c r="A866" s="5"/>
      <c r="B866" s="22"/>
      <c r="C866" s="22"/>
      <c r="D866" s="18"/>
      <c r="E866" s="24"/>
      <c r="F866" s="13"/>
      <c r="G866" s="13"/>
      <c r="H866" s="7"/>
      <c r="I866" s="13"/>
      <c r="J866" s="9"/>
      <c r="K866" s="10"/>
      <c r="L866" s="10"/>
      <c r="M866" s="11"/>
      <c r="N866" s="10"/>
      <c r="O866" s="42"/>
      <c r="P866" s="10"/>
    </row>
    <row r="867" spans="1:16" x14ac:dyDescent="0.25">
      <c r="A867" s="5"/>
      <c r="B867" s="22"/>
      <c r="C867" s="22"/>
      <c r="D867" s="18"/>
      <c r="E867" s="24"/>
      <c r="F867" s="13"/>
      <c r="G867" s="13"/>
      <c r="H867" s="7"/>
      <c r="I867" s="13"/>
      <c r="J867" s="9"/>
      <c r="K867" s="10"/>
      <c r="L867" s="10"/>
      <c r="M867" s="11"/>
      <c r="N867" s="10"/>
      <c r="O867" s="42"/>
      <c r="P867" s="10"/>
    </row>
    <row r="868" spans="1:16" x14ac:dyDescent="0.25">
      <c r="A868" s="5"/>
      <c r="B868" s="22"/>
      <c r="C868" s="22"/>
      <c r="D868" s="18"/>
      <c r="E868" s="24"/>
      <c r="F868" s="13"/>
      <c r="G868" s="13"/>
      <c r="H868" s="7"/>
      <c r="I868" s="13"/>
      <c r="J868" s="9"/>
      <c r="K868" s="10"/>
      <c r="L868" s="10"/>
      <c r="M868" s="11"/>
      <c r="N868" s="10"/>
      <c r="O868" s="42"/>
      <c r="P868" s="10"/>
    </row>
    <row r="869" spans="1:16" x14ac:dyDescent="0.25">
      <c r="A869" s="5"/>
      <c r="B869" s="22"/>
      <c r="C869" s="22"/>
      <c r="D869" s="18"/>
      <c r="E869" s="24"/>
      <c r="F869" s="13"/>
      <c r="G869" s="13"/>
      <c r="H869" s="7"/>
      <c r="I869" s="13"/>
      <c r="J869" s="9"/>
      <c r="K869" s="10"/>
      <c r="L869" s="10"/>
      <c r="M869" s="11"/>
      <c r="N869" s="10"/>
      <c r="O869" s="42"/>
      <c r="P869" s="10"/>
    </row>
    <row r="870" spans="1:16" x14ac:dyDescent="0.25">
      <c r="A870" s="5"/>
      <c r="B870" s="22"/>
      <c r="C870" s="22"/>
      <c r="D870" s="18"/>
      <c r="E870" s="24"/>
      <c r="F870" s="13"/>
      <c r="G870" s="13"/>
      <c r="H870" s="7"/>
      <c r="I870" s="13"/>
      <c r="J870" s="9"/>
      <c r="K870" s="10"/>
      <c r="L870" s="10"/>
      <c r="M870" s="11"/>
      <c r="N870" s="10"/>
      <c r="O870" s="42"/>
      <c r="P870" s="10"/>
    </row>
    <row r="871" spans="1:16" x14ac:dyDescent="0.25">
      <c r="A871" s="5"/>
      <c r="B871" s="22"/>
      <c r="C871" s="22"/>
      <c r="D871" s="18"/>
      <c r="E871" s="24"/>
      <c r="F871" s="13"/>
      <c r="G871" s="13"/>
      <c r="H871" s="7"/>
      <c r="I871" s="13"/>
      <c r="J871" s="9"/>
      <c r="K871" s="10"/>
      <c r="L871" s="10"/>
      <c r="M871" s="11"/>
      <c r="N871" s="10"/>
      <c r="O871" s="42"/>
      <c r="P871" s="10"/>
    </row>
    <row r="872" spans="1:16" x14ac:dyDescent="0.25">
      <c r="A872" s="5"/>
      <c r="B872" s="22"/>
      <c r="C872" s="22"/>
      <c r="D872" s="18"/>
      <c r="E872" s="24"/>
      <c r="F872" s="13"/>
      <c r="G872" s="13"/>
      <c r="H872" s="7"/>
      <c r="I872" s="13"/>
      <c r="J872" s="9"/>
      <c r="K872" s="10"/>
      <c r="L872" s="10"/>
      <c r="M872" s="11"/>
      <c r="N872" s="10"/>
      <c r="O872" s="42"/>
      <c r="P872" s="10"/>
    </row>
    <row r="873" spans="1:16" x14ac:dyDescent="0.25">
      <c r="A873" s="5"/>
      <c r="B873" s="22"/>
      <c r="C873" s="22"/>
      <c r="D873" s="18"/>
      <c r="E873" s="24"/>
      <c r="F873" s="13"/>
      <c r="G873" s="13"/>
      <c r="H873" s="7"/>
      <c r="I873" s="13"/>
      <c r="J873" s="9"/>
      <c r="K873" s="10"/>
      <c r="L873" s="10"/>
      <c r="M873" s="11"/>
      <c r="N873" s="10"/>
      <c r="O873" s="42"/>
      <c r="P873" s="10"/>
    </row>
    <row r="874" spans="1:16" x14ac:dyDescent="0.25">
      <c r="A874" s="5"/>
      <c r="B874" s="22"/>
      <c r="C874" s="22"/>
      <c r="D874" s="18"/>
      <c r="E874" s="24"/>
      <c r="F874" s="13"/>
      <c r="G874" s="13"/>
      <c r="H874" s="7"/>
      <c r="I874" s="13"/>
      <c r="J874" s="9"/>
      <c r="K874" s="10"/>
      <c r="L874" s="10"/>
      <c r="M874" s="11"/>
      <c r="N874" s="10"/>
      <c r="O874" s="42"/>
      <c r="P874" s="10"/>
    </row>
    <row r="875" spans="1:16" x14ac:dyDescent="0.25">
      <c r="A875" s="5"/>
      <c r="B875" s="22"/>
      <c r="C875" s="22"/>
      <c r="D875" s="18"/>
      <c r="E875" s="24"/>
      <c r="F875" s="13"/>
      <c r="G875" s="13"/>
      <c r="H875" s="7"/>
      <c r="I875" s="13"/>
      <c r="J875" s="9"/>
      <c r="K875" s="10"/>
      <c r="L875" s="10"/>
      <c r="M875" s="11"/>
      <c r="N875" s="10"/>
      <c r="O875" s="42"/>
      <c r="P875" s="10"/>
    </row>
    <row r="876" spans="1:16" x14ac:dyDescent="0.25">
      <c r="A876" s="5"/>
      <c r="B876" s="22"/>
      <c r="C876" s="22"/>
      <c r="D876" s="18"/>
      <c r="E876" s="24"/>
      <c r="F876" s="13"/>
      <c r="G876" s="13"/>
      <c r="H876" s="7"/>
      <c r="I876" s="13"/>
      <c r="J876" s="9"/>
      <c r="K876" s="10"/>
      <c r="L876" s="10"/>
      <c r="M876" s="11"/>
      <c r="N876" s="10"/>
      <c r="O876" s="42"/>
      <c r="P876" s="10"/>
    </row>
    <row r="877" spans="1:16" x14ac:dyDescent="0.25">
      <c r="A877" s="5"/>
      <c r="B877" s="22"/>
      <c r="C877" s="22"/>
      <c r="D877" s="18"/>
      <c r="E877" s="24"/>
      <c r="F877" s="13"/>
      <c r="G877" s="13"/>
      <c r="H877" s="7"/>
      <c r="I877" s="13"/>
      <c r="J877" s="9"/>
      <c r="K877" s="10"/>
      <c r="L877" s="10"/>
      <c r="M877" s="11"/>
      <c r="N877" s="10"/>
      <c r="O877" s="42"/>
      <c r="P877" s="10"/>
    </row>
    <row r="878" spans="1:16" x14ac:dyDescent="0.25">
      <c r="A878" s="5"/>
      <c r="B878" s="22"/>
      <c r="C878" s="22"/>
      <c r="D878" s="18"/>
      <c r="E878" s="24"/>
      <c r="F878" s="13"/>
      <c r="G878" s="13"/>
      <c r="H878" s="7"/>
      <c r="I878" s="13"/>
      <c r="J878" s="9"/>
      <c r="K878" s="10"/>
      <c r="L878" s="10"/>
      <c r="M878" s="11"/>
      <c r="N878" s="10"/>
      <c r="O878" s="42"/>
      <c r="P878" s="10"/>
    </row>
    <row r="879" spans="1:16" x14ac:dyDescent="0.25">
      <c r="A879" s="5"/>
      <c r="B879" s="22"/>
      <c r="C879" s="22"/>
      <c r="D879" s="18"/>
      <c r="E879" s="24"/>
      <c r="F879" s="13"/>
      <c r="G879" s="13"/>
      <c r="H879" s="7"/>
      <c r="I879" s="13"/>
      <c r="J879" s="9"/>
      <c r="K879" s="10"/>
      <c r="L879" s="10"/>
      <c r="M879" s="11"/>
      <c r="N879" s="10"/>
      <c r="O879" s="42"/>
      <c r="P879" s="10"/>
    </row>
    <row r="880" spans="1:16" x14ac:dyDescent="0.25">
      <c r="A880" s="5"/>
      <c r="B880" s="22"/>
      <c r="C880" s="22"/>
      <c r="D880" s="18"/>
      <c r="E880" s="24"/>
      <c r="F880" s="13"/>
      <c r="G880" s="13"/>
      <c r="H880" s="7"/>
      <c r="I880" s="13"/>
      <c r="J880" s="9"/>
      <c r="K880" s="10"/>
      <c r="L880" s="10"/>
      <c r="M880" s="11"/>
      <c r="N880" s="10"/>
      <c r="O880" s="42"/>
      <c r="P880" s="10"/>
    </row>
    <row r="881" spans="1:16" x14ac:dyDescent="0.25">
      <c r="A881" s="5"/>
      <c r="B881" s="22"/>
      <c r="C881" s="22"/>
      <c r="D881" s="18"/>
      <c r="E881" s="24"/>
      <c r="F881" s="13"/>
      <c r="G881" s="13"/>
      <c r="H881" s="7"/>
      <c r="I881" s="13"/>
      <c r="J881" s="9"/>
      <c r="K881" s="10"/>
      <c r="L881" s="10"/>
      <c r="M881" s="11"/>
      <c r="N881" s="10"/>
      <c r="O881" s="42"/>
      <c r="P881" s="10"/>
    </row>
    <row r="882" spans="1:16" x14ac:dyDescent="0.25">
      <c r="A882" s="5"/>
      <c r="B882" s="22"/>
      <c r="C882" s="22"/>
      <c r="D882" s="18"/>
      <c r="E882" s="24"/>
      <c r="F882" s="13"/>
      <c r="G882" s="13"/>
      <c r="H882" s="7"/>
      <c r="I882" s="13"/>
      <c r="J882" s="9"/>
      <c r="K882" s="10"/>
      <c r="L882" s="10"/>
      <c r="M882" s="11"/>
      <c r="N882" s="10"/>
      <c r="O882" s="42"/>
      <c r="P882" s="10"/>
    </row>
    <row r="883" spans="1:16" x14ac:dyDescent="0.25">
      <c r="A883" s="5"/>
      <c r="B883" s="22"/>
      <c r="C883" s="22"/>
      <c r="D883" s="18"/>
      <c r="E883" s="24"/>
      <c r="F883" s="13"/>
      <c r="G883" s="13"/>
      <c r="H883" s="7"/>
      <c r="I883" s="13"/>
      <c r="J883" s="9"/>
      <c r="K883" s="10"/>
      <c r="L883" s="10"/>
      <c r="M883" s="11"/>
      <c r="N883" s="10"/>
      <c r="O883" s="42"/>
      <c r="P883" s="10"/>
    </row>
    <row r="884" spans="1:16" x14ac:dyDescent="0.25">
      <c r="A884" s="5"/>
      <c r="B884" s="22"/>
      <c r="C884" s="22"/>
      <c r="D884" s="18"/>
      <c r="E884" s="24"/>
      <c r="F884" s="13"/>
      <c r="G884" s="13"/>
      <c r="H884" s="7"/>
      <c r="I884" s="13"/>
      <c r="J884" s="9"/>
      <c r="K884" s="10"/>
      <c r="L884" s="10"/>
      <c r="M884" s="11"/>
      <c r="N884" s="10"/>
      <c r="O884" s="42"/>
      <c r="P884" s="10"/>
    </row>
    <row r="885" spans="1:16" x14ac:dyDescent="0.25">
      <c r="A885" s="5"/>
      <c r="B885" s="22"/>
      <c r="C885" s="22"/>
      <c r="D885" s="18"/>
      <c r="E885" s="24"/>
      <c r="F885" s="13"/>
      <c r="G885" s="13"/>
      <c r="H885" s="7"/>
      <c r="I885" s="13"/>
      <c r="J885" s="9"/>
      <c r="K885" s="10"/>
      <c r="L885" s="10"/>
      <c r="M885" s="11"/>
      <c r="N885" s="10"/>
      <c r="O885" s="42"/>
      <c r="P885" s="10"/>
    </row>
    <row r="886" spans="1:16" x14ac:dyDescent="0.25">
      <c r="A886" s="5"/>
      <c r="B886" s="22"/>
      <c r="C886" s="22"/>
      <c r="D886" s="18"/>
      <c r="E886" s="24"/>
      <c r="F886" s="13"/>
      <c r="G886" s="13"/>
      <c r="H886" s="7"/>
      <c r="I886" s="13"/>
      <c r="J886" s="9"/>
      <c r="K886" s="10"/>
      <c r="L886" s="10"/>
      <c r="M886" s="11"/>
      <c r="N886" s="10"/>
      <c r="O886" s="42"/>
      <c r="P886" s="10"/>
    </row>
    <row r="887" spans="1:16" x14ac:dyDescent="0.25">
      <c r="A887" s="5"/>
      <c r="B887" s="22"/>
      <c r="C887" s="22"/>
      <c r="D887" s="18"/>
      <c r="E887" s="24"/>
      <c r="F887" s="13"/>
      <c r="G887" s="13"/>
      <c r="H887" s="7"/>
      <c r="I887" s="13"/>
      <c r="J887" s="9"/>
      <c r="K887" s="10"/>
      <c r="L887" s="10"/>
      <c r="M887" s="11"/>
      <c r="N887" s="10"/>
      <c r="O887" s="42"/>
      <c r="P887" s="10"/>
    </row>
    <row r="888" spans="1:16" x14ac:dyDescent="0.25">
      <c r="A888" s="5"/>
      <c r="B888" s="22"/>
      <c r="C888" s="22"/>
      <c r="D888" s="18"/>
      <c r="E888" s="24"/>
      <c r="F888" s="13"/>
      <c r="G888" s="13"/>
      <c r="H888" s="7"/>
      <c r="I888" s="13"/>
      <c r="J888" s="9"/>
      <c r="K888" s="10"/>
      <c r="L888" s="10"/>
      <c r="M888" s="11"/>
      <c r="N888" s="10"/>
      <c r="O888" s="42"/>
      <c r="P888" s="10"/>
    </row>
    <row r="889" spans="1:16" x14ac:dyDescent="0.25">
      <c r="A889" s="5"/>
      <c r="B889" s="22"/>
      <c r="C889" s="22"/>
      <c r="D889" s="18"/>
      <c r="E889" s="24"/>
      <c r="F889" s="13"/>
      <c r="G889" s="13"/>
      <c r="H889" s="7"/>
      <c r="I889" s="13"/>
      <c r="J889" s="9"/>
      <c r="K889" s="10"/>
      <c r="L889" s="10"/>
      <c r="M889" s="11"/>
      <c r="N889" s="10"/>
      <c r="O889" s="42"/>
      <c r="P889" s="10"/>
    </row>
    <row r="890" spans="1:16" x14ac:dyDescent="0.25">
      <c r="A890" s="5"/>
      <c r="B890" s="22"/>
      <c r="C890" s="22"/>
      <c r="D890" s="18"/>
      <c r="E890" s="24"/>
      <c r="F890" s="13"/>
      <c r="G890" s="13"/>
      <c r="H890" s="7"/>
      <c r="I890" s="13"/>
      <c r="J890" s="9"/>
      <c r="K890" s="10"/>
      <c r="L890" s="10"/>
      <c r="M890" s="11"/>
      <c r="N890" s="10"/>
      <c r="O890" s="42"/>
      <c r="P890" s="10"/>
    </row>
    <row r="891" spans="1:16" x14ac:dyDescent="0.25">
      <c r="A891" s="5"/>
      <c r="B891" s="22"/>
      <c r="C891" s="22"/>
      <c r="D891" s="18"/>
      <c r="E891" s="24"/>
      <c r="F891" s="13"/>
      <c r="G891" s="13"/>
      <c r="H891" s="7"/>
      <c r="I891" s="13"/>
      <c r="J891" s="9"/>
      <c r="K891" s="10"/>
      <c r="L891" s="10"/>
      <c r="M891" s="11"/>
      <c r="N891" s="10"/>
      <c r="O891" s="42"/>
      <c r="P891" s="10"/>
    </row>
    <row r="892" spans="1:16" x14ac:dyDescent="0.25">
      <c r="A892" s="5"/>
      <c r="B892" s="22"/>
      <c r="C892" s="22"/>
      <c r="D892" s="18"/>
      <c r="E892" s="24"/>
      <c r="F892" s="13"/>
      <c r="G892" s="13"/>
      <c r="H892" s="7"/>
      <c r="I892" s="13"/>
      <c r="J892" s="9"/>
      <c r="K892" s="10"/>
      <c r="L892" s="10"/>
      <c r="M892" s="11"/>
      <c r="N892" s="10"/>
      <c r="O892" s="42"/>
      <c r="P892" s="10"/>
    </row>
    <row r="893" spans="1:16" x14ac:dyDescent="0.25">
      <c r="A893" s="5"/>
      <c r="B893" s="22"/>
      <c r="C893" s="22"/>
      <c r="D893" s="18"/>
      <c r="E893" s="24"/>
      <c r="F893" s="13"/>
      <c r="G893" s="13"/>
      <c r="H893" s="7"/>
      <c r="I893" s="13"/>
      <c r="J893" s="9"/>
      <c r="K893" s="10"/>
      <c r="L893" s="10"/>
      <c r="M893" s="11"/>
      <c r="N893" s="10"/>
      <c r="O893" s="42"/>
      <c r="P893" s="10"/>
    </row>
    <row r="894" spans="1:16" x14ac:dyDescent="0.25">
      <c r="A894" s="5"/>
      <c r="B894" s="22"/>
      <c r="C894" s="22"/>
      <c r="D894" s="18"/>
      <c r="E894" s="24"/>
      <c r="F894" s="13"/>
      <c r="G894" s="13"/>
      <c r="H894" s="7"/>
      <c r="I894" s="13"/>
      <c r="J894" s="9"/>
      <c r="K894" s="10"/>
      <c r="L894" s="10"/>
      <c r="M894" s="11"/>
      <c r="N894" s="10"/>
      <c r="O894" s="42"/>
      <c r="P894" s="10"/>
    </row>
    <row r="895" spans="1:16" x14ac:dyDescent="0.25">
      <c r="A895" s="5"/>
      <c r="B895" s="22"/>
      <c r="C895" s="22"/>
      <c r="D895" s="18"/>
      <c r="E895" s="24"/>
      <c r="F895" s="13"/>
      <c r="G895" s="13"/>
      <c r="H895" s="7"/>
      <c r="I895" s="13"/>
      <c r="J895" s="9"/>
      <c r="K895" s="10"/>
      <c r="L895" s="10"/>
      <c r="M895" s="11"/>
      <c r="N895" s="10"/>
      <c r="O895" s="42"/>
      <c r="P895" s="10"/>
    </row>
    <row r="896" spans="1:16" x14ac:dyDescent="0.25">
      <c r="A896" s="5"/>
      <c r="B896" s="22"/>
      <c r="C896" s="22"/>
      <c r="D896" s="18"/>
      <c r="E896" s="24"/>
      <c r="F896" s="13"/>
      <c r="G896" s="13"/>
      <c r="H896" s="7"/>
      <c r="I896" s="13"/>
      <c r="J896" s="9"/>
      <c r="K896" s="10"/>
      <c r="L896" s="10"/>
      <c r="M896" s="11"/>
      <c r="N896" s="10"/>
      <c r="O896" s="42"/>
      <c r="P896" s="10"/>
    </row>
    <row r="897" spans="1:16" x14ac:dyDescent="0.25">
      <c r="A897" s="5"/>
      <c r="B897" s="22"/>
      <c r="C897" s="22"/>
      <c r="D897" s="18"/>
      <c r="E897" s="24"/>
      <c r="F897" s="13"/>
      <c r="G897" s="13"/>
      <c r="H897" s="7"/>
      <c r="I897" s="13"/>
      <c r="J897" s="9"/>
      <c r="K897" s="10"/>
      <c r="L897" s="10"/>
      <c r="M897" s="11"/>
      <c r="N897" s="10"/>
      <c r="O897" s="42"/>
      <c r="P897" s="10"/>
    </row>
    <row r="898" spans="1:16" x14ac:dyDescent="0.25">
      <c r="A898" s="5"/>
      <c r="B898" s="22"/>
      <c r="C898" s="22"/>
      <c r="D898" s="18"/>
      <c r="E898" s="24"/>
      <c r="F898" s="13"/>
      <c r="G898" s="13"/>
      <c r="H898" s="7"/>
      <c r="I898" s="13"/>
      <c r="J898" s="9"/>
      <c r="K898" s="10"/>
      <c r="L898" s="10"/>
      <c r="M898" s="11"/>
      <c r="N898" s="10"/>
      <c r="O898" s="42"/>
      <c r="P898" s="10"/>
    </row>
    <row r="899" spans="1:16" x14ac:dyDescent="0.25">
      <c r="A899" s="5"/>
      <c r="B899" s="22"/>
      <c r="C899" s="22"/>
      <c r="D899" s="18"/>
      <c r="E899" s="24"/>
      <c r="F899" s="13"/>
      <c r="G899" s="13"/>
      <c r="H899" s="7"/>
      <c r="I899" s="13"/>
      <c r="J899" s="9"/>
      <c r="K899" s="10"/>
      <c r="L899" s="10"/>
      <c r="M899" s="11"/>
      <c r="N899" s="10"/>
      <c r="O899" s="42"/>
      <c r="P899" s="10"/>
    </row>
    <row r="900" spans="1:16" x14ac:dyDescent="0.25">
      <c r="A900" s="5"/>
      <c r="B900" s="22"/>
      <c r="C900" s="22"/>
      <c r="D900" s="18"/>
      <c r="E900" s="24"/>
      <c r="F900" s="13"/>
      <c r="G900" s="13"/>
      <c r="H900" s="7"/>
      <c r="I900" s="13"/>
      <c r="J900" s="9"/>
      <c r="K900" s="10"/>
      <c r="L900" s="10"/>
      <c r="M900" s="11"/>
      <c r="N900" s="10"/>
      <c r="O900" s="42"/>
      <c r="P900" s="10"/>
    </row>
    <row r="901" spans="1:16" x14ac:dyDescent="0.25">
      <c r="A901" s="5"/>
      <c r="B901" s="22"/>
      <c r="C901" s="22"/>
      <c r="D901" s="18"/>
      <c r="E901" s="24"/>
      <c r="F901" s="13"/>
      <c r="G901" s="13"/>
      <c r="H901" s="7"/>
      <c r="I901" s="13"/>
      <c r="J901" s="9"/>
      <c r="K901" s="10"/>
      <c r="L901" s="10"/>
      <c r="M901" s="11"/>
      <c r="N901" s="10"/>
      <c r="O901" s="42"/>
      <c r="P901" s="10"/>
    </row>
    <row r="902" spans="1:16" x14ac:dyDescent="0.25">
      <c r="A902" s="5"/>
      <c r="B902" s="22"/>
      <c r="C902" s="22"/>
      <c r="D902" s="18"/>
      <c r="E902" s="24"/>
      <c r="F902" s="13"/>
      <c r="G902" s="13"/>
      <c r="H902" s="7"/>
      <c r="I902" s="13"/>
      <c r="J902" s="9"/>
      <c r="K902" s="10"/>
      <c r="L902" s="10"/>
      <c r="M902" s="11"/>
      <c r="N902" s="10"/>
      <c r="O902" s="42"/>
      <c r="P902" s="10"/>
    </row>
    <row r="903" spans="1:16" x14ac:dyDescent="0.25">
      <c r="A903" s="5"/>
      <c r="B903" s="22"/>
      <c r="C903" s="22"/>
      <c r="D903" s="18"/>
      <c r="E903" s="24"/>
      <c r="F903" s="13"/>
      <c r="G903" s="13"/>
      <c r="H903" s="7"/>
      <c r="I903" s="13"/>
      <c r="J903" s="9"/>
      <c r="K903" s="10"/>
      <c r="L903" s="10"/>
      <c r="M903" s="11"/>
      <c r="N903" s="10"/>
      <c r="O903" s="42"/>
      <c r="P903" s="10"/>
    </row>
    <row r="904" spans="1:16" x14ac:dyDescent="0.25">
      <c r="A904" s="5"/>
      <c r="B904" s="22"/>
      <c r="C904" s="22"/>
      <c r="D904" s="18"/>
      <c r="E904" s="24"/>
      <c r="F904" s="13"/>
      <c r="G904" s="13"/>
      <c r="H904" s="7"/>
      <c r="I904" s="13"/>
      <c r="J904" s="9"/>
      <c r="K904" s="10"/>
      <c r="L904" s="10"/>
      <c r="M904" s="11"/>
      <c r="N904" s="10"/>
      <c r="O904" s="42"/>
      <c r="P904" s="10"/>
    </row>
    <row r="905" spans="1:16" x14ac:dyDescent="0.25">
      <c r="A905" s="5"/>
      <c r="B905" s="22"/>
      <c r="C905" s="22"/>
      <c r="D905" s="18"/>
      <c r="E905" s="24"/>
      <c r="F905" s="13"/>
      <c r="G905" s="13"/>
      <c r="H905" s="7"/>
      <c r="I905" s="13"/>
      <c r="J905" s="9"/>
      <c r="K905" s="10"/>
      <c r="L905" s="10"/>
      <c r="M905" s="11"/>
      <c r="N905" s="10"/>
      <c r="O905" s="42"/>
      <c r="P905" s="10"/>
    </row>
    <row r="906" spans="1:16" x14ac:dyDescent="0.25">
      <c r="A906" s="5"/>
      <c r="B906" s="22"/>
      <c r="C906" s="22"/>
      <c r="D906" s="18"/>
      <c r="E906" s="24"/>
      <c r="F906" s="13"/>
      <c r="G906" s="13"/>
      <c r="H906" s="7"/>
      <c r="I906" s="13"/>
      <c r="J906" s="9"/>
      <c r="K906" s="10"/>
      <c r="L906" s="10"/>
      <c r="M906" s="11"/>
      <c r="N906" s="10"/>
      <c r="O906" s="42"/>
      <c r="P906" s="10"/>
    </row>
    <row r="907" spans="1:16" x14ac:dyDescent="0.25">
      <c r="A907" s="5"/>
      <c r="B907" s="22"/>
      <c r="C907" s="22"/>
      <c r="D907" s="18"/>
      <c r="E907" s="24"/>
      <c r="F907" s="13"/>
      <c r="G907" s="13"/>
      <c r="H907" s="7"/>
      <c r="I907" s="13"/>
      <c r="J907" s="9"/>
      <c r="K907" s="10"/>
      <c r="L907" s="10"/>
      <c r="M907" s="11"/>
      <c r="N907" s="10"/>
      <c r="O907" s="42"/>
      <c r="P907" s="10"/>
    </row>
    <row r="908" spans="1:16" x14ac:dyDescent="0.25">
      <c r="A908" s="5"/>
      <c r="B908" s="22"/>
      <c r="C908" s="22"/>
      <c r="D908" s="18"/>
      <c r="E908" s="24"/>
      <c r="F908" s="13"/>
      <c r="G908" s="13"/>
      <c r="H908" s="7"/>
      <c r="I908" s="13"/>
      <c r="J908" s="9"/>
      <c r="K908" s="10"/>
      <c r="L908" s="10"/>
      <c r="M908" s="11"/>
      <c r="N908" s="10"/>
      <c r="O908" s="42"/>
      <c r="P908" s="10"/>
    </row>
    <row r="909" spans="1:16" x14ac:dyDescent="0.25">
      <c r="A909" s="5"/>
      <c r="B909" s="22"/>
      <c r="C909" s="22"/>
      <c r="D909" s="18"/>
      <c r="E909" s="24"/>
      <c r="F909" s="13"/>
      <c r="G909" s="13"/>
      <c r="H909" s="7"/>
      <c r="I909" s="13"/>
      <c r="J909" s="9"/>
      <c r="K909" s="10"/>
      <c r="L909" s="10"/>
      <c r="M909" s="11"/>
      <c r="N909" s="10"/>
      <c r="O909" s="42"/>
      <c r="P909" s="10"/>
    </row>
    <row r="910" spans="1:16" x14ac:dyDescent="0.25">
      <c r="A910" s="5"/>
      <c r="B910" s="22"/>
      <c r="C910" s="22"/>
      <c r="D910" s="18"/>
      <c r="E910" s="24"/>
      <c r="F910" s="13"/>
      <c r="G910" s="13"/>
      <c r="H910" s="7"/>
      <c r="I910" s="13"/>
      <c r="J910" s="9"/>
      <c r="K910" s="10"/>
      <c r="L910" s="10"/>
      <c r="M910" s="11"/>
      <c r="N910" s="10"/>
      <c r="O910" s="42"/>
      <c r="P910" s="10"/>
    </row>
    <row r="911" spans="1:16" x14ac:dyDescent="0.25">
      <c r="A911" s="5"/>
      <c r="B911" s="22"/>
      <c r="C911" s="22"/>
      <c r="D911" s="18"/>
      <c r="E911" s="24"/>
      <c r="F911" s="13"/>
      <c r="G911" s="13"/>
      <c r="H911" s="7"/>
      <c r="I911" s="13"/>
      <c r="J911" s="9"/>
      <c r="K911" s="10"/>
      <c r="L911" s="10"/>
      <c r="M911" s="11"/>
      <c r="N911" s="10"/>
      <c r="O911" s="42"/>
      <c r="P911" s="10"/>
    </row>
    <row r="912" spans="1:16" x14ac:dyDescent="0.25">
      <c r="A912" s="5"/>
      <c r="B912" s="22"/>
      <c r="C912" s="22"/>
      <c r="D912" s="18"/>
      <c r="E912" s="24"/>
      <c r="F912" s="13"/>
      <c r="G912" s="13"/>
      <c r="H912" s="7"/>
      <c r="I912" s="13"/>
      <c r="J912" s="9"/>
      <c r="K912" s="10"/>
      <c r="L912" s="10"/>
      <c r="M912" s="11"/>
      <c r="N912" s="10"/>
      <c r="O912" s="42"/>
      <c r="P912" s="10"/>
    </row>
    <row r="913" spans="1:16" x14ac:dyDescent="0.25">
      <c r="A913" s="5"/>
      <c r="B913" s="22"/>
      <c r="C913" s="22"/>
      <c r="D913" s="18"/>
      <c r="E913" s="24"/>
      <c r="F913" s="13"/>
      <c r="G913" s="13"/>
      <c r="H913" s="7"/>
      <c r="I913" s="13"/>
      <c r="J913" s="9"/>
      <c r="K913" s="10"/>
      <c r="L913" s="10"/>
      <c r="M913" s="11"/>
      <c r="N913" s="10"/>
      <c r="O913" s="42"/>
      <c r="P913" s="10"/>
    </row>
    <row r="914" spans="1:16" x14ac:dyDescent="0.25">
      <c r="A914" s="5"/>
      <c r="B914" s="22"/>
      <c r="C914" s="22"/>
      <c r="D914" s="18"/>
      <c r="E914" s="24"/>
      <c r="F914" s="13"/>
      <c r="G914" s="13"/>
      <c r="H914" s="7"/>
      <c r="I914" s="13"/>
      <c r="J914" s="9"/>
      <c r="K914" s="10"/>
      <c r="L914" s="10"/>
      <c r="M914" s="11"/>
      <c r="N914" s="10"/>
      <c r="O914" s="42"/>
      <c r="P914" s="10"/>
    </row>
    <row r="915" spans="1:16" x14ac:dyDescent="0.25">
      <c r="A915" s="5"/>
      <c r="B915" s="22"/>
      <c r="C915" s="22"/>
      <c r="D915" s="18"/>
      <c r="E915" s="24"/>
      <c r="F915" s="13"/>
      <c r="G915" s="13"/>
      <c r="H915" s="7"/>
      <c r="I915" s="13"/>
      <c r="J915" s="9"/>
      <c r="K915" s="10"/>
      <c r="L915" s="10"/>
      <c r="M915" s="11"/>
      <c r="N915" s="10"/>
      <c r="O915" s="42"/>
      <c r="P915" s="10"/>
    </row>
    <row r="916" spans="1:16" x14ac:dyDescent="0.25">
      <c r="A916" s="5"/>
      <c r="B916" s="22"/>
      <c r="C916" s="22"/>
      <c r="D916" s="18"/>
      <c r="E916" s="24"/>
      <c r="F916" s="13"/>
      <c r="G916" s="13"/>
      <c r="H916" s="7"/>
      <c r="I916" s="13"/>
      <c r="J916" s="9"/>
      <c r="K916" s="10"/>
      <c r="L916" s="10"/>
      <c r="M916" s="11"/>
      <c r="N916" s="10"/>
      <c r="O916" s="42"/>
      <c r="P916" s="10"/>
    </row>
    <row r="917" spans="1:16" x14ac:dyDescent="0.25">
      <c r="A917" s="5"/>
      <c r="B917" s="22"/>
      <c r="C917" s="22"/>
      <c r="D917" s="18"/>
      <c r="E917" s="24"/>
      <c r="F917" s="13"/>
      <c r="G917" s="13"/>
      <c r="H917" s="7"/>
      <c r="I917" s="13"/>
      <c r="J917" s="9"/>
      <c r="K917" s="10"/>
      <c r="L917" s="10"/>
      <c r="M917" s="11"/>
      <c r="N917" s="10"/>
      <c r="O917" s="42"/>
      <c r="P917" s="10"/>
    </row>
    <row r="918" spans="1:16" x14ac:dyDescent="0.25">
      <c r="A918" s="5"/>
      <c r="B918" s="22"/>
      <c r="C918" s="22"/>
      <c r="D918" s="18"/>
      <c r="E918" s="24"/>
      <c r="F918" s="13"/>
      <c r="G918" s="13"/>
      <c r="H918" s="7"/>
      <c r="I918" s="13"/>
      <c r="J918" s="9"/>
      <c r="K918" s="10"/>
      <c r="L918" s="10"/>
      <c r="M918" s="11"/>
      <c r="N918" s="10"/>
      <c r="O918" s="42"/>
      <c r="P918" s="10"/>
    </row>
    <row r="919" spans="1:16" x14ac:dyDescent="0.25">
      <c r="A919" s="5"/>
      <c r="B919" s="22"/>
      <c r="C919" s="22"/>
      <c r="D919" s="18"/>
      <c r="E919" s="24"/>
      <c r="F919" s="13"/>
      <c r="G919" s="13"/>
      <c r="H919" s="7"/>
      <c r="I919" s="13"/>
      <c r="J919" s="9"/>
      <c r="K919" s="10"/>
      <c r="L919" s="10"/>
      <c r="M919" s="11"/>
      <c r="N919" s="10"/>
      <c r="O919" s="42"/>
      <c r="P919" s="10"/>
    </row>
    <row r="920" spans="1:16" x14ac:dyDescent="0.25">
      <c r="A920" s="5"/>
      <c r="B920" s="22"/>
      <c r="C920" s="22"/>
      <c r="D920" s="18"/>
      <c r="E920" s="24"/>
      <c r="F920" s="13"/>
      <c r="G920" s="13"/>
      <c r="H920" s="7"/>
      <c r="I920" s="13"/>
      <c r="J920" s="9"/>
      <c r="K920" s="10"/>
      <c r="L920" s="10"/>
      <c r="M920" s="11"/>
      <c r="N920" s="10"/>
      <c r="O920" s="42"/>
      <c r="P920" s="10"/>
    </row>
    <row r="921" spans="1:16" x14ac:dyDescent="0.25">
      <c r="A921" s="5"/>
      <c r="B921" s="22"/>
      <c r="C921" s="22"/>
      <c r="D921" s="18"/>
      <c r="E921" s="24"/>
      <c r="F921" s="13"/>
      <c r="G921" s="13"/>
      <c r="H921" s="7"/>
      <c r="I921" s="13"/>
      <c r="J921" s="9"/>
      <c r="K921" s="10"/>
      <c r="L921" s="10"/>
      <c r="M921" s="11"/>
      <c r="N921" s="10"/>
      <c r="O921" s="42"/>
      <c r="P921" s="10"/>
    </row>
    <row r="922" spans="1:16" x14ac:dyDescent="0.25">
      <c r="A922" s="5"/>
      <c r="B922" s="22"/>
      <c r="C922" s="22"/>
      <c r="D922" s="18"/>
      <c r="E922" s="24"/>
      <c r="F922" s="13"/>
      <c r="G922" s="13"/>
      <c r="H922" s="7"/>
      <c r="I922" s="13"/>
      <c r="J922" s="9"/>
      <c r="K922" s="10"/>
      <c r="L922" s="10"/>
      <c r="M922" s="11"/>
      <c r="N922" s="10"/>
      <c r="O922" s="42"/>
      <c r="P922" s="10"/>
    </row>
    <row r="923" spans="1:16" x14ac:dyDescent="0.25">
      <c r="A923" s="5"/>
      <c r="B923" s="22"/>
      <c r="C923" s="22"/>
      <c r="D923" s="18"/>
      <c r="E923" s="24"/>
      <c r="F923" s="13"/>
      <c r="G923" s="13"/>
      <c r="H923" s="7"/>
      <c r="I923" s="13"/>
      <c r="J923" s="9"/>
      <c r="K923" s="10"/>
      <c r="L923" s="10"/>
      <c r="M923" s="11"/>
      <c r="N923" s="10"/>
      <c r="O923" s="42"/>
      <c r="P923" s="10"/>
    </row>
    <row r="924" spans="1:16" x14ac:dyDescent="0.25">
      <c r="A924" s="5"/>
      <c r="B924" s="22"/>
      <c r="C924" s="22"/>
      <c r="D924" s="18"/>
      <c r="E924" s="24"/>
      <c r="F924" s="13"/>
      <c r="G924" s="13"/>
      <c r="H924" s="7"/>
      <c r="I924" s="13"/>
      <c r="J924" s="9"/>
      <c r="K924" s="10"/>
      <c r="L924" s="10"/>
      <c r="M924" s="11"/>
      <c r="N924" s="10"/>
      <c r="O924" s="42"/>
      <c r="P924" s="10"/>
    </row>
    <row r="925" spans="1:16" x14ac:dyDescent="0.25">
      <c r="A925" s="5"/>
      <c r="B925" s="22"/>
      <c r="C925" s="22"/>
      <c r="D925" s="18"/>
      <c r="E925" s="24"/>
      <c r="F925" s="13"/>
      <c r="G925" s="13"/>
      <c r="H925" s="7"/>
      <c r="I925" s="13"/>
      <c r="J925" s="9"/>
      <c r="K925" s="10"/>
      <c r="L925" s="10"/>
      <c r="M925" s="11"/>
      <c r="N925" s="10"/>
      <c r="O925" s="42"/>
      <c r="P925" s="10"/>
    </row>
    <row r="926" spans="1:16" x14ac:dyDescent="0.25">
      <c r="A926" s="5"/>
      <c r="B926" s="22"/>
      <c r="C926" s="22"/>
      <c r="D926" s="18"/>
      <c r="E926" s="24"/>
      <c r="F926" s="13"/>
      <c r="G926" s="13"/>
      <c r="H926" s="7"/>
      <c r="I926" s="13"/>
      <c r="J926" s="9"/>
      <c r="K926" s="10"/>
      <c r="L926" s="10"/>
      <c r="M926" s="11"/>
      <c r="N926" s="10"/>
      <c r="O926" s="42"/>
      <c r="P926" s="10"/>
    </row>
    <row r="927" spans="1:16" x14ac:dyDescent="0.25">
      <c r="A927" s="5"/>
      <c r="B927" s="22"/>
      <c r="C927" s="22"/>
      <c r="D927" s="18"/>
      <c r="E927" s="24"/>
      <c r="F927" s="13"/>
      <c r="G927" s="13"/>
      <c r="H927" s="7"/>
      <c r="I927" s="13"/>
      <c r="J927" s="9"/>
      <c r="K927" s="10"/>
      <c r="L927" s="10"/>
      <c r="M927" s="11"/>
      <c r="N927" s="10"/>
      <c r="O927" s="42"/>
      <c r="P927" s="10"/>
    </row>
    <row r="928" spans="1:16" x14ac:dyDescent="0.25">
      <c r="A928" s="5"/>
      <c r="B928" s="22"/>
      <c r="C928" s="22"/>
      <c r="D928" s="18"/>
      <c r="E928" s="24"/>
      <c r="F928" s="13"/>
      <c r="G928" s="13"/>
      <c r="H928" s="7"/>
      <c r="I928" s="13"/>
      <c r="J928" s="9"/>
      <c r="K928" s="10"/>
      <c r="L928" s="10"/>
      <c r="M928" s="11"/>
      <c r="N928" s="10"/>
      <c r="O928" s="42"/>
      <c r="P928" s="10"/>
    </row>
    <row r="929" spans="1:16" x14ac:dyDescent="0.25">
      <c r="A929" s="5"/>
      <c r="B929" s="22"/>
      <c r="C929" s="22"/>
      <c r="D929" s="18"/>
      <c r="E929" s="24"/>
      <c r="F929" s="13"/>
      <c r="G929" s="13"/>
      <c r="H929" s="7"/>
      <c r="I929" s="13"/>
      <c r="J929" s="9"/>
      <c r="K929" s="10"/>
      <c r="L929" s="10"/>
      <c r="M929" s="11"/>
      <c r="N929" s="10"/>
      <c r="O929" s="42"/>
      <c r="P929" s="10"/>
    </row>
    <row r="930" spans="1:16" x14ac:dyDescent="0.25">
      <c r="A930" s="5"/>
      <c r="B930" s="22"/>
      <c r="C930" s="22"/>
      <c r="D930" s="18"/>
      <c r="E930" s="24"/>
      <c r="F930" s="13"/>
      <c r="G930" s="13"/>
      <c r="H930" s="7"/>
      <c r="I930" s="13"/>
      <c r="J930" s="9"/>
      <c r="K930" s="10"/>
      <c r="L930" s="10"/>
      <c r="M930" s="11"/>
      <c r="N930" s="10"/>
      <c r="O930" s="42"/>
      <c r="P930" s="10"/>
    </row>
    <row r="931" spans="1:16" x14ac:dyDescent="0.25">
      <c r="A931" s="5"/>
      <c r="B931" s="22"/>
      <c r="C931" s="22"/>
      <c r="D931" s="18"/>
      <c r="E931" s="24"/>
      <c r="F931" s="13"/>
      <c r="G931" s="13"/>
      <c r="H931" s="7"/>
      <c r="I931" s="13"/>
      <c r="J931" s="9"/>
      <c r="K931" s="10"/>
      <c r="L931" s="10"/>
      <c r="M931" s="11"/>
      <c r="N931" s="10"/>
      <c r="O931" s="42"/>
      <c r="P931" s="10"/>
    </row>
    <row r="932" spans="1:16" x14ac:dyDescent="0.25">
      <c r="A932" s="5"/>
      <c r="B932" s="22"/>
      <c r="C932" s="22"/>
      <c r="D932" s="18"/>
      <c r="E932" s="24"/>
      <c r="F932" s="13"/>
      <c r="G932" s="13"/>
      <c r="H932" s="7"/>
      <c r="I932" s="13"/>
      <c r="J932" s="9"/>
      <c r="K932" s="10"/>
      <c r="L932" s="10"/>
      <c r="M932" s="11"/>
      <c r="N932" s="10"/>
      <c r="O932" s="42"/>
      <c r="P932" s="10"/>
    </row>
    <row r="933" spans="1:16" x14ac:dyDescent="0.25">
      <c r="A933" s="5"/>
      <c r="B933" s="22"/>
      <c r="C933" s="22"/>
      <c r="D933" s="18"/>
      <c r="E933" s="24"/>
      <c r="F933" s="13"/>
      <c r="G933" s="13"/>
      <c r="H933" s="7"/>
      <c r="I933" s="13"/>
      <c r="J933" s="9"/>
      <c r="K933" s="10"/>
      <c r="L933" s="10"/>
      <c r="M933" s="11"/>
      <c r="N933" s="10"/>
      <c r="O933" s="42"/>
      <c r="P933" s="10"/>
    </row>
    <row r="934" spans="1:16" x14ac:dyDescent="0.25">
      <c r="A934" s="5"/>
      <c r="B934" s="22"/>
      <c r="C934" s="22"/>
      <c r="D934" s="18"/>
      <c r="E934" s="24"/>
      <c r="F934" s="13"/>
      <c r="G934" s="13"/>
      <c r="H934" s="7"/>
      <c r="I934" s="13"/>
      <c r="J934" s="9"/>
      <c r="K934" s="10"/>
      <c r="L934" s="10"/>
      <c r="M934" s="11"/>
      <c r="N934" s="10"/>
      <c r="O934" s="42"/>
      <c r="P934" s="10"/>
    </row>
    <row r="935" spans="1:16" x14ac:dyDescent="0.25">
      <c r="A935" s="5"/>
      <c r="B935" s="22"/>
      <c r="C935" s="22"/>
      <c r="D935" s="18"/>
      <c r="E935" s="24"/>
      <c r="F935" s="13"/>
      <c r="G935" s="13"/>
      <c r="H935" s="7"/>
      <c r="I935" s="13"/>
      <c r="J935" s="9"/>
      <c r="K935" s="10"/>
      <c r="L935" s="10"/>
      <c r="M935" s="11"/>
      <c r="N935" s="10"/>
      <c r="O935" s="42"/>
      <c r="P935" s="10"/>
    </row>
    <row r="936" spans="1:16" x14ac:dyDescent="0.25">
      <c r="A936" s="5"/>
      <c r="B936" s="22"/>
      <c r="C936" s="22"/>
      <c r="D936" s="18"/>
      <c r="E936" s="24"/>
      <c r="F936" s="13"/>
      <c r="G936" s="13"/>
      <c r="H936" s="7"/>
      <c r="I936" s="13"/>
      <c r="J936" s="9"/>
      <c r="K936" s="10"/>
      <c r="L936" s="10"/>
      <c r="M936" s="11"/>
      <c r="N936" s="10"/>
      <c r="O936" s="42"/>
      <c r="P936" s="10"/>
    </row>
    <row r="937" spans="1:16" x14ac:dyDescent="0.25">
      <c r="A937" s="5"/>
      <c r="B937" s="22"/>
      <c r="C937" s="22"/>
      <c r="D937" s="18"/>
      <c r="E937" s="24"/>
      <c r="F937" s="13"/>
      <c r="G937" s="13"/>
      <c r="H937" s="7"/>
      <c r="I937" s="13"/>
      <c r="J937" s="9"/>
      <c r="K937" s="10"/>
      <c r="L937" s="10"/>
      <c r="M937" s="11"/>
      <c r="N937" s="10"/>
      <c r="O937" s="42"/>
      <c r="P937" s="10"/>
    </row>
    <row r="938" spans="1:16" x14ac:dyDescent="0.25">
      <c r="A938" s="5"/>
      <c r="B938" s="22"/>
      <c r="C938" s="22"/>
      <c r="D938" s="18"/>
      <c r="E938" s="24"/>
      <c r="F938" s="13"/>
      <c r="G938" s="13"/>
      <c r="H938" s="7"/>
      <c r="I938" s="13"/>
      <c r="J938" s="9"/>
      <c r="K938" s="10"/>
      <c r="L938" s="10"/>
      <c r="M938" s="11"/>
      <c r="N938" s="10"/>
      <c r="O938" s="42"/>
      <c r="P938" s="10"/>
    </row>
    <row r="939" spans="1:16" x14ac:dyDescent="0.25">
      <c r="A939" s="5"/>
      <c r="B939" s="22"/>
      <c r="C939" s="22"/>
      <c r="D939" s="18"/>
      <c r="E939" s="24"/>
      <c r="F939" s="13"/>
      <c r="G939" s="13"/>
      <c r="H939" s="7"/>
      <c r="I939" s="13"/>
      <c r="J939" s="9"/>
      <c r="K939" s="10"/>
      <c r="L939" s="10"/>
      <c r="M939" s="11"/>
      <c r="N939" s="10"/>
      <c r="O939" s="42"/>
      <c r="P939" s="10"/>
    </row>
    <row r="940" spans="1:16" x14ac:dyDescent="0.25">
      <c r="A940" s="5"/>
      <c r="B940" s="22"/>
      <c r="C940" s="22"/>
      <c r="D940" s="18"/>
      <c r="E940" s="24"/>
      <c r="F940" s="13"/>
      <c r="G940" s="13"/>
      <c r="H940" s="7"/>
      <c r="I940" s="13"/>
      <c r="J940" s="9"/>
      <c r="K940" s="10"/>
      <c r="L940" s="10"/>
      <c r="M940" s="11"/>
      <c r="N940" s="10"/>
      <c r="O940" s="42"/>
      <c r="P940" s="10"/>
    </row>
    <row r="941" spans="1:16" x14ac:dyDescent="0.25">
      <c r="A941" s="5"/>
      <c r="B941" s="22"/>
      <c r="C941" s="22"/>
      <c r="D941" s="18"/>
      <c r="E941" s="24"/>
      <c r="F941" s="13"/>
      <c r="G941" s="13"/>
      <c r="H941" s="7"/>
      <c r="I941" s="13"/>
      <c r="J941" s="9"/>
      <c r="K941" s="10"/>
      <c r="L941" s="10"/>
      <c r="M941" s="11"/>
      <c r="N941" s="10"/>
      <c r="O941" s="42"/>
      <c r="P941" s="10"/>
    </row>
    <row r="942" spans="1:16" x14ac:dyDescent="0.25">
      <c r="A942" s="5"/>
      <c r="B942" s="22"/>
      <c r="C942" s="22"/>
      <c r="D942" s="18"/>
      <c r="E942" s="24"/>
      <c r="F942" s="13"/>
      <c r="G942" s="13"/>
      <c r="H942" s="7"/>
      <c r="I942" s="13"/>
      <c r="J942" s="9"/>
      <c r="K942" s="10"/>
      <c r="L942" s="10"/>
      <c r="M942" s="11"/>
      <c r="N942" s="10"/>
      <c r="O942" s="42"/>
      <c r="P942" s="10"/>
    </row>
    <row r="943" spans="1:16" x14ac:dyDescent="0.25">
      <c r="A943" s="5"/>
      <c r="B943" s="22"/>
      <c r="C943" s="22"/>
      <c r="D943" s="18"/>
      <c r="E943" s="24"/>
      <c r="F943" s="13"/>
      <c r="G943" s="13"/>
      <c r="H943" s="7"/>
      <c r="I943" s="13"/>
      <c r="J943" s="9"/>
      <c r="K943" s="10"/>
      <c r="L943" s="10"/>
      <c r="M943" s="11"/>
      <c r="N943" s="10"/>
      <c r="O943" s="42"/>
      <c r="P943" s="10"/>
    </row>
    <row r="944" spans="1:16" x14ac:dyDescent="0.25">
      <c r="A944" s="5"/>
      <c r="B944" s="22"/>
      <c r="C944" s="22"/>
      <c r="D944" s="18"/>
      <c r="E944" s="24"/>
      <c r="F944" s="13"/>
      <c r="G944" s="13"/>
      <c r="H944" s="7"/>
      <c r="I944" s="13"/>
      <c r="J944" s="9"/>
      <c r="K944" s="10"/>
      <c r="L944" s="10"/>
      <c r="M944" s="11"/>
      <c r="N944" s="10"/>
      <c r="O944" s="42"/>
      <c r="P944" s="10"/>
    </row>
    <row r="945" spans="1:16" x14ac:dyDescent="0.25">
      <c r="A945" s="5"/>
      <c r="B945" s="22"/>
      <c r="C945" s="22"/>
      <c r="D945" s="18"/>
      <c r="E945" s="24"/>
      <c r="F945" s="13"/>
      <c r="G945" s="13"/>
      <c r="H945" s="7"/>
      <c r="I945" s="13"/>
      <c r="J945" s="9"/>
      <c r="K945" s="10"/>
      <c r="L945" s="10"/>
      <c r="M945" s="11"/>
      <c r="N945" s="10"/>
      <c r="O945" s="42"/>
      <c r="P945" s="10"/>
    </row>
    <row r="946" spans="1:16" x14ac:dyDescent="0.25">
      <c r="A946" s="5"/>
      <c r="B946" s="22"/>
      <c r="C946" s="22"/>
      <c r="D946" s="18"/>
      <c r="E946" s="24"/>
      <c r="F946" s="13"/>
      <c r="G946" s="13"/>
      <c r="H946" s="7"/>
      <c r="I946" s="13"/>
      <c r="J946" s="9"/>
      <c r="K946" s="10"/>
      <c r="L946" s="10"/>
      <c r="M946" s="11"/>
      <c r="N946" s="10"/>
      <c r="O946" s="42"/>
      <c r="P946" s="10"/>
    </row>
    <row r="947" spans="1:16" x14ac:dyDescent="0.25">
      <c r="A947" s="5"/>
      <c r="B947" s="22"/>
      <c r="C947" s="22"/>
      <c r="D947" s="18"/>
      <c r="E947" s="24"/>
      <c r="F947" s="13"/>
      <c r="G947" s="13"/>
      <c r="H947" s="7"/>
      <c r="I947" s="13"/>
      <c r="J947" s="9"/>
      <c r="K947" s="10"/>
      <c r="L947" s="10"/>
      <c r="M947" s="11"/>
      <c r="N947" s="10"/>
      <c r="O947" s="42"/>
      <c r="P947" s="10"/>
    </row>
    <row r="948" spans="1:16" x14ac:dyDescent="0.25">
      <c r="A948" s="5"/>
      <c r="B948" s="22"/>
      <c r="C948" s="22"/>
      <c r="D948" s="18"/>
      <c r="E948" s="24"/>
      <c r="F948" s="13"/>
      <c r="G948" s="13"/>
      <c r="H948" s="7"/>
      <c r="I948" s="13"/>
      <c r="J948" s="9"/>
      <c r="K948" s="10"/>
      <c r="L948" s="10"/>
      <c r="M948" s="11"/>
      <c r="N948" s="10"/>
      <c r="O948" s="42"/>
      <c r="P948" s="10"/>
    </row>
    <row r="949" spans="1:16" x14ac:dyDescent="0.25">
      <c r="A949" s="5"/>
      <c r="B949" s="22"/>
      <c r="C949" s="22"/>
      <c r="D949" s="18"/>
      <c r="E949" s="24"/>
      <c r="F949" s="13"/>
      <c r="G949" s="13"/>
      <c r="H949" s="7"/>
      <c r="I949" s="13"/>
      <c r="J949" s="9"/>
      <c r="K949" s="10"/>
      <c r="L949" s="10"/>
      <c r="M949" s="11"/>
      <c r="N949" s="10"/>
      <c r="O949" s="42"/>
      <c r="P949" s="10"/>
    </row>
    <row r="950" spans="1:16" x14ac:dyDescent="0.25">
      <c r="A950" s="5"/>
      <c r="B950" s="22"/>
      <c r="C950" s="22"/>
      <c r="D950" s="18"/>
      <c r="E950" s="24"/>
      <c r="F950" s="13"/>
      <c r="G950" s="13"/>
      <c r="H950" s="7"/>
      <c r="I950" s="13"/>
      <c r="J950" s="9"/>
      <c r="K950" s="10"/>
      <c r="L950" s="10"/>
      <c r="M950" s="11"/>
      <c r="N950" s="10"/>
      <c r="O950" s="42"/>
      <c r="P950" s="10"/>
    </row>
    <row r="951" spans="1:16" x14ac:dyDescent="0.25">
      <c r="A951" s="5"/>
      <c r="B951" s="22"/>
      <c r="C951" s="22"/>
      <c r="D951" s="18"/>
      <c r="E951" s="24"/>
      <c r="F951" s="13"/>
      <c r="G951" s="13"/>
      <c r="H951" s="7"/>
      <c r="I951" s="13"/>
      <c r="J951" s="9"/>
      <c r="K951" s="10"/>
      <c r="L951" s="10"/>
      <c r="M951" s="11"/>
      <c r="N951" s="10"/>
      <c r="O951" s="42"/>
      <c r="P951" s="10"/>
    </row>
    <row r="952" spans="1:16" x14ac:dyDescent="0.25">
      <c r="A952" s="5"/>
      <c r="B952" s="22"/>
      <c r="C952" s="22"/>
      <c r="D952" s="18"/>
      <c r="E952" s="24"/>
      <c r="F952" s="13"/>
      <c r="G952" s="13"/>
      <c r="H952" s="7"/>
      <c r="I952" s="13"/>
      <c r="J952" s="9"/>
      <c r="K952" s="10"/>
      <c r="L952" s="10"/>
      <c r="M952" s="11"/>
      <c r="N952" s="10"/>
      <c r="O952" s="42"/>
      <c r="P952" s="10"/>
    </row>
    <row r="953" spans="1:16" x14ac:dyDescent="0.25">
      <c r="A953" s="5"/>
      <c r="B953" s="22"/>
      <c r="C953" s="22"/>
      <c r="D953" s="18"/>
      <c r="E953" s="24"/>
      <c r="F953" s="13"/>
      <c r="G953" s="13"/>
      <c r="H953" s="7"/>
      <c r="I953" s="13"/>
      <c r="J953" s="9"/>
      <c r="K953" s="10"/>
      <c r="L953" s="10"/>
      <c r="M953" s="11"/>
      <c r="N953" s="10"/>
      <c r="O953" s="42"/>
      <c r="P953" s="10"/>
    </row>
    <row r="954" spans="1:16" x14ac:dyDescent="0.25">
      <c r="A954" s="5"/>
      <c r="B954" s="22"/>
      <c r="C954" s="22"/>
      <c r="D954" s="18"/>
      <c r="E954" s="24"/>
      <c r="F954" s="13"/>
      <c r="G954" s="13"/>
      <c r="H954" s="7"/>
      <c r="I954" s="13"/>
      <c r="J954" s="9"/>
      <c r="K954" s="10"/>
      <c r="L954" s="10"/>
      <c r="M954" s="11"/>
      <c r="N954" s="10"/>
      <c r="O954" s="42"/>
      <c r="P954" s="10"/>
    </row>
    <row r="955" spans="1:16" x14ac:dyDescent="0.25">
      <c r="A955" s="5"/>
      <c r="B955" s="22"/>
      <c r="C955" s="22"/>
      <c r="D955" s="18"/>
      <c r="E955" s="24"/>
      <c r="F955" s="13"/>
      <c r="G955" s="13"/>
      <c r="H955" s="7"/>
      <c r="I955" s="13"/>
      <c r="J955" s="9"/>
      <c r="K955" s="10"/>
      <c r="L955" s="10"/>
      <c r="M955" s="11"/>
      <c r="N955" s="10"/>
      <c r="O955" s="42"/>
      <c r="P955" s="10"/>
    </row>
    <row r="956" spans="1:16" x14ac:dyDescent="0.25">
      <c r="A956" s="5"/>
      <c r="B956" s="22"/>
      <c r="C956" s="22"/>
      <c r="D956" s="18"/>
      <c r="E956" s="24"/>
      <c r="F956" s="13"/>
      <c r="G956" s="13"/>
      <c r="H956" s="7"/>
      <c r="I956" s="13"/>
      <c r="J956" s="9"/>
      <c r="K956" s="10"/>
      <c r="L956" s="10"/>
      <c r="M956" s="11"/>
      <c r="N956" s="10"/>
      <c r="O956" s="42"/>
      <c r="P956" s="10"/>
    </row>
    <row r="957" spans="1:16" x14ac:dyDescent="0.25">
      <c r="A957" s="5"/>
      <c r="B957" s="22"/>
      <c r="C957" s="22"/>
      <c r="D957" s="18"/>
      <c r="E957" s="24"/>
      <c r="F957" s="13"/>
      <c r="G957" s="13"/>
      <c r="H957" s="7"/>
      <c r="I957" s="13"/>
      <c r="J957" s="9"/>
      <c r="K957" s="10"/>
      <c r="L957" s="10"/>
      <c r="M957" s="11"/>
      <c r="N957" s="10"/>
      <c r="O957" s="42"/>
      <c r="P957" s="10"/>
    </row>
    <row r="958" spans="1:16" x14ac:dyDescent="0.25">
      <c r="A958" s="5"/>
      <c r="B958" s="22"/>
      <c r="C958" s="22"/>
      <c r="D958" s="18"/>
      <c r="E958" s="24"/>
      <c r="F958" s="13"/>
      <c r="G958" s="13"/>
      <c r="H958" s="7"/>
      <c r="I958" s="13"/>
      <c r="J958" s="9"/>
      <c r="K958" s="10"/>
      <c r="L958" s="10"/>
      <c r="M958" s="11"/>
      <c r="N958" s="10"/>
      <c r="O958" s="42"/>
      <c r="P958" s="10"/>
    </row>
    <row r="959" spans="1:16" x14ac:dyDescent="0.25">
      <c r="A959" s="5"/>
      <c r="B959" s="22"/>
      <c r="C959" s="22"/>
      <c r="D959" s="18"/>
      <c r="E959" s="24"/>
      <c r="F959" s="13"/>
      <c r="G959" s="13"/>
      <c r="H959" s="7"/>
      <c r="I959" s="13"/>
      <c r="J959" s="9"/>
      <c r="K959" s="10"/>
      <c r="L959" s="10"/>
      <c r="M959" s="11"/>
      <c r="N959" s="10"/>
      <c r="O959" s="42"/>
      <c r="P959" s="10"/>
    </row>
    <row r="960" spans="1:16" x14ac:dyDescent="0.25">
      <c r="A960" s="5"/>
      <c r="B960" s="22"/>
      <c r="C960" s="22"/>
      <c r="D960" s="18"/>
      <c r="E960" s="24"/>
      <c r="F960" s="13"/>
      <c r="G960" s="13"/>
      <c r="H960" s="7"/>
      <c r="I960" s="13"/>
      <c r="J960" s="9"/>
      <c r="K960" s="10"/>
      <c r="L960" s="10"/>
      <c r="M960" s="11"/>
      <c r="N960" s="10"/>
      <c r="O960" s="42"/>
      <c r="P960" s="10"/>
    </row>
    <row r="961" spans="1:16" x14ac:dyDescent="0.25">
      <c r="A961" s="5"/>
      <c r="B961" s="22"/>
      <c r="C961" s="22"/>
      <c r="D961" s="18"/>
      <c r="E961" s="24"/>
      <c r="F961" s="13"/>
      <c r="G961" s="13"/>
      <c r="H961" s="7"/>
      <c r="I961" s="13"/>
      <c r="J961" s="9"/>
      <c r="K961" s="10"/>
      <c r="L961" s="10"/>
      <c r="M961" s="11"/>
      <c r="N961" s="10"/>
      <c r="O961" s="42"/>
      <c r="P961" s="10"/>
    </row>
    <row r="962" spans="1:16" x14ac:dyDescent="0.25">
      <c r="A962" s="5"/>
      <c r="B962" s="22"/>
      <c r="C962" s="22"/>
      <c r="D962" s="18"/>
      <c r="E962" s="24"/>
      <c r="F962" s="13"/>
      <c r="G962" s="13"/>
      <c r="H962" s="7"/>
      <c r="I962" s="13"/>
      <c r="J962" s="9"/>
      <c r="K962" s="10"/>
      <c r="L962" s="10"/>
      <c r="M962" s="11"/>
      <c r="N962" s="10"/>
      <c r="O962" s="42"/>
      <c r="P962" s="10"/>
    </row>
    <row r="963" spans="1:16" x14ac:dyDescent="0.25">
      <c r="A963" s="5"/>
      <c r="B963" s="22"/>
      <c r="C963" s="22"/>
      <c r="D963" s="18"/>
      <c r="E963" s="24"/>
      <c r="F963" s="13"/>
      <c r="G963" s="13"/>
      <c r="H963" s="7"/>
      <c r="I963" s="13"/>
      <c r="J963" s="9"/>
      <c r="K963" s="10"/>
      <c r="L963" s="10"/>
      <c r="M963" s="11"/>
      <c r="N963" s="10"/>
      <c r="O963" s="42"/>
      <c r="P963" s="10"/>
    </row>
    <row r="964" spans="1:16" x14ac:dyDescent="0.25">
      <c r="A964" s="5"/>
      <c r="B964" s="22"/>
      <c r="C964" s="22"/>
      <c r="D964" s="18"/>
      <c r="E964" s="24"/>
      <c r="F964" s="13"/>
      <c r="G964" s="13"/>
      <c r="H964" s="7"/>
      <c r="I964" s="13"/>
      <c r="J964" s="9"/>
      <c r="K964" s="10"/>
      <c r="L964" s="10"/>
      <c r="M964" s="11"/>
      <c r="N964" s="10"/>
      <c r="O964" s="42"/>
      <c r="P964" s="10"/>
    </row>
    <row r="965" spans="1:16" x14ac:dyDescent="0.25">
      <c r="A965" s="5"/>
      <c r="B965" s="22"/>
      <c r="C965" s="22"/>
      <c r="D965" s="18"/>
      <c r="E965" s="24"/>
      <c r="F965" s="13"/>
      <c r="G965" s="13"/>
      <c r="H965" s="7"/>
      <c r="I965" s="13"/>
      <c r="J965" s="9"/>
      <c r="K965" s="10"/>
      <c r="L965" s="10"/>
      <c r="M965" s="11"/>
      <c r="N965" s="10"/>
      <c r="O965" s="42"/>
      <c r="P965" s="10"/>
    </row>
    <row r="966" spans="1:16" x14ac:dyDescent="0.25">
      <c r="A966" s="5"/>
      <c r="B966" s="22"/>
      <c r="C966" s="22"/>
      <c r="D966" s="18"/>
      <c r="E966" s="24"/>
      <c r="F966" s="13"/>
      <c r="G966" s="13"/>
      <c r="H966" s="7"/>
      <c r="I966" s="13"/>
      <c r="J966" s="9"/>
      <c r="K966" s="10"/>
      <c r="L966" s="10"/>
      <c r="M966" s="11"/>
      <c r="N966" s="10"/>
      <c r="O966" s="42"/>
      <c r="P966" s="10"/>
    </row>
    <row r="967" spans="1:16" x14ac:dyDescent="0.25">
      <c r="A967" s="5"/>
      <c r="B967" s="22"/>
      <c r="C967" s="22"/>
      <c r="D967" s="18"/>
      <c r="E967" s="24"/>
      <c r="F967" s="13"/>
      <c r="G967" s="13"/>
      <c r="H967" s="7"/>
      <c r="I967" s="13"/>
      <c r="J967" s="9"/>
      <c r="K967" s="10"/>
      <c r="L967" s="10"/>
      <c r="M967" s="11"/>
      <c r="N967" s="10"/>
      <c r="O967" s="42"/>
      <c r="P967" s="10"/>
    </row>
    <row r="968" spans="1:16" x14ac:dyDescent="0.25">
      <c r="A968" s="5"/>
      <c r="B968" s="22"/>
      <c r="C968" s="22"/>
      <c r="D968" s="18"/>
      <c r="E968" s="24"/>
      <c r="F968" s="13"/>
      <c r="G968" s="13"/>
      <c r="H968" s="7"/>
      <c r="I968" s="13"/>
      <c r="J968" s="9"/>
      <c r="K968" s="10"/>
      <c r="L968" s="10"/>
      <c r="M968" s="11"/>
      <c r="N968" s="10"/>
      <c r="O968" s="42"/>
      <c r="P968" s="10"/>
    </row>
    <row r="969" spans="1:16" x14ac:dyDescent="0.25">
      <c r="A969" s="5"/>
      <c r="B969" s="22"/>
      <c r="C969" s="22"/>
      <c r="D969" s="18"/>
      <c r="E969" s="24"/>
      <c r="F969" s="13"/>
      <c r="G969" s="13"/>
      <c r="H969" s="7"/>
      <c r="I969" s="13"/>
      <c r="J969" s="9"/>
      <c r="K969" s="10"/>
      <c r="L969" s="10"/>
      <c r="M969" s="11"/>
      <c r="N969" s="10"/>
      <c r="O969" s="42"/>
      <c r="P969" s="10"/>
    </row>
    <row r="970" spans="1:16" x14ac:dyDescent="0.25">
      <c r="A970" s="5"/>
      <c r="B970" s="22"/>
      <c r="C970" s="22"/>
      <c r="D970" s="18"/>
      <c r="E970" s="24"/>
      <c r="F970" s="13"/>
      <c r="G970" s="13"/>
      <c r="H970" s="7"/>
      <c r="I970" s="13"/>
      <c r="J970" s="9"/>
      <c r="K970" s="10"/>
      <c r="L970" s="10"/>
      <c r="M970" s="11"/>
      <c r="N970" s="10"/>
      <c r="O970" s="42"/>
      <c r="P970" s="10"/>
    </row>
    <row r="971" spans="1:16" x14ac:dyDescent="0.25">
      <c r="A971" s="5"/>
      <c r="B971" s="22"/>
      <c r="C971" s="22"/>
      <c r="D971" s="18"/>
      <c r="E971" s="24"/>
      <c r="F971" s="13"/>
      <c r="G971" s="13"/>
      <c r="H971" s="7"/>
      <c r="I971" s="13"/>
      <c r="J971" s="9"/>
      <c r="K971" s="10"/>
      <c r="L971" s="10"/>
      <c r="M971" s="11"/>
      <c r="N971" s="10"/>
      <c r="O971" s="42"/>
      <c r="P971" s="10"/>
    </row>
    <row r="972" spans="1:16" x14ac:dyDescent="0.25">
      <c r="A972" s="5"/>
      <c r="B972" s="22"/>
      <c r="C972" s="22"/>
      <c r="D972" s="18"/>
      <c r="E972" s="24"/>
      <c r="F972" s="13"/>
      <c r="G972" s="13"/>
      <c r="H972" s="7"/>
      <c r="I972" s="13"/>
      <c r="J972" s="9"/>
      <c r="K972" s="10"/>
      <c r="L972" s="10"/>
      <c r="M972" s="11"/>
      <c r="N972" s="10"/>
      <c r="O972" s="42"/>
      <c r="P972" s="10"/>
    </row>
    <row r="973" spans="1:16" x14ac:dyDescent="0.25">
      <c r="A973" s="5"/>
      <c r="B973" s="22"/>
      <c r="C973" s="22"/>
      <c r="D973" s="18"/>
      <c r="E973" s="24"/>
      <c r="F973" s="13"/>
      <c r="G973" s="13"/>
      <c r="H973" s="7"/>
      <c r="I973" s="13"/>
      <c r="J973" s="9"/>
      <c r="K973" s="10"/>
      <c r="L973" s="10"/>
      <c r="M973" s="11"/>
      <c r="N973" s="10"/>
      <c r="O973" s="42"/>
      <c r="P973" s="10"/>
    </row>
    <row r="974" spans="1:16" x14ac:dyDescent="0.25">
      <c r="A974" s="5"/>
      <c r="B974" s="22"/>
      <c r="C974" s="22"/>
      <c r="D974" s="18"/>
      <c r="E974" s="24"/>
      <c r="F974" s="13"/>
      <c r="G974" s="13"/>
      <c r="H974" s="7"/>
      <c r="I974" s="13"/>
      <c r="J974" s="9"/>
      <c r="K974" s="10"/>
      <c r="L974" s="10"/>
      <c r="M974" s="11"/>
      <c r="N974" s="10"/>
      <c r="O974" s="42"/>
      <c r="P974" s="10"/>
    </row>
    <row r="975" spans="1:16" x14ac:dyDescent="0.25">
      <c r="A975" s="5"/>
      <c r="B975" s="22"/>
      <c r="C975" s="22"/>
      <c r="D975" s="18"/>
      <c r="E975" s="24"/>
      <c r="F975" s="13"/>
      <c r="G975" s="13"/>
      <c r="H975" s="7"/>
      <c r="I975" s="13"/>
      <c r="J975" s="9"/>
      <c r="K975" s="10"/>
      <c r="L975" s="10"/>
      <c r="M975" s="11"/>
      <c r="N975" s="10"/>
      <c r="O975" s="42"/>
      <c r="P975" s="10"/>
    </row>
    <row r="976" spans="1:16" x14ac:dyDescent="0.25">
      <c r="A976" s="5"/>
      <c r="B976" s="22"/>
      <c r="C976" s="22"/>
      <c r="D976" s="18"/>
      <c r="E976" s="24"/>
      <c r="F976" s="13"/>
      <c r="G976" s="13"/>
      <c r="H976" s="7"/>
      <c r="I976" s="13"/>
      <c r="J976" s="9"/>
      <c r="K976" s="10"/>
      <c r="L976" s="10"/>
      <c r="M976" s="11"/>
      <c r="N976" s="10"/>
      <c r="O976" s="42"/>
      <c r="P976" s="10"/>
    </row>
    <row r="977" spans="1:16" x14ac:dyDescent="0.25">
      <c r="A977" s="5"/>
      <c r="B977" s="22"/>
      <c r="C977" s="22"/>
      <c r="D977" s="18"/>
      <c r="E977" s="24"/>
      <c r="F977" s="13"/>
      <c r="G977" s="13"/>
      <c r="H977" s="7"/>
      <c r="I977" s="13"/>
      <c r="J977" s="9"/>
      <c r="K977" s="10"/>
      <c r="L977" s="10"/>
      <c r="M977" s="11"/>
      <c r="N977" s="10"/>
      <c r="O977" s="42"/>
      <c r="P977" s="10"/>
    </row>
    <row r="978" spans="1:16" x14ac:dyDescent="0.25">
      <c r="A978" s="5"/>
      <c r="B978" s="22"/>
      <c r="C978" s="22"/>
      <c r="D978" s="18"/>
      <c r="E978" s="24"/>
      <c r="F978" s="13"/>
      <c r="G978" s="13"/>
      <c r="H978" s="7"/>
      <c r="I978" s="13"/>
      <c r="J978" s="9"/>
      <c r="K978" s="10"/>
      <c r="L978" s="10"/>
      <c r="M978" s="11"/>
      <c r="N978" s="10"/>
      <c r="O978" s="42"/>
      <c r="P978" s="10"/>
    </row>
    <row r="979" spans="1:16" x14ac:dyDescent="0.25">
      <c r="A979" s="5"/>
      <c r="B979" s="22"/>
      <c r="C979" s="22"/>
      <c r="D979" s="18"/>
      <c r="E979" s="24"/>
      <c r="F979" s="13"/>
      <c r="G979" s="13"/>
      <c r="H979" s="7"/>
      <c r="I979" s="13"/>
      <c r="J979" s="9"/>
      <c r="K979" s="10"/>
      <c r="L979" s="10"/>
      <c r="M979" s="11"/>
      <c r="N979" s="10"/>
      <c r="O979" s="42"/>
      <c r="P979" s="10"/>
    </row>
    <row r="980" spans="1:16" x14ac:dyDescent="0.25">
      <c r="A980" s="5"/>
      <c r="B980" s="22"/>
      <c r="C980" s="22"/>
      <c r="D980" s="18"/>
      <c r="E980" s="24"/>
      <c r="F980" s="13"/>
      <c r="G980" s="13"/>
      <c r="H980" s="7"/>
      <c r="I980" s="13"/>
      <c r="J980" s="9"/>
      <c r="K980" s="10"/>
      <c r="L980" s="10"/>
      <c r="M980" s="11"/>
      <c r="N980" s="10"/>
      <c r="O980" s="42"/>
      <c r="P980" s="10"/>
    </row>
    <row r="981" spans="1:16" x14ac:dyDescent="0.25">
      <c r="A981" s="5"/>
      <c r="B981" s="22"/>
      <c r="C981" s="22"/>
      <c r="D981" s="18"/>
      <c r="E981" s="24"/>
      <c r="F981" s="13"/>
      <c r="G981" s="13"/>
      <c r="H981" s="7"/>
      <c r="I981" s="13"/>
      <c r="J981" s="9"/>
      <c r="K981" s="10"/>
      <c r="L981" s="10"/>
      <c r="M981" s="11"/>
      <c r="N981" s="10"/>
      <c r="O981" s="42"/>
      <c r="P981" s="10"/>
    </row>
    <row r="982" spans="1:16" x14ac:dyDescent="0.25">
      <c r="A982" s="5"/>
      <c r="B982" s="22"/>
      <c r="C982" s="22"/>
      <c r="D982" s="18"/>
      <c r="E982" s="24"/>
      <c r="F982" s="13"/>
      <c r="G982" s="13"/>
      <c r="H982" s="7"/>
      <c r="I982" s="13"/>
      <c r="J982" s="9"/>
      <c r="K982" s="10"/>
      <c r="L982" s="10"/>
      <c r="M982" s="11"/>
      <c r="N982" s="10"/>
      <c r="O982" s="42"/>
      <c r="P982" s="10"/>
    </row>
    <row r="983" spans="1:16" x14ac:dyDescent="0.25">
      <c r="A983" s="5"/>
      <c r="B983" s="22"/>
      <c r="C983" s="22"/>
      <c r="D983" s="18"/>
      <c r="E983" s="24"/>
      <c r="F983" s="13"/>
      <c r="G983" s="13"/>
      <c r="H983" s="7"/>
      <c r="I983" s="13"/>
      <c r="J983" s="9"/>
      <c r="K983" s="10"/>
      <c r="L983" s="10"/>
      <c r="M983" s="11"/>
      <c r="N983" s="10"/>
      <c r="O983" s="42"/>
      <c r="P983" s="10"/>
    </row>
    <row r="984" spans="1:16" x14ac:dyDescent="0.25">
      <c r="A984" s="5"/>
      <c r="B984" s="22"/>
      <c r="C984" s="22"/>
      <c r="D984" s="18"/>
      <c r="E984" s="24"/>
      <c r="F984" s="13"/>
      <c r="G984" s="13"/>
      <c r="H984" s="7"/>
      <c r="I984" s="13"/>
      <c r="J984" s="9"/>
      <c r="K984" s="10"/>
      <c r="L984" s="10"/>
      <c r="M984" s="11"/>
      <c r="N984" s="10"/>
      <c r="O984" s="42"/>
      <c r="P984" s="10"/>
    </row>
    <row r="985" spans="1:16" x14ac:dyDescent="0.25">
      <c r="A985" s="5"/>
      <c r="B985" s="22"/>
      <c r="C985" s="22"/>
      <c r="D985" s="18"/>
      <c r="E985" s="24"/>
      <c r="F985" s="13"/>
      <c r="G985" s="13"/>
      <c r="H985" s="7"/>
      <c r="I985" s="13"/>
      <c r="J985" s="9"/>
      <c r="K985" s="10"/>
      <c r="L985" s="10"/>
      <c r="M985" s="11"/>
      <c r="N985" s="10"/>
      <c r="O985" s="42"/>
      <c r="P985" s="10"/>
    </row>
    <row r="986" spans="1:16" x14ac:dyDescent="0.25">
      <c r="A986" s="5"/>
      <c r="B986" s="22"/>
      <c r="C986" s="22"/>
      <c r="D986" s="18"/>
      <c r="E986" s="24"/>
      <c r="F986" s="13"/>
      <c r="G986" s="13"/>
      <c r="H986" s="7"/>
      <c r="I986" s="13"/>
      <c r="J986" s="9"/>
      <c r="K986" s="10"/>
      <c r="L986" s="10"/>
      <c r="M986" s="11"/>
      <c r="N986" s="10"/>
      <c r="O986" s="42"/>
      <c r="P986" s="10"/>
    </row>
    <row r="987" spans="1:16" x14ac:dyDescent="0.25">
      <c r="A987" s="5"/>
      <c r="B987" s="22"/>
      <c r="C987" s="22"/>
      <c r="D987" s="18"/>
      <c r="E987" s="24"/>
      <c r="F987" s="13"/>
      <c r="G987" s="13"/>
      <c r="H987" s="7"/>
      <c r="I987" s="13"/>
      <c r="J987" s="9"/>
      <c r="K987" s="10"/>
      <c r="L987" s="10"/>
      <c r="M987" s="11"/>
      <c r="N987" s="10"/>
      <c r="O987" s="42"/>
      <c r="P987" s="10"/>
    </row>
    <row r="988" spans="1:16" x14ac:dyDescent="0.25">
      <c r="A988" s="5"/>
      <c r="B988" s="22"/>
      <c r="C988" s="22"/>
      <c r="D988" s="18"/>
      <c r="E988" s="24"/>
      <c r="F988" s="13"/>
      <c r="G988" s="13"/>
      <c r="H988" s="7"/>
      <c r="I988" s="13"/>
      <c r="J988" s="9"/>
      <c r="K988" s="10"/>
      <c r="L988" s="10"/>
      <c r="M988" s="11"/>
      <c r="N988" s="10"/>
      <c r="O988" s="42"/>
      <c r="P988" s="10"/>
    </row>
    <row r="989" spans="1:16" x14ac:dyDescent="0.25">
      <c r="A989" s="5"/>
      <c r="B989" s="22"/>
      <c r="C989" s="22"/>
      <c r="D989" s="18"/>
      <c r="E989" s="24"/>
      <c r="F989" s="13"/>
      <c r="G989" s="13"/>
      <c r="H989" s="7"/>
      <c r="I989" s="13"/>
      <c r="J989" s="9"/>
      <c r="K989" s="10"/>
      <c r="L989" s="10"/>
      <c r="M989" s="11"/>
      <c r="N989" s="10"/>
      <c r="O989" s="42"/>
      <c r="P989" s="10"/>
    </row>
    <row r="990" spans="1:16" x14ac:dyDescent="0.25">
      <c r="A990" s="5"/>
      <c r="B990" s="22"/>
      <c r="C990" s="22"/>
      <c r="D990" s="18"/>
      <c r="E990" s="24"/>
      <c r="F990" s="13"/>
      <c r="G990" s="13"/>
      <c r="H990" s="7"/>
      <c r="I990" s="13"/>
      <c r="J990" s="9"/>
      <c r="K990" s="10"/>
      <c r="L990" s="10"/>
      <c r="M990" s="11"/>
      <c r="N990" s="10"/>
      <c r="O990" s="42"/>
      <c r="P990" s="10"/>
    </row>
    <row r="991" spans="1:16" x14ac:dyDescent="0.25">
      <c r="A991" s="5"/>
      <c r="B991" s="22"/>
      <c r="C991" s="22"/>
      <c r="D991" s="18"/>
      <c r="E991" s="24"/>
      <c r="F991" s="13"/>
      <c r="G991" s="13"/>
      <c r="H991" s="7"/>
      <c r="I991" s="13"/>
      <c r="J991" s="9"/>
      <c r="K991" s="10"/>
      <c r="L991" s="10"/>
      <c r="M991" s="11"/>
      <c r="N991" s="10"/>
      <c r="O991" s="42"/>
      <c r="P991" s="10"/>
    </row>
    <row r="992" spans="1:16" x14ac:dyDescent="0.25">
      <c r="A992" s="5"/>
      <c r="B992" s="22"/>
      <c r="C992" s="22"/>
      <c r="D992" s="18"/>
      <c r="E992" s="24"/>
      <c r="F992" s="13"/>
      <c r="G992" s="13"/>
      <c r="H992" s="7"/>
      <c r="I992" s="13"/>
      <c r="J992" s="9"/>
      <c r="K992" s="10"/>
      <c r="L992" s="10"/>
      <c r="M992" s="11"/>
      <c r="N992" s="10"/>
      <c r="O992" s="42"/>
      <c r="P992" s="10"/>
    </row>
    <row r="993" spans="1:16" x14ac:dyDescent="0.25">
      <c r="A993" s="5"/>
      <c r="B993" s="22"/>
      <c r="C993" s="22"/>
      <c r="D993" s="18"/>
      <c r="E993" s="24"/>
      <c r="F993" s="13"/>
      <c r="G993" s="13"/>
      <c r="H993" s="7"/>
      <c r="I993" s="13"/>
      <c r="J993" s="9"/>
      <c r="K993" s="10"/>
      <c r="L993" s="10"/>
      <c r="M993" s="11"/>
      <c r="N993" s="10"/>
      <c r="O993" s="42"/>
      <c r="P993" s="10"/>
    </row>
    <row r="994" spans="1:16" x14ac:dyDescent="0.25">
      <c r="A994" s="5"/>
      <c r="B994" s="22"/>
      <c r="C994" s="22"/>
      <c r="D994" s="18"/>
      <c r="E994" s="24"/>
      <c r="F994" s="13"/>
      <c r="G994" s="13"/>
      <c r="H994" s="7"/>
      <c r="I994" s="13"/>
      <c r="J994" s="9"/>
      <c r="K994" s="10"/>
      <c r="L994" s="10"/>
      <c r="M994" s="11"/>
      <c r="N994" s="10"/>
      <c r="O994" s="42"/>
      <c r="P994" s="10"/>
    </row>
    <row r="995" spans="1:16" x14ac:dyDescent="0.25">
      <c r="A995" s="5"/>
      <c r="B995" s="22"/>
      <c r="C995" s="22"/>
      <c r="D995" s="18"/>
      <c r="E995" s="24"/>
      <c r="F995" s="13"/>
      <c r="G995" s="13"/>
      <c r="H995" s="7"/>
      <c r="I995" s="13"/>
      <c r="J995" s="9"/>
      <c r="K995" s="10"/>
      <c r="L995" s="10"/>
      <c r="M995" s="11"/>
      <c r="N995" s="10"/>
      <c r="O995" s="42"/>
      <c r="P995" s="10"/>
    </row>
    <row r="996" spans="1:16" x14ac:dyDescent="0.25">
      <c r="A996" s="5"/>
      <c r="B996" s="22"/>
      <c r="C996" s="22"/>
      <c r="D996" s="18"/>
      <c r="E996" s="24"/>
      <c r="F996" s="13"/>
      <c r="G996" s="13"/>
      <c r="H996" s="7"/>
      <c r="I996" s="13"/>
      <c r="J996" s="9"/>
      <c r="K996" s="10"/>
      <c r="L996" s="10"/>
      <c r="M996" s="11"/>
      <c r="N996" s="10"/>
      <c r="O996" s="42"/>
      <c r="P996" s="10"/>
    </row>
    <row r="997" spans="1:16" x14ac:dyDescent="0.25">
      <c r="A997" s="5"/>
      <c r="B997" s="22"/>
      <c r="C997" s="22"/>
      <c r="D997" s="18"/>
      <c r="E997" s="24"/>
      <c r="F997" s="13"/>
      <c r="G997" s="13"/>
      <c r="H997" s="7"/>
      <c r="I997" s="13"/>
      <c r="J997" s="9"/>
      <c r="K997" s="10"/>
      <c r="L997" s="10"/>
      <c r="M997" s="11"/>
      <c r="N997" s="10"/>
      <c r="O997" s="42"/>
      <c r="P997" s="10"/>
    </row>
    <row r="998" spans="1:16" x14ac:dyDescent="0.25">
      <c r="A998" s="5"/>
      <c r="B998" s="22"/>
      <c r="C998" s="22"/>
      <c r="D998" s="18"/>
      <c r="E998" s="24"/>
      <c r="F998" s="13"/>
      <c r="G998" s="13"/>
      <c r="H998" s="7"/>
      <c r="I998" s="13"/>
      <c r="J998" s="9"/>
      <c r="K998" s="10"/>
      <c r="L998" s="10"/>
      <c r="M998" s="11"/>
      <c r="N998" s="10"/>
      <c r="O998" s="42"/>
      <c r="P998" s="10"/>
    </row>
    <row r="999" spans="1:16" x14ac:dyDescent="0.25">
      <c r="A999" s="5"/>
      <c r="B999" s="22"/>
      <c r="C999" s="22"/>
      <c r="D999" s="18"/>
      <c r="E999" s="24"/>
      <c r="F999" s="13"/>
      <c r="G999" s="13"/>
      <c r="H999" s="7"/>
      <c r="I999" s="13"/>
      <c r="J999" s="9"/>
      <c r="K999" s="10"/>
      <c r="L999" s="10"/>
      <c r="M999" s="11"/>
      <c r="N999" s="10"/>
      <c r="O999" s="42"/>
      <c r="P999" s="10"/>
    </row>
    <row r="1000" spans="1:16" x14ac:dyDescent="0.25">
      <c r="A1000" s="5"/>
      <c r="B1000" s="22"/>
      <c r="C1000" s="22"/>
      <c r="D1000" s="18"/>
      <c r="E1000" s="24"/>
      <c r="F1000" s="13"/>
      <c r="G1000" s="13"/>
      <c r="H1000" s="7"/>
      <c r="I1000" s="13"/>
      <c r="J1000" s="9"/>
      <c r="K1000" s="10"/>
      <c r="L1000" s="10"/>
      <c r="M1000" s="11"/>
      <c r="N1000" s="10"/>
      <c r="O1000" s="42"/>
      <c r="P1000" s="10"/>
    </row>
    <row r="1001" spans="1:16" x14ac:dyDescent="0.25">
      <c r="A1001" s="5"/>
      <c r="B1001" s="22"/>
      <c r="C1001" s="22"/>
      <c r="D1001" s="18"/>
      <c r="E1001" s="24"/>
      <c r="F1001" s="13"/>
      <c r="G1001" s="13"/>
      <c r="H1001" s="7"/>
      <c r="I1001" s="13"/>
      <c r="J1001" s="9"/>
      <c r="K1001" s="10"/>
      <c r="L1001" s="10"/>
      <c r="M1001" s="11"/>
      <c r="N1001" s="10"/>
      <c r="O1001" s="42"/>
      <c r="P1001" s="10"/>
    </row>
    <row r="1002" spans="1:16" x14ac:dyDescent="0.25">
      <c r="A1002" s="5"/>
      <c r="B1002" s="22"/>
      <c r="C1002" s="22"/>
      <c r="D1002" s="18"/>
      <c r="E1002" s="24"/>
      <c r="F1002" s="13"/>
      <c r="G1002" s="13"/>
      <c r="H1002" s="7"/>
      <c r="I1002" s="13"/>
      <c r="J1002" s="9"/>
      <c r="K1002" s="10"/>
      <c r="L1002" s="10"/>
      <c r="M1002" s="11"/>
      <c r="N1002" s="10"/>
      <c r="O1002" s="42"/>
      <c r="P1002" s="10"/>
    </row>
    <row r="1003" spans="1:16" x14ac:dyDescent="0.25">
      <c r="A1003" s="5"/>
      <c r="B1003" s="22"/>
      <c r="C1003" s="22"/>
      <c r="D1003" s="18"/>
      <c r="E1003" s="24"/>
      <c r="F1003" s="13"/>
      <c r="G1003" s="13"/>
      <c r="H1003" s="7"/>
      <c r="I1003" s="13"/>
      <c r="J1003" s="9"/>
      <c r="K1003" s="10"/>
      <c r="L1003" s="10"/>
      <c r="M1003" s="11"/>
      <c r="N1003" s="10"/>
      <c r="O1003" s="42"/>
      <c r="P1003" s="10"/>
    </row>
    <row r="1004" spans="1:16" x14ac:dyDescent="0.25">
      <c r="A1004" s="5"/>
      <c r="B1004" s="22"/>
      <c r="C1004" s="22"/>
      <c r="D1004" s="18"/>
      <c r="E1004" s="24"/>
      <c r="F1004" s="13"/>
      <c r="G1004" s="13"/>
      <c r="H1004" s="7"/>
      <c r="I1004" s="13"/>
      <c r="J1004" s="9"/>
      <c r="K1004" s="10"/>
      <c r="L1004" s="10"/>
      <c r="M1004" s="11"/>
      <c r="N1004" s="10"/>
      <c r="O1004" s="42"/>
      <c r="P1004" s="10"/>
    </row>
    <row r="1005" spans="1:16" x14ac:dyDescent="0.25">
      <c r="A1005" s="5"/>
      <c r="B1005" s="22"/>
      <c r="C1005" s="22"/>
      <c r="D1005" s="18"/>
      <c r="E1005" s="24"/>
      <c r="F1005" s="13"/>
      <c r="G1005" s="13"/>
      <c r="H1005" s="7"/>
      <c r="I1005" s="13"/>
      <c r="J1005" s="9"/>
      <c r="K1005" s="10"/>
      <c r="L1005" s="10"/>
      <c r="M1005" s="11"/>
      <c r="N1005" s="10"/>
      <c r="O1005" s="42"/>
      <c r="P1005" s="10"/>
    </row>
    <row r="1006" spans="1:16" x14ac:dyDescent="0.25">
      <c r="A1006" s="5"/>
      <c r="B1006" s="22"/>
      <c r="C1006" s="22"/>
      <c r="D1006" s="18"/>
      <c r="E1006" s="24"/>
      <c r="F1006" s="13"/>
      <c r="G1006" s="13"/>
      <c r="H1006" s="7"/>
      <c r="I1006" s="13"/>
      <c r="J1006" s="9"/>
      <c r="K1006" s="10"/>
      <c r="L1006" s="10"/>
      <c r="M1006" s="11"/>
      <c r="N1006" s="10"/>
      <c r="O1006" s="42"/>
      <c r="P1006" s="10"/>
    </row>
    <row r="1007" spans="1:16" x14ac:dyDescent="0.25">
      <c r="A1007" s="5"/>
      <c r="B1007" s="22"/>
      <c r="C1007" s="22"/>
      <c r="D1007" s="18"/>
      <c r="E1007" s="24"/>
      <c r="F1007" s="13"/>
      <c r="G1007" s="13"/>
      <c r="H1007" s="7"/>
      <c r="I1007" s="13"/>
      <c r="J1007" s="9"/>
      <c r="K1007" s="10"/>
      <c r="L1007" s="10"/>
      <c r="M1007" s="11"/>
      <c r="N1007" s="10"/>
      <c r="O1007" s="42"/>
      <c r="P1007" s="10"/>
    </row>
    <row r="1008" spans="1:16" x14ac:dyDescent="0.25">
      <c r="A1008" s="5"/>
      <c r="B1008" s="22"/>
      <c r="C1008" s="22"/>
      <c r="D1008" s="18"/>
      <c r="E1008" s="24"/>
      <c r="F1008" s="13"/>
      <c r="G1008" s="13"/>
      <c r="H1008" s="7"/>
      <c r="I1008" s="13"/>
      <c r="J1008" s="9"/>
      <c r="K1008" s="10"/>
      <c r="L1008" s="10"/>
      <c r="M1008" s="11"/>
      <c r="N1008" s="10"/>
      <c r="O1008" s="42"/>
      <c r="P1008" s="10"/>
    </row>
    <row r="1009" spans="1:16" x14ac:dyDescent="0.25">
      <c r="A1009" s="5"/>
      <c r="B1009" s="22"/>
      <c r="C1009" s="22"/>
      <c r="D1009" s="18"/>
      <c r="E1009" s="24"/>
      <c r="F1009" s="13"/>
      <c r="G1009" s="13"/>
      <c r="H1009" s="7"/>
      <c r="I1009" s="13"/>
      <c r="J1009" s="9"/>
      <c r="K1009" s="10"/>
      <c r="L1009" s="10"/>
      <c r="M1009" s="11"/>
      <c r="N1009" s="10"/>
      <c r="O1009" s="42"/>
      <c r="P1009" s="10"/>
    </row>
    <row r="1010" spans="1:16" x14ac:dyDescent="0.25">
      <c r="A1010" s="5"/>
      <c r="B1010" s="22"/>
      <c r="C1010" s="22"/>
      <c r="D1010" s="18"/>
      <c r="E1010" s="24"/>
      <c r="F1010" s="13"/>
      <c r="G1010" s="13"/>
      <c r="H1010" s="7"/>
      <c r="I1010" s="13"/>
      <c r="J1010" s="9"/>
      <c r="K1010" s="10"/>
      <c r="L1010" s="10"/>
      <c r="M1010" s="11"/>
      <c r="N1010" s="10"/>
      <c r="O1010" s="42"/>
      <c r="P1010" s="10"/>
    </row>
    <row r="1011" spans="1:16" x14ac:dyDescent="0.25">
      <c r="A1011" s="5"/>
      <c r="B1011" s="22"/>
      <c r="C1011" s="22"/>
      <c r="D1011" s="18"/>
      <c r="E1011" s="24"/>
      <c r="F1011" s="13"/>
      <c r="G1011" s="13"/>
      <c r="H1011" s="7"/>
      <c r="I1011" s="13"/>
      <c r="J1011" s="9"/>
      <c r="K1011" s="10"/>
      <c r="L1011" s="10"/>
      <c r="M1011" s="11"/>
      <c r="N1011" s="10"/>
      <c r="O1011" s="42"/>
      <c r="P1011" s="10"/>
    </row>
    <row r="1012" spans="1:16" x14ac:dyDescent="0.25">
      <c r="A1012" s="5"/>
      <c r="B1012" s="22"/>
      <c r="C1012" s="22"/>
      <c r="D1012" s="18"/>
      <c r="E1012" s="24"/>
      <c r="F1012" s="13"/>
      <c r="G1012" s="13"/>
      <c r="H1012" s="7"/>
      <c r="I1012" s="13"/>
      <c r="J1012" s="9"/>
      <c r="K1012" s="10"/>
      <c r="L1012" s="10"/>
      <c r="M1012" s="11"/>
      <c r="N1012" s="10"/>
      <c r="O1012" s="42"/>
      <c r="P1012" s="10"/>
    </row>
    <row r="1013" spans="1:16" x14ac:dyDescent="0.25">
      <c r="A1013" s="5"/>
      <c r="B1013" s="22"/>
      <c r="C1013" s="22"/>
      <c r="D1013" s="18"/>
      <c r="E1013" s="24"/>
      <c r="F1013" s="13"/>
      <c r="G1013" s="13"/>
      <c r="H1013" s="7"/>
      <c r="I1013" s="13"/>
      <c r="J1013" s="9"/>
      <c r="K1013" s="10"/>
      <c r="L1013" s="10"/>
      <c r="M1013" s="11"/>
      <c r="N1013" s="10"/>
      <c r="O1013" s="42"/>
      <c r="P1013" s="10"/>
    </row>
    <row r="1014" spans="1:16" x14ac:dyDescent="0.25">
      <c r="A1014" s="5"/>
      <c r="B1014" s="22"/>
      <c r="C1014" s="22"/>
      <c r="D1014" s="18"/>
      <c r="E1014" s="24"/>
      <c r="F1014" s="13"/>
      <c r="G1014" s="13"/>
      <c r="H1014" s="7"/>
      <c r="I1014" s="13"/>
      <c r="J1014" s="9"/>
      <c r="K1014" s="10"/>
      <c r="L1014" s="10"/>
      <c r="M1014" s="11"/>
      <c r="N1014" s="10"/>
      <c r="O1014" s="42"/>
      <c r="P1014" s="10"/>
    </row>
    <row r="1015" spans="1:16" x14ac:dyDescent="0.25">
      <c r="A1015" s="5"/>
      <c r="B1015" s="22"/>
      <c r="C1015" s="22"/>
      <c r="D1015" s="18"/>
      <c r="E1015" s="24"/>
      <c r="F1015" s="13"/>
      <c r="G1015" s="13"/>
      <c r="H1015" s="7"/>
      <c r="I1015" s="13"/>
      <c r="J1015" s="9"/>
      <c r="K1015" s="10"/>
      <c r="L1015" s="10"/>
      <c r="M1015" s="11"/>
      <c r="N1015" s="10"/>
      <c r="O1015" s="42"/>
      <c r="P1015" s="10"/>
    </row>
    <row r="1016" spans="1:16" x14ac:dyDescent="0.25">
      <c r="A1016" s="5"/>
      <c r="B1016" s="22"/>
      <c r="C1016" s="22"/>
      <c r="D1016" s="18"/>
      <c r="E1016" s="24"/>
      <c r="F1016" s="13"/>
      <c r="G1016" s="13"/>
      <c r="H1016" s="7"/>
      <c r="I1016" s="13"/>
      <c r="J1016" s="9"/>
      <c r="K1016" s="10"/>
      <c r="L1016" s="10"/>
      <c r="M1016" s="11"/>
      <c r="N1016" s="10"/>
      <c r="O1016" s="42"/>
      <c r="P1016" s="10"/>
    </row>
    <row r="1017" spans="1:16" x14ac:dyDescent="0.25">
      <c r="A1017" s="5"/>
      <c r="B1017" s="22"/>
      <c r="C1017" s="22"/>
      <c r="D1017" s="18"/>
      <c r="E1017" s="24"/>
      <c r="F1017" s="13"/>
      <c r="G1017" s="13"/>
      <c r="H1017" s="7"/>
      <c r="I1017" s="13"/>
      <c r="J1017" s="9"/>
      <c r="K1017" s="10"/>
      <c r="L1017" s="10"/>
      <c r="M1017" s="11"/>
      <c r="N1017" s="10"/>
      <c r="O1017" s="42"/>
      <c r="P1017" s="10"/>
    </row>
    <row r="1018" spans="1:16" x14ac:dyDescent="0.25">
      <c r="A1018" s="5"/>
      <c r="B1018" s="22"/>
      <c r="C1018" s="22"/>
      <c r="D1018" s="18"/>
      <c r="E1018" s="24"/>
      <c r="F1018" s="13"/>
      <c r="G1018" s="13"/>
      <c r="H1018" s="7"/>
      <c r="I1018" s="13"/>
      <c r="J1018" s="9"/>
      <c r="K1018" s="10"/>
      <c r="L1018" s="10"/>
      <c r="M1018" s="11"/>
      <c r="N1018" s="10"/>
      <c r="O1018" s="42"/>
      <c r="P1018" s="10"/>
    </row>
    <row r="1019" spans="1:16" x14ac:dyDescent="0.25">
      <c r="A1019" s="5"/>
      <c r="B1019" s="22"/>
      <c r="C1019" s="22"/>
      <c r="D1019" s="18"/>
      <c r="E1019" s="24"/>
      <c r="F1019" s="13"/>
      <c r="G1019" s="13"/>
      <c r="H1019" s="7"/>
      <c r="I1019" s="13"/>
      <c r="J1019" s="9"/>
      <c r="K1019" s="10"/>
      <c r="L1019" s="10"/>
      <c r="M1019" s="11"/>
      <c r="N1019" s="10"/>
      <c r="O1019" s="42"/>
      <c r="P1019" s="10"/>
    </row>
    <row r="1020" spans="1:16" x14ac:dyDescent="0.25">
      <c r="A1020" s="5"/>
      <c r="B1020" s="22"/>
      <c r="C1020" s="22"/>
      <c r="D1020" s="18"/>
      <c r="E1020" s="24"/>
      <c r="F1020" s="13"/>
      <c r="G1020" s="13"/>
      <c r="H1020" s="7"/>
      <c r="I1020" s="13"/>
      <c r="J1020" s="9"/>
      <c r="K1020" s="10"/>
      <c r="L1020" s="10"/>
      <c r="M1020" s="11"/>
      <c r="N1020" s="10"/>
      <c r="O1020" s="42"/>
      <c r="P1020" s="10"/>
    </row>
    <row r="1021" spans="1:16" x14ac:dyDescent="0.25">
      <c r="A1021" s="5"/>
      <c r="B1021" s="22"/>
      <c r="C1021" s="22"/>
      <c r="D1021" s="18"/>
      <c r="E1021" s="24"/>
      <c r="F1021" s="13"/>
      <c r="G1021" s="13"/>
      <c r="H1021" s="7"/>
      <c r="I1021" s="13"/>
      <c r="J1021" s="9"/>
      <c r="K1021" s="10"/>
      <c r="L1021" s="10"/>
      <c r="M1021" s="11"/>
      <c r="N1021" s="10"/>
      <c r="O1021" s="42"/>
      <c r="P1021" s="10"/>
    </row>
    <row r="1022" spans="1:16" x14ac:dyDescent="0.25">
      <c r="A1022" s="5"/>
      <c r="B1022" s="22"/>
      <c r="C1022" s="22"/>
      <c r="D1022" s="18"/>
      <c r="E1022" s="24"/>
      <c r="F1022" s="13"/>
      <c r="G1022" s="13"/>
      <c r="H1022" s="7"/>
      <c r="I1022" s="13"/>
      <c r="J1022" s="9"/>
      <c r="K1022" s="10"/>
      <c r="L1022" s="10"/>
      <c r="M1022" s="11"/>
      <c r="N1022" s="10"/>
      <c r="O1022" s="42"/>
      <c r="P1022" s="10"/>
    </row>
    <row r="1023" spans="1:16" x14ac:dyDescent="0.25">
      <c r="A1023" s="5"/>
      <c r="B1023" s="22"/>
      <c r="C1023" s="22"/>
      <c r="D1023" s="18"/>
      <c r="E1023" s="24"/>
      <c r="F1023" s="13"/>
      <c r="G1023" s="13"/>
      <c r="H1023" s="7"/>
      <c r="I1023" s="13"/>
      <c r="J1023" s="9"/>
      <c r="K1023" s="10"/>
      <c r="L1023" s="10"/>
      <c r="M1023" s="11"/>
      <c r="N1023" s="10"/>
      <c r="O1023" s="42"/>
      <c r="P1023" s="10"/>
    </row>
    <row r="1024" spans="1:16" x14ac:dyDescent="0.25">
      <c r="A1024" s="5"/>
      <c r="B1024" s="22"/>
      <c r="C1024" s="22"/>
      <c r="D1024" s="18"/>
      <c r="E1024" s="24"/>
      <c r="F1024" s="13"/>
      <c r="G1024" s="13"/>
      <c r="H1024" s="7"/>
      <c r="I1024" s="13"/>
      <c r="J1024" s="9"/>
      <c r="K1024" s="10"/>
      <c r="L1024" s="10"/>
      <c r="M1024" s="11"/>
      <c r="N1024" s="10"/>
      <c r="O1024" s="42"/>
      <c r="P1024" s="10"/>
    </row>
    <row r="1025" spans="1:16" x14ac:dyDescent="0.25">
      <c r="A1025" s="5"/>
      <c r="B1025" s="22"/>
      <c r="C1025" s="22"/>
      <c r="D1025" s="18"/>
      <c r="E1025" s="24"/>
      <c r="F1025" s="13"/>
      <c r="G1025" s="13"/>
      <c r="H1025" s="7"/>
      <c r="I1025" s="13"/>
      <c r="J1025" s="9"/>
      <c r="K1025" s="10"/>
      <c r="L1025" s="10"/>
      <c r="M1025" s="11"/>
      <c r="N1025" s="10"/>
      <c r="O1025" s="42"/>
      <c r="P1025" s="10"/>
    </row>
    <row r="1026" spans="1:16" x14ac:dyDescent="0.25">
      <c r="A1026" s="5"/>
      <c r="B1026" s="22"/>
      <c r="C1026" s="22"/>
      <c r="D1026" s="18"/>
      <c r="E1026" s="24"/>
      <c r="F1026" s="13"/>
      <c r="G1026" s="13"/>
      <c r="H1026" s="7"/>
      <c r="I1026" s="13"/>
      <c r="J1026" s="9"/>
      <c r="K1026" s="10"/>
      <c r="L1026" s="10"/>
      <c r="M1026" s="11"/>
      <c r="N1026" s="10"/>
      <c r="O1026" s="42"/>
      <c r="P1026" s="10"/>
    </row>
    <row r="1027" spans="1:16" x14ac:dyDescent="0.25">
      <c r="A1027" s="5"/>
      <c r="B1027" s="22"/>
      <c r="C1027" s="22"/>
      <c r="D1027" s="18"/>
      <c r="E1027" s="24"/>
      <c r="F1027" s="13"/>
      <c r="G1027" s="13"/>
      <c r="H1027" s="7"/>
      <c r="I1027" s="13"/>
      <c r="J1027" s="9"/>
      <c r="K1027" s="10"/>
      <c r="L1027" s="10"/>
      <c r="M1027" s="11"/>
      <c r="N1027" s="10"/>
      <c r="O1027" s="42"/>
      <c r="P1027" s="10"/>
    </row>
    <row r="1028" spans="1:16" x14ac:dyDescent="0.25">
      <c r="A1028" s="5"/>
      <c r="B1028" s="22"/>
      <c r="C1028" s="22"/>
      <c r="D1028" s="18"/>
      <c r="E1028" s="24"/>
      <c r="F1028" s="13"/>
      <c r="G1028" s="13"/>
      <c r="H1028" s="7"/>
      <c r="I1028" s="13"/>
      <c r="J1028" s="9"/>
      <c r="K1028" s="10"/>
      <c r="L1028" s="10"/>
      <c r="M1028" s="11"/>
      <c r="N1028" s="10"/>
      <c r="O1028" s="42"/>
      <c r="P1028" s="10"/>
    </row>
    <row r="1029" spans="1:16" x14ac:dyDescent="0.25">
      <c r="A1029" s="5"/>
      <c r="B1029" s="22"/>
      <c r="C1029" s="22"/>
      <c r="D1029" s="18"/>
      <c r="E1029" s="24"/>
      <c r="F1029" s="13"/>
      <c r="G1029" s="13"/>
      <c r="H1029" s="7"/>
      <c r="I1029" s="13"/>
      <c r="J1029" s="9"/>
      <c r="K1029" s="10"/>
      <c r="L1029" s="10"/>
      <c r="M1029" s="11"/>
      <c r="N1029" s="10"/>
      <c r="O1029" s="42"/>
      <c r="P1029" s="10"/>
    </row>
    <row r="1030" spans="1:16" x14ac:dyDescent="0.25">
      <c r="A1030" s="5"/>
      <c r="B1030" s="22"/>
      <c r="C1030" s="22"/>
      <c r="D1030" s="18"/>
      <c r="E1030" s="24"/>
      <c r="F1030" s="13"/>
      <c r="G1030" s="13"/>
      <c r="H1030" s="7"/>
      <c r="I1030" s="13"/>
      <c r="J1030" s="9"/>
      <c r="K1030" s="10"/>
      <c r="L1030" s="10"/>
      <c r="M1030" s="11"/>
      <c r="N1030" s="10"/>
      <c r="O1030" s="42"/>
      <c r="P1030" s="10"/>
    </row>
    <row r="1031" spans="1:16" x14ac:dyDescent="0.25">
      <c r="A1031" s="5"/>
      <c r="B1031" s="22"/>
      <c r="C1031" s="22"/>
      <c r="D1031" s="18"/>
      <c r="E1031" s="24"/>
      <c r="F1031" s="13"/>
      <c r="G1031" s="13"/>
      <c r="H1031" s="7"/>
      <c r="I1031" s="13"/>
      <c r="J1031" s="9"/>
      <c r="K1031" s="10"/>
      <c r="L1031" s="10"/>
      <c r="M1031" s="11"/>
      <c r="N1031" s="10"/>
      <c r="O1031" s="42"/>
      <c r="P1031" s="10"/>
    </row>
    <row r="1032" spans="1:16" x14ac:dyDescent="0.25">
      <c r="A1032" s="5"/>
      <c r="B1032" s="22"/>
      <c r="C1032" s="22"/>
      <c r="D1032" s="18"/>
      <c r="E1032" s="24"/>
      <c r="F1032" s="13"/>
      <c r="G1032" s="13"/>
      <c r="H1032" s="7"/>
      <c r="I1032" s="13"/>
      <c r="J1032" s="9"/>
      <c r="K1032" s="10"/>
      <c r="L1032" s="10"/>
      <c r="M1032" s="11"/>
      <c r="N1032" s="10"/>
      <c r="O1032" s="42"/>
      <c r="P1032" s="10"/>
    </row>
    <row r="1033" spans="1:16" x14ac:dyDescent="0.25">
      <c r="A1033" s="14"/>
      <c r="B1033" s="22"/>
      <c r="C1033" s="22"/>
      <c r="D1033" s="23"/>
      <c r="E1033" s="24"/>
      <c r="F1033" s="6"/>
      <c r="G1033" s="13"/>
      <c r="H1033" s="7"/>
      <c r="I1033" s="13"/>
      <c r="J1033" s="9"/>
      <c r="K1033" s="10"/>
      <c r="L1033" s="10"/>
      <c r="M1033" s="11"/>
      <c r="N1033" s="10"/>
      <c r="O1033" s="42"/>
      <c r="P1033" s="10"/>
    </row>
    <row r="1034" spans="1:16" x14ac:dyDescent="0.25">
      <c r="A1034" s="27"/>
      <c r="B1034" s="22"/>
      <c r="C1034" s="22"/>
      <c r="D1034" s="23"/>
      <c r="E1034" s="24"/>
      <c r="F1034" s="6"/>
      <c r="G1034" s="13"/>
      <c r="H1034" s="7"/>
      <c r="I1034" s="13"/>
      <c r="J1034" s="9"/>
      <c r="K1034" s="23"/>
      <c r="L1034" s="10"/>
      <c r="M1034" s="11"/>
      <c r="N1034" s="10"/>
      <c r="O1034" s="42"/>
      <c r="P1034" s="10"/>
    </row>
    <row r="1035" spans="1:16" x14ac:dyDescent="0.25">
      <c r="A1035" s="27"/>
      <c r="B1035" s="22"/>
      <c r="C1035" s="22"/>
      <c r="D1035" s="23"/>
      <c r="E1035" s="24"/>
      <c r="F1035" s="6"/>
      <c r="G1035" s="13"/>
      <c r="H1035" s="7"/>
      <c r="I1035" s="13"/>
      <c r="J1035" s="9"/>
      <c r="K1035" s="23"/>
      <c r="L1035" s="10"/>
      <c r="M1035" s="11"/>
      <c r="N1035" s="10"/>
      <c r="O1035" s="42"/>
      <c r="P1035" s="10"/>
    </row>
    <row r="1036" spans="1:16" x14ac:dyDescent="0.25">
      <c r="A1036" s="27"/>
      <c r="B1036" s="22"/>
      <c r="C1036" s="22"/>
      <c r="D1036" s="23"/>
      <c r="E1036" s="24"/>
      <c r="F1036" s="6"/>
      <c r="G1036" s="13"/>
      <c r="H1036" s="7"/>
      <c r="I1036" s="13"/>
      <c r="J1036" s="9"/>
      <c r="K1036" s="23"/>
      <c r="L1036" s="10"/>
      <c r="M1036" s="11"/>
      <c r="N1036" s="10"/>
      <c r="O1036" s="42"/>
      <c r="P1036" s="10"/>
    </row>
    <row r="1037" spans="1:16" x14ac:dyDescent="0.25">
      <c r="A1037" s="27"/>
      <c r="B1037" s="22"/>
      <c r="C1037" s="22"/>
      <c r="D1037" s="23"/>
      <c r="E1037" s="24"/>
      <c r="F1037" s="6"/>
      <c r="G1037" s="13"/>
      <c r="H1037" s="7"/>
      <c r="I1037" s="13"/>
      <c r="J1037" s="9"/>
      <c r="K1037" s="23"/>
      <c r="L1037" s="10"/>
      <c r="M1037" s="11"/>
      <c r="N1037" s="10"/>
      <c r="O1037" s="42"/>
      <c r="P1037" s="10"/>
    </row>
    <row r="1038" spans="1:16" x14ac:dyDescent="0.25">
      <c r="A1038" s="27"/>
      <c r="B1038" s="22"/>
      <c r="C1038" s="22"/>
      <c r="D1038" s="23"/>
      <c r="E1038" s="24"/>
      <c r="F1038" s="6"/>
      <c r="G1038" s="13"/>
      <c r="H1038" s="7"/>
      <c r="I1038" s="13"/>
      <c r="J1038" s="9"/>
      <c r="K1038" s="23"/>
      <c r="L1038" s="10"/>
      <c r="M1038" s="11"/>
      <c r="N1038" s="10"/>
      <c r="O1038" s="42"/>
      <c r="P1038" s="10"/>
    </row>
    <row r="1039" spans="1:16" x14ac:dyDescent="0.25">
      <c r="A1039" s="5"/>
      <c r="B1039" s="22"/>
      <c r="C1039" s="22"/>
      <c r="D1039" s="23"/>
      <c r="E1039" s="24"/>
      <c r="F1039" s="13"/>
      <c r="G1039" s="13"/>
      <c r="H1039" s="7"/>
      <c r="I1039" s="8"/>
      <c r="J1039" s="9"/>
      <c r="K1039" s="12"/>
      <c r="L1039" s="10"/>
      <c r="M1039" s="11"/>
      <c r="N1039" s="10"/>
      <c r="O1039" s="42"/>
      <c r="P1039" s="10"/>
    </row>
    <row r="1040" spans="1:16" x14ac:dyDescent="0.25">
      <c r="A1040" s="5"/>
      <c r="B1040" s="22"/>
      <c r="C1040" s="22"/>
      <c r="D1040" s="23"/>
      <c r="E1040" s="24"/>
      <c r="F1040" s="13"/>
      <c r="G1040" s="13"/>
      <c r="H1040" s="7"/>
      <c r="I1040" s="8"/>
      <c r="J1040" s="9"/>
      <c r="K1040" s="12"/>
      <c r="L1040" s="10"/>
      <c r="M1040" s="11"/>
      <c r="N1040" s="10"/>
      <c r="O1040" s="42"/>
      <c r="P1040" s="10"/>
    </row>
    <row r="1041" spans="1:16" x14ac:dyDescent="0.25">
      <c r="A1041" s="16"/>
      <c r="B1041" s="22"/>
      <c r="C1041" s="22"/>
      <c r="D1041" s="23"/>
      <c r="E1041" s="24"/>
      <c r="F1041" s="13"/>
      <c r="G1041" s="13"/>
      <c r="H1041" s="7"/>
      <c r="I1041" s="8"/>
      <c r="J1041" s="9"/>
      <c r="K1041" s="10"/>
      <c r="L1041" s="10"/>
      <c r="M1041" s="11"/>
      <c r="N1041" s="10"/>
      <c r="O1041" s="42"/>
      <c r="P1041" s="10"/>
    </row>
    <row r="1042" spans="1:16" x14ac:dyDescent="0.25">
      <c r="A1042" s="5"/>
      <c r="B1042" s="22"/>
      <c r="C1042" s="22"/>
      <c r="D1042" s="23"/>
      <c r="E1042" s="24"/>
      <c r="F1042" s="13"/>
      <c r="G1042" s="13"/>
      <c r="H1042" s="7"/>
      <c r="I1042" s="8"/>
      <c r="J1042" s="9"/>
      <c r="K1042" s="10"/>
      <c r="L1042" s="10"/>
      <c r="M1042" s="11"/>
      <c r="N1042" s="10"/>
      <c r="O1042" s="42"/>
      <c r="P1042" s="10"/>
    </row>
    <row r="1043" spans="1:16" x14ac:dyDescent="0.25">
      <c r="A1043" s="5"/>
      <c r="B1043" s="22"/>
      <c r="C1043" s="22"/>
      <c r="D1043" s="23"/>
      <c r="E1043" s="24"/>
      <c r="F1043" s="13"/>
      <c r="G1043" s="13"/>
      <c r="H1043" s="7"/>
      <c r="I1043" s="8"/>
      <c r="J1043" s="9"/>
      <c r="K1043" s="10"/>
      <c r="L1043" s="10"/>
      <c r="M1043" s="11"/>
      <c r="N1043" s="10"/>
      <c r="O1043" s="42"/>
      <c r="P1043" s="10"/>
    </row>
    <row r="1044" spans="1:16" x14ac:dyDescent="0.25">
      <c r="A1044" s="5"/>
      <c r="B1044" s="22"/>
      <c r="C1044" s="22"/>
      <c r="D1044" s="18"/>
      <c r="E1044" s="24"/>
      <c r="F1044" s="13"/>
      <c r="G1044" s="13"/>
      <c r="H1044" s="7"/>
      <c r="I1044" s="13"/>
      <c r="J1044" s="9"/>
      <c r="K1044" s="10"/>
      <c r="L1044" s="10"/>
      <c r="M1044" s="11"/>
      <c r="N1044" s="10"/>
      <c r="O1044" s="42"/>
      <c r="P1044" s="10"/>
    </row>
    <row r="1045" spans="1:16" x14ac:dyDescent="0.25">
      <c r="A1045" s="5"/>
      <c r="B1045" s="22"/>
      <c r="C1045" s="22"/>
      <c r="D1045" s="18"/>
      <c r="E1045" s="24"/>
      <c r="F1045" s="13"/>
      <c r="G1045" s="13"/>
      <c r="H1045" s="7"/>
      <c r="I1045" s="13"/>
      <c r="J1045" s="9"/>
      <c r="K1045" s="10"/>
      <c r="L1045" s="10"/>
      <c r="M1045" s="11"/>
      <c r="N1045" s="10"/>
      <c r="O1045" s="42"/>
      <c r="P1045" s="10"/>
    </row>
    <row r="1046" spans="1:16" x14ac:dyDescent="0.25">
      <c r="A1046" s="5"/>
      <c r="B1046" s="22"/>
      <c r="C1046" s="22"/>
      <c r="D1046" s="18"/>
      <c r="E1046" s="24"/>
      <c r="F1046" s="13"/>
      <c r="G1046" s="13"/>
      <c r="H1046" s="7"/>
      <c r="I1046" s="13"/>
      <c r="J1046" s="9"/>
      <c r="K1046" s="10"/>
      <c r="L1046" s="10"/>
      <c r="M1046" s="11"/>
      <c r="N1046" s="10"/>
      <c r="O1046" s="42"/>
      <c r="P1046" s="10"/>
    </row>
    <row r="1047" spans="1:16" x14ac:dyDescent="0.25">
      <c r="A1047" s="5"/>
      <c r="B1047" s="22"/>
      <c r="C1047" s="22"/>
      <c r="D1047" s="18"/>
      <c r="E1047" s="24"/>
      <c r="F1047" s="13"/>
      <c r="G1047" s="13"/>
      <c r="H1047" s="7"/>
      <c r="I1047" s="13"/>
      <c r="J1047" s="9"/>
      <c r="K1047" s="10"/>
      <c r="L1047" s="10"/>
      <c r="M1047" s="11"/>
      <c r="N1047" s="10"/>
      <c r="O1047" s="42"/>
      <c r="P1047" s="10"/>
    </row>
    <row r="1048" spans="1:16" x14ac:dyDescent="0.25">
      <c r="A1048" s="5"/>
      <c r="B1048" s="22"/>
      <c r="C1048" s="22"/>
      <c r="D1048" s="18"/>
      <c r="E1048" s="24"/>
      <c r="F1048" s="13"/>
      <c r="G1048" s="13"/>
      <c r="H1048" s="7"/>
      <c r="I1048" s="13"/>
      <c r="J1048" s="9"/>
      <c r="K1048" s="10"/>
      <c r="L1048" s="10"/>
      <c r="M1048" s="11"/>
      <c r="N1048" s="10"/>
      <c r="O1048" s="42"/>
      <c r="P1048" s="10"/>
    </row>
    <row r="1049" spans="1:16" x14ac:dyDescent="0.25">
      <c r="A1049" s="5"/>
      <c r="B1049" s="22"/>
      <c r="C1049" s="22"/>
      <c r="D1049" s="18"/>
      <c r="E1049" s="24"/>
      <c r="F1049" s="13"/>
      <c r="G1049" s="13"/>
      <c r="H1049" s="7"/>
      <c r="I1049" s="13"/>
      <c r="J1049" s="9"/>
      <c r="K1049" s="10"/>
      <c r="L1049" s="10"/>
      <c r="M1049" s="11"/>
      <c r="N1049" s="10"/>
      <c r="O1049" s="42"/>
      <c r="P1049" s="10"/>
    </row>
    <row r="1050" spans="1:16" x14ac:dyDescent="0.25">
      <c r="A1050" s="5"/>
      <c r="B1050" s="22"/>
      <c r="C1050" s="22"/>
      <c r="D1050" s="18"/>
      <c r="E1050" s="24"/>
      <c r="F1050" s="13"/>
      <c r="G1050" s="13"/>
      <c r="H1050" s="7"/>
      <c r="I1050" s="13"/>
      <c r="J1050" s="9"/>
      <c r="K1050" s="10"/>
      <c r="L1050" s="10"/>
      <c r="M1050" s="11"/>
      <c r="N1050" s="10"/>
      <c r="O1050" s="42"/>
      <c r="P1050" s="10"/>
    </row>
    <row r="1051" spans="1:16" x14ac:dyDescent="0.25">
      <c r="A1051" s="5"/>
      <c r="B1051" s="22"/>
      <c r="C1051" s="22"/>
      <c r="D1051" s="18"/>
      <c r="E1051" s="24"/>
      <c r="F1051" s="13"/>
      <c r="G1051" s="13"/>
      <c r="H1051" s="7"/>
      <c r="I1051" s="13"/>
      <c r="J1051" s="9"/>
      <c r="K1051" s="10"/>
      <c r="L1051" s="10"/>
      <c r="M1051" s="11"/>
      <c r="N1051" s="10"/>
      <c r="O1051" s="42"/>
      <c r="P1051" s="10"/>
    </row>
    <row r="1052" spans="1:16" x14ac:dyDescent="0.25">
      <c r="A1052" s="5"/>
      <c r="B1052" s="22"/>
      <c r="C1052" s="22"/>
      <c r="D1052" s="18"/>
      <c r="E1052" s="24"/>
      <c r="F1052" s="13"/>
      <c r="G1052" s="13"/>
      <c r="H1052" s="7"/>
      <c r="I1052" s="13"/>
      <c r="J1052" s="9"/>
      <c r="K1052" s="10"/>
      <c r="L1052" s="10"/>
      <c r="M1052" s="11"/>
      <c r="N1052" s="10"/>
      <c r="O1052" s="42"/>
      <c r="P1052" s="10"/>
    </row>
    <row r="1053" spans="1:16" x14ac:dyDescent="0.25">
      <c r="A1053" s="5"/>
      <c r="B1053" s="22"/>
      <c r="C1053" s="22"/>
      <c r="D1053" s="18"/>
      <c r="E1053" s="24"/>
      <c r="F1053" s="13"/>
      <c r="G1053" s="13"/>
      <c r="H1053" s="7"/>
      <c r="I1053" s="13"/>
      <c r="J1053" s="9"/>
      <c r="K1053" s="10"/>
      <c r="L1053" s="10"/>
      <c r="M1053" s="11"/>
      <c r="N1053" s="10"/>
      <c r="O1053" s="42"/>
      <c r="P1053" s="10"/>
    </row>
    <row r="1054" spans="1:16" x14ac:dyDescent="0.25">
      <c r="A1054" s="5"/>
      <c r="B1054" s="22"/>
      <c r="C1054" s="22"/>
      <c r="D1054" s="18"/>
      <c r="E1054" s="24"/>
      <c r="F1054" s="13"/>
      <c r="G1054" s="13"/>
      <c r="H1054" s="7"/>
      <c r="I1054" s="13"/>
      <c r="J1054" s="9"/>
      <c r="K1054" s="10"/>
      <c r="L1054" s="10"/>
      <c r="M1054" s="11"/>
      <c r="N1054" s="10"/>
      <c r="O1054" s="42"/>
      <c r="P1054" s="10"/>
    </row>
    <row r="1055" spans="1:16" x14ac:dyDescent="0.25">
      <c r="A1055" s="5"/>
      <c r="B1055" s="22"/>
      <c r="C1055" s="22"/>
      <c r="D1055" s="18"/>
      <c r="E1055" s="24"/>
      <c r="F1055" s="13"/>
      <c r="G1055" s="13"/>
      <c r="H1055" s="7"/>
      <c r="I1055" s="13"/>
      <c r="J1055" s="9"/>
      <c r="K1055" s="10"/>
      <c r="L1055" s="10"/>
      <c r="M1055" s="11"/>
      <c r="N1055" s="10"/>
      <c r="O1055" s="42"/>
      <c r="P1055" s="10"/>
    </row>
    <row r="1056" spans="1:16" x14ac:dyDescent="0.25">
      <c r="A1056" s="5"/>
      <c r="B1056" s="22"/>
      <c r="C1056" s="22"/>
      <c r="D1056" s="18"/>
      <c r="E1056" s="24"/>
      <c r="F1056" s="13"/>
      <c r="G1056" s="13"/>
      <c r="H1056" s="7"/>
      <c r="I1056" s="13"/>
      <c r="J1056" s="9"/>
      <c r="K1056" s="10"/>
      <c r="L1056" s="10"/>
      <c r="M1056" s="11"/>
      <c r="N1056" s="10"/>
      <c r="O1056" s="42"/>
      <c r="P1056" s="10"/>
    </row>
    <row r="1057" spans="1:16" x14ac:dyDescent="0.25">
      <c r="A1057" s="5"/>
      <c r="B1057" s="22"/>
      <c r="C1057" s="22"/>
      <c r="D1057" s="18"/>
      <c r="E1057" s="24"/>
      <c r="F1057" s="13"/>
      <c r="G1057" s="13"/>
      <c r="H1057" s="7"/>
      <c r="I1057" s="13"/>
      <c r="J1057" s="9"/>
      <c r="K1057" s="10"/>
      <c r="L1057" s="10"/>
      <c r="M1057" s="11"/>
      <c r="N1057" s="10"/>
      <c r="O1057" s="42"/>
      <c r="P1057" s="10"/>
    </row>
    <row r="1058" spans="1:16" x14ac:dyDescent="0.25">
      <c r="A1058" s="5"/>
      <c r="B1058" s="22"/>
      <c r="C1058" s="22"/>
      <c r="D1058" s="18"/>
      <c r="E1058" s="24"/>
      <c r="F1058" s="13"/>
      <c r="G1058" s="13"/>
      <c r="H1058" s="7"/>
      <c r="I1058" s="13"/>
      <c r="J1058" s="9"/>
      <c r="K1058" s="10"/>
      <c r="L1058" s="10"/>
      <c r="M1058" s="11"/>
      <c r="N1058" s="10"/>
      <c r="O1058" s="42"/>
      <c r="P1058" s="10"/>
    </row>
    <row r="1059" spans="1:16" x14ac:dyDescent="0.25">
      <c r="A1059" s="5"/>
      <c r="B1059" s="22"/>
      <c r="C1059" s="22"/>
      <c r="D1059" s="18"/>
      <c r="E1059" s="24"/>
      <c r="F1059" s="13"/>
      <c r="G1059" s="13"/>
      <c r="H1059" s="7"/>
      <c r="I1059" s="13"/>
      <c r="J1059" s="9"/>
      <c r="K1059" s="10"/>
      <c r="L1059" s="10"/>
      <c r="M1059" s="11"/>
      <c r="N1059" s="10"/>
      <c r="O1059" s="42"/>
      <c r="P1059" s="10"/>
    </row>
    <row r="1060" spans="1:16" x14ac:dyDescent="0.25">
      <c r="A1060" s="5"/>
      <c r="B1060" s="22"/>
      <c r="C1060" s="22"/>
      <c r="D1060" s="18"/>
      <c r="E1060" s="24"/>
      <c r="F1060" s="13"/>
      <c r="G1060" s="13"/>
      <c r="H1060" s="7"/>
      <c r="I1060" s="13"/>
      <c r="J1060" s="9"/>
      <c r="K1060" s="10"/>
      <c r="L1060" s="10"/>
      <c r="M1060" s="11"/>
      <c r="N1060" s="10"/>
      <c r="O1060" s="42"/>
      <c r="P1060" s="10"/>
    </row>
    <row r="1061" spans="1:16" x14ac:dyDescent="0.25">
      <c r="A1061" s="5"/>
      <c r="B1061" s="22"/>
      <c r="C1061" s="22"/>
      <c r="D1061" s="18"/>
      <c r="E1061" s="24"/>
      <c r="F1061" s="13"/>
      <c r="G1061" s="13"/>
      <c r="H1061" s="7"/>
      <c r="I1061" s="13"/>
      <c r="J1061" s="9"/>
      <c r="K1061" s="10"/>
      <c r="L1061" s="10"/>
      <c r="M1061" s="11"/>
      <c r="N1061" s="10"/>
      <c r="O1061" s="42"/>
      <c r="P1061" s="10"/>
    </row>
    <row r="1062" spans="1:16" x14ac:dyDescent="0.25">
      <c r="A1062" s="5"/>
      <c r="B1062" s="22"/>
      <c r="C1062" s="22"/>
      <c r="D1062" s="18"/>
      <c r="E1062" s="24"/>
      <c r="F1062" s="13"/>
      <c r="G1062" s="13"/>
      <c r="H1062" s="7"/>
      <c r="I1062" s="13"/>
      <c r="J1062" s="9"/>
      <c r="K1062" s="10"/>
      <c r="L1062" s="10"/>
      <c r="M1062" s="11"/>
      <c r="N1062" s="10"/>
      <c r="O1062" s="42"/>
      <c r="P1062" s="10"/>
    </row>
    <row r="1063" spans="1:16" x14ac:dyDescent="0.25">
      <c r="A1063" s="5"/>
      <c r="B1063" s="22"/>
      <c r="C1063" s="22"/>
      <c r="D1063" s="18"/>
      <c r="E1063" s="24"/>
      <c r="F1063" s="13"/>
      <c r="G1063" s="13"/>
      <c r="H1063" s="7"/>
      <c r="I1063" s="13"/>
      <c r="J1063" s="9"/>
      <c r="K1063" s="10"/>
      <c r="L1063" s="10"/>
      <c r="M1063" s="11"/>
      <c r="N1063" s="10"/>
      <c r="O1063" s="42"/>
      <c r="P1063" s="10"/>
    </row>
    <row r="1064" spans="1:16" x14ac:dyDescent="0.25">
      <c r="A1064" s="5"/>
      <c r="B1064" s="22"/>
      <c r="C1064" s="22"/>
      <c r="D1064" s="18"/>
      <c r="E1064" s="24"/>
      <c r="F1064" s="13"/>
      <c r="G1064" s="13"/>
      <c r="H1064" s="7"/>
      <c r="I1064" s="13"/>
      <c r="J1064" s="9"/>
      <c r="K1064" s="10"/>
      <c r="L1064" s="10"/>
      <c r="M1064" s="11"/>
      <c r="N1064" s="10"/>
      <c r="O1064" s="42"/>
      <c r="P1064" s="10"/>
    </row>
    <row r="1065" spans="1:16" x14ac:dyDescent="0.25">
      <c r="A1065" s="5"/>
      <c r="B1065" s="22"/>
      <c r="C1065" s="22"/>
      <c r="D1065" s="18"/>
      <c r="E1065" s="24"/>
      <c r="F1065" s="13"/>
      <c r="G1065" s="13"/>
      <c r="H1065" s="7"/>
      <c r="I1065" s="13"/>
      <c r="J1065" s="9"/>
      <c r="K1065" s="10"/>
      <c r="L1065" s="10"/>
      <c r="M1065" s="11"/>
      <c r="N1065" s="10"/>
      <c r="O1065" s="42"/>
      <c r="P1065" s="10"/>
    </row>
    <row r="1066" spans="1:16" x14ac:dyDescent="0.25">
      <c r="A1066" s="5"/>
      <c r="B1066" s="22"/>
      <c r="C1066" s="22"/>
      <c r="D1066" s="18"/>
      <c r="E1066" s="24"/>
      <c r="F1066" s="13"/>
      <c r="G1066" s="13"/>
      <c r="H1066" s="7"/>
      <c r="I1066" s="13"/>
      <c r="J1066" s="9"/>
      <c r="K1066" s="10"/>
      <c r="L1066" s="10"/>
      <c r="M1066" s="11"/>
      <c r="N1066" s="10"/>
      <c r="O1066" s="42"/>
      <c r="P1066" s="10"/>
    </row>
    <row r="1067" spans="1:16" x14ac:dyDescent="0.25">
      <c r="A1067" s="5"/>
      <c r="B1067" s="22"/>
      <c r="C1067" s="22"/>
      <c r="D1067" s="18"/>
      <c r="E1067" s="24"/>
      <c r="F1067" s="13"/>
      <c r="G1067" s="13"/>
      <c r="H1067" s="7"/>
      <c r="I1067" s="13"/>
      <c r="J1067" s="9"/>
      <c r="K1067" s="10"/>
      <c r="L1067" s="10"/>
      <c r="M1067" s="11"/>
      <c r="N1067" s="10"/>
      <c r="O1067" s="42"/>
      <c r="P1067" s="10"/>
    </row>
    <row r="1068" spans="1:16" x14ac:dyDescent="0.25">
      <c r="A1068" s="5"/>
      <c r="B1068" s="22"/>
      <c r="C1068" s="22"/>
      <c r="D1068" s="18"/>
      <c r="E1068" s="24"/>
      <c r="F1068" s="13"/>
      <c r="G1068" s="13"/>
      <c r="H1068" s="7"/>
      <c r="I1068" s="13"/>
      <c r="J1068" s="9"/>
      <c r="K1068" s="10"/>
      <c r="L1068" s="10"/>
      <c r="M1068" s="11"/>
      <c r="N1068" s="10"/>
      <c r="O1068" s="42"/>
      <c r="P1068" s="10"/>
    </row>
    <row r="1069" spans="1:16" x14ac:dyDescent="0.25">
      <c r="A1069" s="5"/>
      <c r="B1069" s="22"/>
      <c r="C1069" s="22"/>
      <c r="D1069" s="18"/>
      <c r="E1069" s="24"/>
      <c r="F1069" s="13"/>
      <c r="G1069" s="13"/>
      <c r="H1069" s="7"/>
      <c r="I1069" s="13"/>
      <c r="J1069" s="9"/>
      <c r="K1069" s="10"/>
      <c r="L1069" s="10"/>
      <c r="M1069" s="11"/>
      <c r="N1069" s="10"/>
      <c r="O1069" s="42"/>
      <c r="P1069" s="10"/>
    </row>
    <row r="1070" spans="1:16" x14ac:dyDescent="0.25">
      <c r="A1070" s="5"/>
      <c r="B1070" s="22"/>
      <c r="C1070" s="22"/>
      <c r="D1070" s="18"/>
      <c r="E1070" s="24"/>
      <c r="F1070" s="13"/>
      <c r="G1070" s="13"/>
      <c r="H1070" s="7"/>
      <c r="I1070" s="13"/>
      <c r="J1070" s="9"/>
      <c r="K1070" s="10"/>
      <c r="L1070" s="10"/>
      <c r="M1070" s="11"/>
      <c r="N1070" s="10"/>
      <c r="O1070" s="42"/>
      <c r="P1070" s="10"/>
    </row>
    <row r="1071" spans="1:16" x14ac:dyDescent="0.25">
      <c r="A1071" s="5"/>
      <c r="B1071" s="22"/>
      <c r="C1071" s="22"/>
      <c r="D1071" s="18"/>
      <c r="E1071" s="24"/>
      <c r="F1071" s="13"/>
      <c r="G1071" s="13"/>
      <c r="H1071" s="7"/>
      <c r="I1071" s="13"/>
      <c r="J1071" s="9"/>
      <c r="K1071" s="10"/>
      <c r="L1071" s="10"/>
      <c r="M1071" s="11"/>
      <c r="N1071" s="10"/>
      <c r="O1071" s="42"/>
      <c r="P1071" s="10"/>
    </row>
    <row r="1072" spans="1:16" x14ac:dyDescent="0.25">
      <c r="A1072" s="5"/>
      <c r="B1072" s="22"/>
      <c r="C1072" s="22"/>
      <c r="D1072" s="18"/>
      <c r="E1072" s="24"/>
      <c r="F1072" s="13"/>
      <c r="G1072" s="13"/>
      <c r="H1072" s="7"/>
      <c r="I1072" s="13"/>
      <c r="J1072" s="9"/>
      <c r="K1072" s="10"/>
      <c r="L1072" s="10"/>
      <c r="M1072" s="11"/>
      <c r="N1072" s="10"/>
      <c r="O1072" s="42"/>
      <c r="P1072" s="10"/>
    </row>
    <row r="1073" spans="1:16" x14ac:dyDescent="0.25">
      <c r="A1073" s="5"/>
      <c r="B1073" s="22"/>
      <c r="C1073" s="22"/>
      <c r="D1073" s="18"/>
      <c r="E1073" s="24"/>
      <c r="F1073" s="13"/>
      <c r="G1073" s="13"/>
      <c r="H1073" s="7"/>
      <c r="I1073" s="13"/>
      <c r="J1073" s="9"/>
      <c r="K1073" s="10"/>
      <c r="L1073" s="10"/>
      <c r="M1073" s="11"/>
      <c r="N1073" s="10"/>
      <c r="O1073" s="42"/>
      <c r="P1073" s="10"/>
    </row>
    <row r="1074" spans="1:16" x14ac:dyDescent="0.25">
      <c r="A1074" s="5"/>
      <c r="B1074" s="22"/>
      <c r="C1074" s="22"/>
      <c r="D1074" s="18"/>
      <c r="E1074" s="24"/>
      <c r="F1074" s="13"/>
      <c r="G1074" s="13"/>
      <c r="H1074" s="7"/>
      <c r="I1074" s="13"/>
      <c r="J1074" s="9"/>
      <c r="K1074" s="10"/>
      <c r="L1074" s="10"/>
      <c r="M1074" s="11"/>
      <c r="N1074" s="10"/>
      <c r="O1074" s="42"/>
      <c r="P1074" s="10"/>
    </row>
    <row r="1075" spans="1:16" x14ac:dyDescent="0.25">
      <c r="A1075" s="5"/>
      <c r="B1075" s="22"/>
      <c r="C1075" s="22"/>
      <c r="D1075" s="18"/>
      <c r="E1075" s="24"/>
      <c r="F1075" s="13"/>
      <c r="G1075" s="13"/>
      <c r="H1075" s="7"/>
      <c r="I1075" s="13"/>
      <c r="J1075" s="9"/>
      <c r="K1075" s="10"/>
      <c r="L1075" s="10"/>
      <c r="M1075" s="11"/>
      <c r="N1075" s="10"/>
      <c r="O1075" s="42"/>
      <c r="P1075" s="10"/>
    </row>
    <row r="1076" spans="1:16" x14ac:dyDescent="0.25">
      <c r="A1076" s="5"/>
      <c r="B1076" s="22"/>
      <c r="C1076" s="22"/>
      <c r="D1076" s="18"/>
      <c r="E1076" s="24"/>
      <c r="F1076" s="13"/>
      <c r="G1076" s="13"/>
      <c r="H1076" s="7"/>
      <c r="I1076" s="13"/>
      <c r="J1076" s="9"/>
      <c r="K1076" s="10"/>
      <c r="L1076" s="10"/>
      <c r="M1076" s="11"/>
      <c r="N1076" s="10"/>
      <c r="O1076" s="42"/>
      <c r="P1076" s="10"/>
    </row>
    <row r="1077" spans="1:16" x14ac:dyDescent="0.25">
      <c r="A1077" s="5"/>
      <c r="B1077" s="22"/>
      <c r="C1077" s="22"/>
      <c r="D1077" s="18"/>
      <c r="E1077" s="24"/>
      <c r="F1077" s="13"/>
      <c r="G1077" s="13"/>
      <c r="H1077" s="7"/>
      <c r="I1077" s="13"/>
      <c r="J1077" s="9"/>
      <c r="K1077" s="10"/>
      <c r="L1077" s="10"/>
      <c r="M1077" s="11"/>
      <c r="N1077" s="10"/>
      <c r="O1077" s="42"/>
      <c r="P1077" s="10"/>
    </row>
    <row r="1078" spans="1:16" x14ac:dyDescent="0.25">
      <c r="A1078" s="5"/>
      <c r="B1078" s="22"/>
      <c r="C1078" s="22"/>
      <c r="D1078" s="18"/>
      <c r="E1078" s="24"/>
      <c r="F1078" s="13"/>
      <c r="G1078" s="13"/>
      <c r="H1078" s="7"/>
      <c r="I1078" s="13"/>
      <c r="J1078" s="9"/>
      <c r="K1078" s="10"/>
      <c r="L1078" s="10"/>
      <c r="M1078" s="11"/>
      <c r="N1078" s="10"/>
      <c r="O1078" s="42"/>
      <c r="P1078" s="10"/>
    </row>
    <row r="1079" spans="1:16" x14ac:dyDescent="0.25">
      <c r="A1079" s="5"/>
      <c r="B1079" s="22"/>
      <c r="C1079" s="22"/>
      <c r="D1079" s="18"/>
      <c r="E1079" s="24"/>
      <c r="F1079" s="13"/>
      <c r="G1079" s="13"/>
      <c r="H1079" s="7"/>
      <c r="I1079" s="13"/>
      <c r="J1079" s="9"/>
      <c r="K1079" s="10"/>
      <c r="L1079" s="10"/>
      <c r="M1079" s="11"/>
      <c r="N1079" s="10"/>
      <c r="O1079" s="42"/>
      <c r="P1079" s="10"/>
    </row>
    <row r="1080" spans="1:16" x14ac:dyDescent="0.25">
      <c r="A1080" s="5"/>
      <c r="B1080" s="22"/>
      <c r="C1080" s="22"/>
      <c r="D1080" s="18"/>
      <c r="E1080" s="24"/>
      <c r="F1080" s="13"/>
      <c r="G1080" s="13"/>
      <c r="H1080" s="7"/>
      <c r="I1080" s="13"/>
      <c r="J1080" s="9"/>
      <c r="K1080" s="10"/>
      <c r="L1080" s="10"/>
      <c r="M1080" s="11"/>
      <c r="N1080" s="10"/>
      <c r="O1080" s="42"/>
      <c r="P1080" s="10"/>
    </row>
    <row r="1081" spans="1:16" x14ac:dyDescent="0.25">
      <c r="A1081" s="5"/>
      <c r="B1081" s="22"/>
      <c r="C1081" s="22"/>
      <c r="D1081" s="18"/>
      <c r="E1081" s="24"/>
      <c r="F1081" s="13"/>
      <c r="G1081" s="13"/>
      <c r="H1081" s="7"/>
      <c r="I1081" s="13"/>
      <c r="J1081" s="9"/>
      <c r="K1081" s="10"/>
      <c r="L1081" s="10"/>
      <c r="M1081" s="11"/>
      <c r="N1081" s="10"/>
      <c r="O1081" s="42"/>
      <c r="P1081" s="10"/>
    </row>
    <row r="1082" spans="1:16" x14ac:dyDescent="0.25">
      <c r="A1082" s="5"/>
      <c r="B1082" s="22"/>
      <c r="C1082" s="22"/>
      <c r="D1082" s="18"/>
      <c r="E1082" s="24"/>
      <c r="F1082" s="13"/>
      <c r="G1082" s="13"/>
      <c r="H1082" s="7"/>
      <c r="I1082" s="13"/>
      <c r="J1082" s="9"/>
      <c r="K1082" s="10"/>
      <c r="L1082" s="10"/>
      <c r="M1082" s="11"/>
      <c r="N1082" s="10"/>
      <c r="O1082" s="42"/>
      <c r="P1082" s="10"/>
    </row>
    <row r="1083" spans="1:16" x14ac:dyDescent="0.25">
      <c r="A1083" s="5"/>
      <c r="B1083" s="22"/>
      <c r="C1083" s="22"/>
      <c r="D1083" s="18"/>
      <c r="E1083" s="24"/>
      <c r="F1083" s="13"/>
      <c r="G1083" s="13"/>
      <c r="H1083" s="7"/>
      <c r="I1083" s="13"/>
      <c r="J1083" s="9"/>
      <c r="K1083" s="10"/>
      <c r="L1083" s="10"/>
      <c r="M1083" s="11"/>
      <c r="N1083" s="10"/>
      <c r="O1083" s="42"/>
      <c r="P1083" s="10"/>
    </row>
    <row r="1084" spans="1:16" x14ac:dyDescent="0.25">
      <c r="A1084" s="5"/>
      <c r="B1084" s="22"/>
      <c r="C1084" s="22"/>
      <c r="D1084" s="18"/>
      <c r="E1084" s="24"/>
      <c r="F1084" s="13"/>
      <c r="G1084" s="13"/>
      <c r="H1084" s="7"/>
      <c r="I1084" s="13"/>
      <c r="J1084" s="9"/>
      <c r="K1084" s="10"/>
      <c r="L1084" s="10"/>
      <c r="M1084" s="11"/>
      <c r="N1084" s="10"/>
      <c r="O1084" s="42"/>
      <c r="P1084" s="10"/>
    </row>
    <row r="1085" spans="1:16" x14ac:dyDescent="0.25">
      <c r="A1085" s="5"/>
      <c r="B1085" s="22"/>
      <c r="C1085" s="22"/>
      <c r="D1085" s="18"/>
      <c r="E1085" s="24"/>
      <c r="F1085" s="13"/>
      <c r="G1085" s="13"/>
      <c r="H1085" s="7"/>
      <c r="I1085" s="13"/>
      <c r="J1085" s="9"/>
      <c r="K1085" s="10"/>
      <c r="L1085" s="10"/>
      <c r="M1085" s="11"/>
      <c r="N1085" s="10"/>
      <c r="O1085" s="42"/>
      <c r="P1085" s="10"/>
    </row>
    <row r="1086" spans="1:16" x14ac:dyDescent="0.25">
      <c r="A1086" s="5"/>
      <c r="B1086" s="22"/>
      <c r="C1086" s="22"/>
      <c r="D1086" s="18"/>
      <c r="E1086" s="24"/>
      <c r="F1086" s="13"/>
      <c r="G1086" s="13"/>
      <c r="H1086" s="7"/>
      <c r="I1086" s="13"/>
      <c r="J1086" s="9"/>
      <c r="K1086" s="10"/>
      <c r="L1086" s="10"/>
      <c r="M1086" s="11"/>
      <c r="N1086" s="10"/>
      <c r="O1086" s="42"/>
      <c r="P1086" s="10"/>
    </row>
    <row r="1087" spans="1:16" x14ac:dyDescent="0.25">
      <c r="A1087" s="5"/>
      <c r="B1087" s="22"/>
      <c r="C1087" s="22"/>
      <c r="D1087" s="18"/>
      <c r="E1087" s="24"/>
      <c r="F1087" s="13"/>
      <c r="G1087" s="13"/>
      <c r="H1087" s="7"/>
      <c r="I1087" s="13"/>
      <c r="J1087" s="9"/>
      <c r="K1087" s="10"/>
      <c r="L1087" s="10"/>
      <c r="M1087" s="11"/>
      <c r="N1087" s="10"/>
      <c r="O1087" s="42"/>
      <c r="P1087" s="10"/>
    </row>
    <row r="1088" spans="1:16" x14ac:dyDescent="0.25">
      <c r="A1088" s="5"/>
      <c r="B1088" s="22"/>
      <c r="C1088" s="22"/>
      <c r="D1088" s="18"/>
      <c r="E1088" s="24"/>
      <c r="F1088" s="13"/>
      <c r="G1088" s="13"/>
      <c r="H1088" s="7"/>
      <c r="I1088" s="13"/>
      <c r="J1088" s="9"/>
      <c r="K1088" s="10"/>
      <c r="L1088" s="10"/>
      <c r="M1088" s="11"/>
      <c r="N1088" s="10"/>
      <c r="O1088" s="42"/>
      <c r="P1088" s="10"/>
    </row>
    <row r="1089" spans="1:16" x14ac:dyDescent="0.25">
      <c r="A1089" s="5"/>
      <c r="B1089" s="22"/>
      <c r="C1089" s="22"/>
      <c r="D1089" s="18"/>
      <c r="E1089" s="24"/>
      <c r="F1089" s="13"/>
      <c r="G1089" s="13"/>
      <c r="H1089" s="7"/>
      <c r="I1089" s="13"/>
      <c r="J1089" s="9"/>
      <c r="K1089" s="10"/>
      <c r="L1089" s="10"/>
      <c r="M1089" s="11"/>
      <c r="N1089" s="10"/>
      <c r="O1089" s="42"/>
      <c r="P1089" s="10"/>
    </row>
    <row r="1090" spans="1:16" x14ac:dyDescent="0.25">
      <c r="A1090" s="5"/>
      <c r="B1090" s="22"/>
      <c r="C1090" s="22"/>
      <c r="D1090" s="18"/>
      <c r="E1090" s="24"/>
      <c r="F1090" s="13"/>
      <c r="G1090" s="13"/>
      <c r="H1090" s="7"/>
      <c r="I1090" s="13"/>
      <c r="J1090" s="9"/>
      <c r="K1090" s="10"/>
      <c r="L1090" s="10"/>
      <c r="M1090" s="11"/>
      <c r="N1090" s="10"/>
      <c r="O1090" s="42"/>
      <c r="P1090" s="10"/>
    </row>
    <row r="1091" spans="1:16" x14ac:dyDescent="0.25">
      <c r="A1091" s="5"/>
      <c r="B1091" s="22"/>
      <c r="C1091" s="22"/>
      <c r="D1091" s="18"/>
      <c r="E1091" s="24"/>
      <c r="F1091" s="13"/>
      <c r="G1091" s="13"/>
      <c r="H1091" s="7"/>
      <c r="I1091" s="13"/>
      <c r="J1091" s="9"/>
      <c r="K1091" s="10"/>
      <c r="L1091" s="10"/>
      <c r="M1091" s="11"/>
      <c r="N1091" s="10"/>
      <c r="O1091" s="42"/>
      <c r="P1091" s="10"/>
    </row>
    <row r="1092" spans="1:16" x14ac:dyDescent="0.25">
      <c r="A1092" s="5"/>
      <c r="B1092" s="22"/>
      <c r="C1092" s="22"/>
      <c r="D1092" s="18"/>
      <c r="E1092" s="24"/>
      <c r="F1092" s="13"/>
      <c r="G1092" s="13"/>
      <c r="H1092" s="7"/>
      <c r="I1092" s="13"/>
      <c r="J1092" s="9"/>
      <c r="K1092" s="10"/>
      <c r="L1092" s="10"/>
      <c r="M1092" s="11"/>
      <c r="N1092" s="10"/>
      <c r="O1092" s="42"/>
      <c r="P1092" s="10"/>
    </row>
    <row r="1093" spans="1:16" x14ac:dyDescent="0.25">
      <c r="A1093" s="5"/>
      <c r="B1093" s="22"/>
      <c r="C1093" s="22"/>
      <c r="D1093" s="18"/>
      <c r="E1093" s="24"/>
      <c r="F1093" s="13"/>
      <c r="G1093" s="13"/>
      <c r="H1093" s="7"/>
      <c r="I1093" s="13"/>
      <c r="J1093" s="9"/>
      <c r="K1093" s="10"/>
      <c r="L1093" s="10"/>
      <c r="M1093" s="11"/>
      <c r="N1093" s="10"/>
      <c r="O1093" s="42"/>
      <c r="P1093" s="10"/>
    </row>
    <row r="1094" spans="1:16" x14ac:dyDescent="0.25">
      <c r="A1094" s="5"/>
      <c r="B1094" s="22"/>
      <c r="C1094" s="22"/>
      <c r="D1094" s="18"/>
      <c r="E1094" s="24"/>
      <c r="F1094" s="13"/>
      <c r="G1094" s="13"/>
      <c r="H1094" s="7"/>
      <c r="I1094" s="13"/>
      <c r="J1094" s="9"/>
      <c r="K1094" s="10"/>
      <c r="L1094" s="10"/>
      <c r="M1094" s="11"/>
      <c r="N1094" s="10"/>
      <c r="O1094" s="42"/>
      <c r="P1094" s="10"/>
    </row>
    <row r="1095" spans="1:16" x14ac:dyDescent="0.25">
      <c r="A1095" s="5"/>
      <c r="B1095" s="22"/>
      <c r="C1095" s="22"/>
      <c r="D1095" s="18"/>
      <c r="E1095" s="24"/>
      <c r="F1095" s="13"/>
      <c r="G1095" s="13"/>
      <c r="H1095" s="7"/>
      <c r="I1095" s="13"/>
      <c r="J1095" s="9"/>
      <c r="K1095" s="10"/>
      <c r="L1095" s="10"/>
      <c r="M1095" s="11"/>
      <c r="N1095" s="10"/>
      <c r="O1095" s="42"/>
      <c r="P1095" s="10"/>
    </row>
    <row r="1096" spans="1:16" x14ac:dyDescent="0.25">
      <c r="A1096" s="5"/>
      <c r="B1096" s="22"/>
      <c r="C1096" s="22"/>
      <c r="D1096" s="18"/>
      <c r="E1096" s="24"/>
      <c r="F1096" s="13"/>
      <c r="G1096" s="13"/>
      <c r="H1096" s="7"/>
      <c r="I1096" s="13"/>
      <c r="J1096" s="9"/>
      <c r="K1096" s="10"/>
      <c r="L1096" s="10"/>
      <c r="M1096" s="11"/>
      <c r="N1096" s="10"/>
      <c r="O1096" s="42"/>
      <c r="P1096" s="10"/>
    </row>
    <row r="1097" spans="1:16" x14ac:dyDescent="0.25">
      <c r="A1097" s="5"/>
      <c r="B1097" s="22"/>
      <c r="C1097" s="22"/>
      <c r="D1097" s="18"/>
      <c r="E1097" s="24"/>
      <c r="F1097" s="13"/>
      <c r="G1097" s="13"/>
      <c r="H1097" s="7"/>
      <c r="I1097" s="13"/>
      <c r="J1097" s="9"/>
      <c r="K1097" s="10"/>
      <c r="L1097" s="10"/>
      <c r="M1097" s="11"/>
      <c r="N1097" s="10"/>
      <c r="O1097" s="42"/>
      <c r="P1097" s="10"/>
    </row>
    <row r="1098" spans="1:16" x14ac:dyDescent="0.25">
      <c r="A1098" s="5"/>
      <c r="B1098" s="22"/>
      <c r="C1098" s="22"/>
      <c r="D1098" s="18"/>
      <c r="E1098" s="24"/>
      <c r="F1098" s="13"/>
      <c r="G1098" s="13"/>
      <c r="H1098" s="7"/>
      <c r="I1098" s="13"/>
      <c r="J1098" s="9"/>
      <c r="K1098" s="10"/>
      <c r="L1098" s="10"/>
      <c r="M1098" s="11"/>
      <c r="N1098" s="10"/>
      <c r="O1098" s="42"/>
      <c r="P1098" s="10"/>
    </row>
    <row r="1099" spans="1:16" x14ac:dyDescent="0.25">
      <c r="A1099" s="5"/>
      <c r="B1099" s="22"/>
      <c r="C1099" s="22"/>
      <c r="D1099" s="18"/>
      <c r="E1099" s="24"/>
      <c r="F1099" s="13"/>
      <c r="G1099" s="13"/>
      <c r="H1099" s="7"/>
      <c r="I1099" s="13"/>
      <c r="J1099" s="9"/>
      <c r="K1099" s="10"/>
      <c r="L1099" s="10"/>
      <c r="M1099" s="11"/>
      <c r="N1099" s="10"/>
      <c r="O1099" s="42"/>
      <c r="P1099" s="10"/>
    </row>
    <row r="1100" spans="1:16" x14ac:dyDescent="0.25">
      <c r="A1100" s="5"/>
      <c r="B1100" s="22"/>
      <c r="C1100" s="22"/>
      <c r="D1100" s="18"/>
      <c r="E1100" s="24"/>
      <c r="F1100" s="13"/>
      <c r="G1100" s="13"/>
      <c r="H1100" s="7"/>
      <c r="I1100" s="13"/>
      <c r="J1100" s="9"/>
      <c r="K1100" s="10"/>
      <c r="L1100" s="10"/>
      <c r="M1100" s="11"/>
      <c r="N1100" s="10"/>
      <c r="O1100" s="42"/>
      <c r="P1100" s="10"/>
    </row>
    <row r="1101" spans="1:16" x14ac:dyDescent="0.25">
      <c r="A1101" s="5"/>
      <c r="B1101" s="22"/>
      <c r="C1101" s="22"/>
      <c r="D1101" s="18"/>
      <c r="E1101" s="24"/>
      <c r="F1101" s="13"/>
      <c r="G1101" s="13"/>
      <c r="H1101" s="7"/>
      <c r="I1101" s="13"/>
      <c r="J1101" s="9"/>
      <c r="K1101" s="10"/>
      <c r="L1101" s="10"/>
      <c r="M1101" s="11"/>
      <c r="N1101" s="10"/>
      <c r="O1101" s="42"/>
      <c r="P1101" s="10"/>
    </row>
    <row r="1102" spans="1:16" x14ac:dyDescent="0.25">
      <c r="A1102" s="5"/>
      <c r="B1102" s="22"/>
      <c r="C1102" s="22"/>
      <c r="D1102" s="18"/>
      <c r="E1102" s="24"/>
      <c r="F1102" s="13"/>
      <c r="G1102" s="13"/>
      <c r="H1102" s="7"/>
      <c r="I1102" s="13"/>
      <c r="J1102" s="9"/>
      <c r="K1102" s="10"/>
      <c r="L1102" s="10"/>
      <c r="M1102" s="11"/>
      <c r="N1102" s="10"/>
      <c r="O1102" s="42"/>
      <c r="P1102" s="10"/>
    </row>
    <row r="1103" spans="1:16" x14ac:dyDescent="0.25">
      <c r="A1103" s="5"/>
      <c r="B1103" s="22"/>
      <c r="C1103" s="22"/>
      <c r="D1103" s="18"/>
      <c r="E1103" s="24"/>
      <c r="F1103" s="13"/>
      <c r="G1103" s="13"/>
      <c r="H1103" s="7"/>
      <c r="I1103" s="13"/>
      <c r="J1103" s="9"/>
      <c r="K1103" s="10"/>
      <c r="L1103" s="10"/>
      <c r="M1103" s="11"/>
      <c r="N1103" s="10"/>
      <c r="O1103" s="42"/>
      <c r="P1103" s="10"/>
    </row>
    <row r="1104" spans="1:16" x14ac:dyDescent="0.25">
      <c r="A1104" s="5"/>
      <c r="B1104" s="22"/>
      <c r="C1104" s="22"/>
      <c r="D1104" s="18"/>
      <c r="E1104" s="24"/>
      <c r="F1104" s="13"/>
      <c r="G1104" s="13"/>
      <c r="H1104" s="7"/>
      <c r="I1104" s="13"/>
      <c r="J1104" s="9"/>
      <c r="K1104" s="10"/>
      <c r="L1104" s="10"/>
      <c r="M1104" s="11"/>
      <c r="N1104" s="10"/>
      <c r="O1104" s="42"/>
      <c r="P1104" s="10"/>
    </row>
    <row r="1105" spans="1:16" x14ac:dyDescent="0.25">
      <c r="A1105" s="5"/>
      <c r="B1105" s="22"/>
      <c r="C1105" s="22"/>
      <c r="D1105" s="18"/>
      <c r="E1105" s="24"/>
      <c r="F1105" s="13"/>
      <c r="G1105" s="13"/>
      <c r="H1105" s="7"/>
      <c r="I1105" s="13"/>
      <c r="J1105" s="9"/>
      <c r="K1105" s="10"/>
      <c r="L1105" s="10"/>
      <c r="M1105" s="11"/>
      <c r="N1105" s="10"/>
      <c r="O1105" s="42"/>
      <c r="P1105" s="10"/>
    </row>
    <row r="1106" spans="1:16" x14ac:dyDescent="0.25">
      <c r="A1106" s="5"/>
      <c r="B1106" s="22"/>
      <c r="C1106" s="22"/>
      <c r="D1106" s="18"/>
      <c r="E1106" s="24"/>
      <c r="F1106" s="13"/>
      <c r="G1106" s="13"/>
      <c r="H1106" s="7"/>
      <c r="I1106" s="13"/>
      <c r="J1106" s="9"/>
      <c r="K1106" s="10"/>
      <c r="L1106" s="10"/>
      <c r="M1106" s="11"/>
      <c r="N1106" s="10"/>
      <c r="O1106" s="42"/>
      <c r="P1106" s="10"/>
    </row>
    <row r="1107" spans="1:16" x14ac:dyDescent="0.25">
      <c r="A1107" s="5"/>
      <c r="B1107" s="22"/>
      <c r="C1107" s="22"/>
      <c r="D1107" s="18"/>
      <c r="E1107" s="24"/>
      <c r="F1107" s="13"/>
      <c r="G1107" s="13"/>
      <c r="H1107" s="7"/>
      <c r="I1107" s="13"/>
      <c r="J1107" s="9"/>
      <c r="K1107" s="10"/>
      <c r="L1107" s="10"/>
      <c r="M1107" s="11"/>
      <c r="N1107" s="10"/>
      <c r="O1107" s="42"/>
      <c r="P1107" s="10"/>
    </row>
    <row r="1108" spans="1:16" x14ac:dyDescent="0.25">
      <c r="A1108" s="5"/>
      <c r="B1108" s="22"/>
      <c r="C1108" s="22"/>
      <c r="D1108" s="18"/>
      <c r="E1108" s="24"/>
      <c r="F1108" s="13"/>
      <c r="G1108" s="13"/>
      <c r="H1108" s="7"/>
      <c r="I1108" s="13"/>
      <c r="J1108" s="9"/>
      <c r="K1108" s="10"/>
      <c r="L1108" s="10"/>
      <c r="M1108" s="11"/>
      <c r="N1108" s="10"/>
      <c r="O1108" s="42"/>
      <c r="P1108" s="10"/>
    </row>
    <row r="1109" spans="1:16" x14ac:dyDescent="0.25">
      <c r="A1109" s="5"/>
      <c r="B1109" s="22"/>
      <c r="C1109" s="22"/>
      <c r="D1109" s="18"/>
      <c r="E1109" s="24"/>
      <c r="F1109" s="13"/>
      <c r="G1109" s="13"/>
      <c r="H1109" s="7"/>
      <c r="I1109" s="13"/>
      <c r="J1109" s="9"/>
      <c r="K1109" s="10"/>
      <c r="L1109" s="10"/>
      <c r="M1109" s="11"/>
      <c r="N1109" s="10"/>
      <c r="O1109" s="42"/>
      <c r="P1109" s="10"/>
    </row>
    <row r="1110" spans="1:16" x14ac:dyDescent="0.25">
      <c r="A1110" s="5"/>
      <c r="B1110" s="22"/>
      <c r="C1110" s="22"/>
      <c r="D1110" s="18"/>
      <c r="E1110" s="24"/>
      <c r="F1110" s="13"/>
      <c r="G1110" s="13"/>
      <c r="H1110" s="7"/>
      <c r="I1110" s="13"/>
      <c r="J1110" s="9"/>
      <c r="K1110" s="10"/>
      <c r="L1110" s="10"/>
      <c r="M1110" s="11"/>
      <c r="N1110" s="10"/>
      <c r="O1110" s="42"/>
      <c r="P1110" s="10"/>
    </row>
    <row r="1111" spans="1:16" x14ac:dyDescent="0.25">
      <c r="A1111" s="5"/>
      <c r="B1111" s="22"/>
      <c r="C1111" s="22"/>
      <c r="D1111" s="18"/>
      <c r="E1111" s="24"/>
      <c r="F1111" s="13"/>
      <c r="G1111" s="13"/>
      <c r="H1111" s="7"/>
      <c r="I1111" s="13"/>
      <c r="J1111" s="9"/>
      <c r="K1111" s="10"/>
      <c r="L1111" s="10"/>
      <c r="M1111" s="11"/>
      <c r="N1111" s="10"/>
      <c r="O1111" s="42"/>
      <c r="P1111" s="10"/>
    </row>
    <row r="1112" spans="1:16" x14ac:dyDescent="0.25">
      <c r="A1112" s="5"/>
      <c r="B1112" s="22"/>
      <c r="C1112" s="22"/>
      <c r="D1112" s="18"/>
      <c r="E1112" s="24"/>
      <c r="F1112" s="13"/>
      <c r="G1112" s="13"/>
      <c r="H1112" s="7"/>
      <c r="I1112" s="13"/>
      <c r="J1112" s="9"/>
      <c r="K1112" s="10"/>
      <c r="L1112" s="10"/>
      <c r="M1112" s="11"/>
      <c r="N1112" s="10"/>
      <c r="O1112" s="42"/>
      <c r="P1112" s="10"/>
    </row>
    <row r="1113" spans="1:16" x14ac:dyDescent="0.25">
      <c r="A1113" s="5"/>
      <c r="B1113" s="22"/>
      <c r="C1113" s="22"/>
      <c r="D1113" s="18"/>
      <c r="E1113" s="24"/>
      <c r="F1113" s="13"/>
      <c r="G1113" s="13"/>
      <c r="H1113" s="7"/>
      <c r="I1113" s="13"/>
      <c r="J1113" s="9"/>
      <c r="K1113" s="10"/>
      <c r="L1113" s="10"/>
      <c r="M1113" s="11"/>
      <c r="N1113" s="10"/>
      <c r="O1113" s="42"/>
      <c r="P1113" s="10"/>
    </row>
    <row r="1114" spans="1:16" x14ac:dyDescent="0.25">
      <c r="A1114" s="5"/>
      <c r="B1114" s="22"/>
      <c r="C1114" s="22"/>
      <c r="D1114" s="18"/>
      <c r="E1114" s="24"/>
      <c r="F1114" s="13"/>
      <c r="G1114" s="13"/>
      <c r="H1114" s="7"/>
      <c r="I1114" s="13"/>
      <c r="J1114" s="9"/>
      <c r="K1114" s="10"/>
      <c r="L1114" s="10"/>
      <c r="M1114" s="11"/>
      <c r="N1114" s="10"/>
      <c r="O1114" s="42"/>
      <c r="P1114" s="10"/>
    </row>
    <row r="1115" spans="1:16" x14ac:dyDescent="0.25">
      <c r="A1115" s="5"/>
      <c r="B1115" s="22"/>
      <c r="C1115" s="22"/>
      <c r="D1115" s="18"/>
      <c r="E1115" s="24"/>
      <c r="F1115" s="13"/>
      <c r="G1115" s="13"/>
      <c r="H1115" s="7"/>
      <c r="I1115" s="13"/>
      <c r="J1115" s="9"/>
      <c r="K1115" s="10"/>
      <c r="L1115" s="10"/>
      <c r="M1115" s="11"/>
      <c r="N1115" s="10"/>
      <c r="O1115" s="42"/>
      <c r="P1115" s="10"/>
    </row>
    <row r="1116" spans="1:16" x14ac:dyDescent="0.25">
      <c r="A1116" s="5"/>
      <c r="B1116" s="22"/>
      <c r="C1116" s="22"/>
      <c r="D1116" s="18"/>
      <c r="E1116" s="24"/>
      <c r="F1116" s="13"/>
      <c r="G1116" s="13"/>
      <c r="H1116" s="7"/>
      <c r="I1116" s="13"/>
      <c r="J1116" s="9"/>
      <c r="K1116" s="10"/>
      <c r="L1116" s="10"/>
      <c r="M1116" s="11"/>
      <c r="N1116" s="10"/>
      <c r="O1116" s="42"/>
      <c r="P1116" s="10"/>
    </row>
    <row r="1117" spans="1:16" x14ac:dyDescent="0.25">
      <c r="A1117" s="5"/>
      <c r="B1117" s="22"/>
      <c r="C1117" s="22"/>
      <c r="D1117" s="18"/>
      <c r="E1117" s="24"/>
      <c r="F1117" s="13"/>
      <c r="G1117" s="13"/>
      <c r="H1117" s="7"/>
      <c r="I1117" s="13"/>
      <c r="J1117" s="9"/>
      <c r="K1117" s="10"/>
      <c r="L1117" s="10"/>
      <c r="M1117" s="11"/>
      <c r="N1117" s="10"/>
      <c r="O1117" s="42"/>
      <c r="P1117" s="10"/>
    </row>
    <row r="1118" spans="1:16" x14ac:dyDescent="0.25">
      <c r="A1118" s="5"/>
      <c r="B1118" s="22"/>
      <c r="C1118" s="22"/>
      <c r="D1118" s="18"/>
      <c r="E1118" s="24"/>
      <c r="F1118" s="13"/>
      <c r="G1118" s="13"/>
      <c r="H1118" s="7"/>
      <c r="I1118" s="13"/>
      <c r="J1118" s="9"/>
      <c r="K1118" s="10"/>
      <c r="L1118" s="10"/>
      <c r="M1118" s="11"/>
      <c r="N1118" s="10"/>
      <c r="O1118" s="42"/>
      <c r="P1118" s="10"/>
    </row>
    <row r="1119" spans="1:16" x14ac:dyDescent="0.25">
      <c r="A1119" s="5"/>
      <c r="B1119" s="22"/>
      <c r="C1119" s="22"/>
      <c r="D1119" s="18"/>
      <c r="E1119" s="24"/>
      <c r="F1119" s="13"/>
      <c r="G1119" s="13"/>
      <c r="H1119" s="7"/>
      <c r="I1119" s="13"/>
      <c r="J1119" s="9"/>
      <c r="K1119" s="10"/>
      <c r="L1119" s="10"/>
      <c r="M1119" s="11"/>
      <c r="N1119" s="10"/>
      <c r="O1119" s="42"/>
      <c r="P1119" s="10"/>
    </row>
    <row r="1120" spans="1:16" x14ac:dyDescent="0.25">
      <c r="A1120" s="5"/>
      <c r="B1120" s="22"/>
      <c r="C1120" s="22"/>
      <c r="D1120" s="18"/>
      <c r="E1120" s="24"/>
      <c r="F1120" s="13"/>
      <c r="G1120" s="13"/>
      <c r="H1120" s="7"/>
      <c r="I1120" s="13"/>
      <c r="J1120" s="9"/>
      <c r="K1120" s="10"/>
      <c r="L1120" s="10"/>
      <c r="M1120" s="11"/>
      <c r="N1120" s="10"/>
      <c r="O1120" s="42"/>
      <c r="P1120" s="10"/>
    </row>
    <row r="1121" spans="1:16" x14ac:dyDescent="0.25">
      <c r="A1121" s="5"/>
      <c r="B1121" s="22"/>
      <c r="C1121" s="22"/>
      <c r="D1121" s="18"/>
      <c r="E1121" s="24"/>
      <c r="F1121" s="13"/>
      <c r="G1121" s="13"/>
      <c r="H1121" s="7"/>
      <c r="I1121" s="13"/>
      <c r="J1121" s="9"/>
      <c r="K1121" s="10"/>
      <c r="L1121" s="10"/>
      <c r="M1121" s="11"/>
      <c r="N1121" s="10"/>
      <c r="O1121" s="42"/>
      <c r="P1121" s="10"/>
    </row>
    <row r="1122" spans="1:16" x14ac:dyDescent="0.25">
      <c r="A1122" s="5"/>
      <c r="B1122" s="22"/>
      <c r="C1122" s="22"/>
      <c r="D1122" s="18"/>
      <c r="E1122" s="24"/>
      <c r="F1122" s="13"/>
      <c r="G1122" s="13"/>
      <c r="H1122" s="7"/>
      <c r="I1122" s="13"/>
      <c r="J1122" s="9"/>
      <c r="K1122" s="10"/>
      <c r="L1122" s="10"/>
      <c r="M1122" s="11"/>
      <c r="N1122" s="10"/>
      <c r="O1122" s="42"/>
      <c r="P1122" s="10"/>
    </row>
    <row r="1123" spans="1:16" x14ac:dyDescent="0.25">
      <c r="A1123" s="5"/>
      <c r="B1123" s="22"/>
      <c r="C1123" s="22"/>
      <c r="D1123" s="18"/>
      <c r="E1123" s="24"/>
      <c r="F1123" s="13"/>
      <c r="G1123" s="13"/>
      <c r="H1123" s="7"/>
      <c r="I1123" s="13"/>
      <c r="J1123" s="9"/>
      <c r="K1123" s="10"/>
      <c r="L1123" s="10"/>
      <c r="M1123" s="11"/>
      <c r="N1123" s="10"/>
      <c r="O1123" s="42"/>
      <c r="P1123" s="10"/>
    </row>
    <row r="1124" spans="1:16" x14ac:dyDescent="0.25">
      <c r="A1124" s="5"/>
      <c r="B1124" s="22"/>
      <c r="C1124" s="22"/>
      <c r="D1124" s="18"/>
      <c r="E1124" s="24"/>
      <c r="F1124" s="13"/>
      <c r="G1124" s="13"/>
      <c r="H1124" s="7"/>
      <c r="I1124" s="13"/>
      <c r="J1124" s="9"/>
      <c r="K1124" s="10"/>
      <c r="L1124" s="10"/>
      <c r="M1124" s="11"/>
      <c r="N1124" s="10"/>
      <c r="O1124" s="42"/>
      <c r="P1124" s="10"/>
    </row>
    <row r="1125" spans="1:16" x14ac:dyDescent="0.25">
      <c r="A1125" s="5"/>
      <c r="B1125" s="22"/>
      <c r="C1125" s="22"/>
      <c r="D1125" s="18"/>
      <c r="E1125" s="24"/>
      <c r="F1125" s="13"/>
      <c r="G1125" s="13"/>
      <c r="H1125" s="7"/>
      <c r="I1125" s="13"/>
      <c r="J1125" s="9"/>
      <c r="K1125" s="10"/>
      <c r="L1125" s="10"/>
      <c r="M1125" s="11"/>
      <c r="N1125" s="10"/>
      <c r="O1125" s="42"/>
      <c r="P1125" s="10"/>
    </row>
    <row r="1126" spans="1:16" x14ac:dyDescent="0.25">
      <c r="A1126" s="5"/>
      <c r="B1126" s="22"/>
      <c r="C1126" s="22"/>
      <c r="D1126" s="18"/>
      <c r="E1126" s="24"/>
      <c r="F1126" s="13"/>
      <c r="G1126" s="13"/>
      <c r="H1126" s="7"/>
      <c r="I1126" s="13"/>
      <c r="J1126" s="9"/>
      <c r="K1126" s="10"/>
      <c r="L1126" s="10"/>
      <c r="M1126" s="11"/>
      <c r="N1126" s="10"/>
      <c r="O1126" s="42"/>
      <c r="P1126" s="10"/>
    </row>
    <row r="1127" spans="1:16" x14ac:dyDescent="0.25">
      <c r="A1127" s="5"/>
      <c r="B1127" s="22"/>
      <c r="C1127" s="22"/>
      <c r="D1127" s="18"/>
      <c r="E1127" s="24"/>
      <c r="F1127" s="13"/>
      <c r="G1127" s="13"/>
      <c r="H1127" s="7"/>
      <c r="I1127" s="13"/>
      <c r="J1127" s="9"/>
      <c r="K1127" s="10"/>
      <c r="L1127" s="10"/>
      <c r="M1127" s="11"/>
      <c r="N1127" s="10"/>
      <c r="O1127" s="42"/>
      <c r="P1127" s="10"/>
    </row>
    <row r="1128" spans="1:16" x14ac:dyDescent="0.25">
      <c r="A1128" s="5"/>
      <c r="B1128" s="22"/>
      <c r="C1128" s="22"/>
      <c r="D1128" s="18"/>
      <c r="E1128" s="24"/>
      <c r="F1128" s="13"/>
      <c r="G1128" s="13"/>
      <c r="H1128" s="7"/>
      <c r="I1128" s="13"/>
      <c r="J1128" s="9"/>
      <c r="K1128" s="10"/>
      <c r="L1128" s="10"/>
      <c r="M1128" s="11"/>
      <c r="N1128" s="10"/>
      <c r="O1128" s="42"/>
      <c r="P1128" s="10"/>
    </row>
    <row r="1129" spans="1:16" x14ac:dyDescent="0.25">
      <c r="A1129" s="5"/>
      <c r="B1129" s="22"/>
      <c r="C1129" s="22"/>
      <c r="D1129" s="18"/>
      <c r="E1129" s="24"/>
      <c r="F1129" s="13"/>
      <c r="G1129" s="13"/>
      <c r="H1129" s="7"/>
      <c r="I1129" s="13"/>
      <c r="J1129" s="9"/>
      <c r="K1129" s="10"/>
      <c r="L1129" s="10"/>
      <c r="M1129" s="11"/>
      <c r="N1129" s="10"/>
      <c r="O1129" s="42"/>
      <c r="P1129" s="10"/>
    </row>
    <row r="1130" spans="1:16" x14ac:dyDescent="0.25">
      <c r="A1130" s="5"/>
      <c r="B1130" s="22"/>
      <c r="C1130" s="22"/>
      <c r="D1130" s="18"/>
      <c r="E1130" s="24"/>
      <c r="F1130" s="13"/>
      <c r="G1130" s="13"/>
      <c r="H1130" s="7"/>
      <c r="I1130" s="13"/>
      <c r="J1130" s="9"/>
      <c r="K1130" s="10"/>
      <c r="L1130" s="10"/>
      <c r="M1130" s="11"/>
      <c r="N1130" s="10"/>
      <c r="O1130" s="42"/>
      <c r="P1130" s="10"/>
    </row>
    <row r="1131" spans="1:16" x14ac:dyDescent="0.25">
      <c r="A1131" s="5"/>
      <c r="B1131" s="22"/>
      <c r="C1131" s="22"/>
      <c r="D1131" s="18"/>
      <c r="E1131" s="24"/>
      <c r="F1131" s="13"/>
      <c r="G1131" s="13"/>
      <c r="H1131" s="7"/>
      <c r="I1131" s="13"/>
      <c r="J1131" s="9"/>
      <c r="K1131" s="10"/>
      <c r="L1131" s="10"/>
      <c r="M1131" s="11"/>
      <c r="N1131" s="10"/>
      <c r="O1131" s="42"/>
      <c r="P1131" s="10"/>
    </row>
    <row r="1132" spans="1:16" x14ac:dyDescent="0.25">
      <c r="A1132" s="5"/>
      <c r="B1132" s="22"/>
      <c r="C1132" s="22"/>
      <c r="D1132" s="18"/>
      <c r="E1132" s="24"/>
      <c r="F1132" s="13"/>
      <c r="G1132" s="13"/>
      <c r="H1132" s="7"/>
      <c r="I1132" s="13"/>
      <c r="J1132" s="9"/>
      <c r="K1132" s="10"/>
      <c r="L1132" s="10"/>
      <c r="M1132" s="11"/>
      <c r="N1132" s="10"/>
      <c r="O1132" s="42"/>
      <c r="P1132" s="10"/>
    </row>
    <row r="1133" spans="1:16" x14ac:dyDescent="0.25">
      <c r="A1133" s="5"/>
      <c r="B1133" s="22"/>
      <c r="C1133" s="22"/>
      <c r="D1133" s="18"/>
      <c r="E1133" s="24"/>
      <c r="F1133" s="13"/>
      <c r="G1133" s="13"/>
      <c r="H1133" s="7"/>
      <c r="I1133" s="13"/>
      <c r="J1133" s="9"/>
      <c r="K1133" s="10"/>
      <c r="L1133" s="10"/>
      <c r="M1133" s="11"/>
      <c r="N1133" s="10"/>
      <c r="O1133" s="42"/>
      <c r="P1133" s="10"/>
    </row>
    <row r="1134" spans="1:16" x14ac:dyDescent="0.25">
      <c r="A1134" s="5"/>
      <c r="B1134" s="22"/>
      <c r="C1134" s="22"/>
      <c r="D1134" s="18"/>
      <c r="E1134" s="24"/>
      <c r="F1134" s="13"/>
      <c r="G1134" s="13"/>
      <c r="H1134" s="7"/>
      <c r="I1134" s="13"/>
      <c r="J1134" s="9"/>
      <c r="K1134" s="10"/>
      <c r="L1134" s="10"/>
      <c r="M1134" s="11"/>
      <c r="N1134" s="10"/>
      <c r="O1134" s="42"/>
      <c r="P1134" s="10"/>
    </row>
    <row r="1135" spans="1:16" x14ac:dyDescent="0.25">
      <c r="A1135" s="5"/>
      <c r="B1135" s="22"/>
      <c r="C1135" s="22"/>
      <c r="D1135" s="18"/>
      <c r="E1135" s="24"/>
      <c r="F1135" s="13"/>
      <c r="G1135" s="13"/>
      <c r="H1135" s="7"/>
      <c r="I1135" s="13"/>
      <c r="J1135" s="9"/>
      <c r="K1135" s="10"/>
      <c r="L1135" s="10"/>
      <c r="M1135" s="11"/>
      <c r="N1135" s="10"/>
      <c r="O1135" s="42"/>
      <c r="P1135" s="10"/>
    </row>
    <row r="1136" spans="1:16" x14ac:dyDescent="0.25">
      <c r="A1136" s="5"/>
      <c r="B1136" s="22"/>
      <c r="C1136" s="22"/>
      <c r="D1136" s="18"/>
      <c r="E1136" s="24"/>
      <c r="F1136" s="13"/>
      <c r="G1136" s="13"/>
      <c r="H1136" s="7"/>
      <c r="I1136" s="13"/>
      <c r="J1136" s="9"/>
      <c r="K1136" s="10"/>
      <c r="L1136" s="10"/>
      <c r="M1136" s="11"/>
      <c r="N1136" s="10"/>
      <c r="O1136" s="42"/>
      <c r="P1136" s="10"/>
    </row>
    <row r="1137" spans="1:16" x14ac:dyDescent="0.25">
      <c r="A1137" s="5"/>
      <c r="B1137" s="22"/>
      <c r="C1137" s="22"/>
      <c r="D1137" s="18"/>
      <c r="E1137" s="24"/>
      <c r="F1137" s="13"/>
      <c r="G1137" s="13"/>
      <c r="H1137" s="7"/>
      <c r="I1137" s="13"/>
      <c r="J1137" s="9"/>
      <c r="K1137" s="10"/>
      <c r="L1137" s="10"/>
      <c r="M1137" s="11"/>
      <c r="N1137" s="10"/>
      <c r="O1137" s="42"/>
      <c r="P1137" s="10"/>
    </row>
    <row r="1138" spans="1:16" x14ac:dyDescent="0.25">
      <c r="A1138" s="5"/>
      <c r="B1138" s="22"/>
      <c r="C1138" s="22"/>
      <c r="D1138" s="18"/>
      <c r="E1138" s="24"/>
      <c r="F1138" s="13"/>
      <c r="G1138" s="13"/>
      <c r="H1138" s="7"/>
      <c r="I1138" s="13"/>
      <c r="J1138" s="9"/>
      <c r="K1138" s="10"/>
      <c r="L1138" s="10"/>
      <c r="M1138" s="11"/>
      <c r="N1138" s="10"/>
      <c r="O1138" s="42"/>
      <c r="P1138" s="10"/>
    </row>
    <row r="1139" spans="1:16" x14ac:dyDescent="0.25">
      <c r="A1139" s="5"/>
      <c r="B1139" s="22"/>
      <c r="C1139" s="22"/>
      <c r="D1139" s="18"/>
      <c r="E1139" s="24"/>
      <c r="F1139" s="13"/>
      <c r="G1139" s="13"/>
      <c r="H1139" s="7"/>
      <c r="I1139" s="13"/>
      <c r="J1139" s="9"/>
      <c r="K1139" s="10"/>
      <c r="L1139" s="10"/>
      <c r="M1139" s="11"/>
      <c r="N1139" s="10"/>
      <c r="O1139" s="42"/>
      <c r="P1139" s="10"/>
    </row>
    <row r="1140" spans="1:16" x14ac:dyDescent="0.25">
      <c r="A1140" s="5"/>
      <c r="B1140" s="22"/>
      <c r="C1140" s="22"/>
      <c r="D1140" s="18"/>
      <c r="E1140" s="24"/>
      <c r="F1140" s="13"/>
      <c r="G1140" s="13"/>
      <c r="H1140" s="7"/>
      <c r="I1140" s="13"/>
      <c r="J1140" s="9"/>
      <c r="K1140" s="10"/>
      <c r="L1140" s="10"/>
      <c r="M1140" s="11"/>
      <c r="N1140" s="10"/>
      <c r="O1140" s="42"/>
      <c r="P1140" s="10"/>
    </row>
    <row r="1141" spans="1:16" x14ac:dyDescent="0.25">
      <c r="A1141" s="5"/>
      <c r="B1141" s="22"/>
      <c r="C1141" s="22"/>
      <c r="D1141" s="18"/>
      <c r="E1141" s="24"/>
      <c r="F1141" s="13"/>
      <c r="G1141" s="13"/>
      <c r="H1141" s="7"/>
      <c r="I1141" s="13"/>
      <c r="J1141" s="9"/>
      <c r="K1141" s="10"/>
      <c r="L1141" s="10"/>
      <c r="M1141" s="11"/>
      <c r="N1141" s="10"/>
      <c r="O1141" s="42"/>
      <c r="P1141" s="10"/>
    </row>
    <row r="1142" spans="1:16" x14ac:dyDescent="0.25">
      <c r="A1142" s="5"/>
      <c r="B1142" s="22"/>
      <c r="C1142" s="22"/>
      <c r="D1142" s="18"/>
      <c r="E1142" s="24"/>
      <c r="F1142" s="13"/>
      <c r="G1142" s="13"/>
      <c r="H1142" s="7"/>
      <c r="I1142" s="13"/>
      <c r="J1142" s="9"/>
      <c r="K1142" s="10"/>
      <c r="L1142" s="10"/>
      <c r="M1142" s="11"/>
      <c r="N1142" s="10"/>
      <c r="O1142" s="42"/>
      <c r="P1142" s="10"/>
    </row>
    <row r="1143" spans="1:16" x14ac:dyDescent="0.25">
      <c r="A1143" s="5"/>
      <c r="B1143" s="22"/>
      <c r="C1143" s="22"/>
      <c r="D1143" s="18"/>
      <c r="E1143" s="24"/>
      <c r="F1143" s="13"/>
      <c r="G1143" s="13"/>
      <c r="H1143" s="7"/>
      <c r="I1143" s="13"/>
      <c r="J1143" s="9"/>
      <c r="K1143" s="10"/>
      <c r="L1143" s="10"/>
      <c r="M1143" s="11"/>
      <c r="N1143" s="10"/>
      <c r="O1143" s="42"/>
      <c r="P1143" s="10"/>
    </row>
    <row r="1144" spans="1:16" x14ac:dyDescent="0.25">
      <c r="A1144" s="5"/>
      <c r="B1144" s="22"/>
      <c r="C1144" s="22"/>
      <c r="D1144" s="18"/>
      <c r="E1144" s="24"/>
      <c r="F1144" s="13"/>
      <c r="G1144" s="13"/>
      <c r="H1144" s="7"/>
      <c r="I1144" s="13"/>
      <c r="J1144" s="9"/>
      <c r="K1144" s="10"/>
      <c r="L1144" s="10"/>
      <c r="M1144" s="11"/>
      <c r="N1144" s="10"/>
      <c r="O1144" s="42"/>
      <c r="P1144" s="10"/>
    </row>
    <row r="1145" spans="1:16" x14ac:dyDescent="0.25">
      <c r="A1145" s="5"/>
      <c r="B1145" s="22"/>
      <c r="C1145" s="22"/>
      <c r="D1145" s="18"/>
      <c r="E1145" s="24"/>
      <c r="F1145" s="13"/>
      <c r="G1145" s="13"/>
      <c r="H1145" s="7"/>
      <c r="I1145" s="13"/>
      <c r="J1145" s="9"/>
      <c r="K1145" s="10"/>
      <c r="L1145" s="10"/>
      <c r="M1145" s="11"/>
      <c r="N1145" s="10"/>
      <c r="O1145" s="42"/>
      <c r="P1145" s="10"/>
    </row>
    <row r="1146" spans="1:16" x14ac:dyDescent="0.25">
      <c r="A1146" s="5"/>
      <c r="B1146" s="22"/>
      <c r="C1146" s="22"/>
      <c r="D1146" s="18"/>
      <c r="E1146" s="24"/>
      <c r="F1146" s="13"/>
      <c r="G1146" s="13"/>
      <c r="H1146" s="7"/>
      <c r="I1146" s="13"/>
      <c r="J1146" s="9"/>
      <c r="K1146" s="10"/>
      <c r="L1146" s="10"/>
      <c r="M1146" s="11"/>
      <c r="N1146" s="10"/>
      <c r="O1146" s="42"/>
      <c r="P1146" s="10"/>
    </row>
    <row r="1147" spans="1:16" x14ac:dyDescent="0.25">
      <c r="A1147" s="5"/>
      <c r="B1147" s="22"/>
      <c r="C1147" s="22"/>
      <c r="D1147" s="18"/>
      <c r="E1147" s="24"/>
      <c r="F1147" s="13"/>
      <c r="G1147" s="13"/>
      <c r="H1147" s="7"/>
      <c r="I1147" s="13"/>
      <c r="J1147" s="9"/>
      <c r="K1147" s="10"/>
      <c r="L1147" s="10"/>
      <c r="M1147" s="11"/>
      <c r="N1147" s="10"/>
      <c r="O1147" s="42"/>
      <c r="P1147" s="10"/>
    </row>
    <row r="1148" spans="1:16" x14ac:dyDescent="0.25">
      <c r="A1148" s="5"/>
      <c r="B1148" s="22"/>
      <c r="C1148" s="22"/>
      <c r="D1148" s="18"/>
      <c r="E1148" s="24"/>
      <c r="F1148" s="13"/>
      <c r="G1148" s="13"/>
      <c r="H1148" s="7"/>
      <c r="I1148" s="13"/>
      <c r="J1148" s="9"/>
      <c r="K1148" s="10"/>
      <c r="L1148" s="10"/>
      <c r="M1148" s="11"/>
      <c r="N1148" s="10"/>
      <c r="O1148" s="42"/>
      <c r="P1148" s="10"/>
    </row>
    <row r="1149" spans="1:16" x14ac:dyDescent="0.25">
      <c r="A1149" s="5"/>
      <c r="B1149" s="22"/>
      <c r="C1149" s="22"/>
      <c r="D1149" s="18"/>
      <c r="E1149" s="24"/>
      <c r="F1149" s="13"/>
      <c r="G1149" s="13"/>
      <c r="H1149" s="7"/>
      <c r="I1149" s="13"/>
      <c r="J1149" s="9"/>
      <c r="K1149" s="10"/>
      <c r="L1149" s="10"/>
      <c r="M1149" s="11"/>
      <c r="N1149" s="10"/>
      <c r="O1149" s="42"/>
      <c r="P1149" s="10"/>
    </row>
    <row r="1150" spans="1:16" x14ac:dyDescent="0.25">
      <c r="A1150" s="5"/>
      <c r="B1150" s="22"/>
      <c r="C1150" s="22"/>
      <c r="D1150" s="18"/>
      <c r="E1150" s="24"/>
      <c r="F1150" s="13"/>
      <c r="G1150" s="13"/>
      <c r="H1150" s="7"/>
      <c r="I1150" s="13"/>
      <c r="J1150" s="9"/>
      <c r="K1150" s="10"/>
      <c r="L1150" s="10"/>
      <c r="M1150" s="11"/>
      <c r="N1150" s="10"/>
      <c r="O1150" s="42"/>
      <c r="P1150" s="10"/>
    </row>
    <row r="1151" spans="1:16" x14ac:dyDescent="0.25">
      <c r="A1151" s="5"/>
      <c r="B1151" s="22"/>
      <c r="C1151" s="22"/>
      <c r="D1151" s="18"/>
      <c r="E1151" s="24"/>
      <c r="F1151" s="13"/>
      <c r="G1151" s="13"/>
      <c r="H1151" s="7"/>
      <c r="I1151" s="13"/>
      <c r="J1151" s="9"/>
      <c r="K1151" s="10"/>
      <c r="L1151" s="10"/>
      <c r="M1151" s="11"/>
      <c r="N1151" s="10"/>
      <c r="O1151" s="42"/>
      <c r="P1151" s="10"/>
    </row>
    <row r="1152" spans="1:16" x14ac:dyDescent="0.25">
      <c r="A1152" s="5"/>
      <c r="B1152" s="22"/>
      <c r="C1152" s="22"/>
      <c r="D1152" s="18"/>
      <c r="E1152" s="24"/>
      <c r="F1152" s="13"/>
      <c r="G1152" s="13"/>
      <c r="H1152" s="7"/>
      <c r="I1152" s="13"/>
      <c r="J1152" s="9"/>
      <c r="K1152" s="10"/>
      <c r="L1152" s="10"/>
      <c r="M1152" s="11"/>
      <c r="N1152" s="10"/>
      <c r="O1152" s="42"/>
      <c r="P1152" s="10"/>
    </row>
    <row r="1153" spans="1:16" x14ac:dyDescent="0.25">
      <c r="A1153" s="5"/>
      <c r="B1153" s="22"/>
      <c r="C1153" s="22"/>
      <c r="D1153" s="18"/>
      <c r="E1153" s="24"/>
      <c r="F1153" s="13"/>
      <c r="G1153" s="13"/>
      <c r="H1153" s="7"/>
      <c r="I1153" s="13"/>
      <c r="J1153" s="9"/>
      <c r="K1153" s="10"/>
      <c r="L1153" s="10"/>
      <c r="M1153" s="11"/>
      <c r="N1153" s="10"/>
      <c r="O1153" s="42"/>
      <c r="P1153" s="10"/>
    </row>
    <row r="1154" spans="1:16" x14ac:dyDescent="0.25">
      <c r="A1154" s="5"/>
      <c r="B1154" s="22"/>
      <c r="C1154" s="22"/>
      <c r="D1154" s="18"/>
      <c r="E1154" s="24"/>
      <c r="F1154" s="13"/>
      <c r="G1154" s="13"/>
      <c r="H1154" s="7"/>
      <c r="I1154" s="13"/>
      <c r="J1154" s="9"/>
      <c r="K1154" s="10"/>
      <c r="L1154" s="10"/>
      <c r="M1154" s="11"/>
      <c r="N1154" s="10"/>
      <c r="O1154" s="42"/>
      <c r="P1154" s="10"/>
    </row>
    <row r="1155" spans="1:16" x14ac:dyDescent="0.25">
      <c r="A1155" s="5"/>
      <c r="B1155" s="22"/>
      <c r="C1155" s="22"/>
      <c r="D1155" s="18"/>
      <c r="E1155" s="24"/>
      <c r="F1155" s="13"/>
      <c r="G1155" s="13"/>
      <c r="H1155" s="7"/>
      <c r="I1155" s="13"/>
      <c r="J1155" s="9"/>
      <c r="K1155" s="10"/>
      <c r="L1155" s="10"/>
      <c r="M1155" s="11"/>
      <c r="N1155" s="10"/>
      <c r="O1155" s="42"/>
      <c r="P1155" s="10"/>
    </row>
    <row r="1156" spans="1:16" x14ac:dyDescent="0.25">
      <c r="A1156" s="5"/>
      <c r="B1156" s="22"/>
      <c r="C1156" s="22"/>
      <c r="D1156" s="18"/>
      <c r="E1156" s="24"/>
      <c r="F1156" s="13"/>
      <c r="G1156" s="13"/>
      <c r="H1156" s="7"/>
      <c r="I1156" s="13"/>
      <c r="J1156" s="9"/>
      <c r="K1156" s="10"/>
      <c r="L1156" s="10"/>
      <c r="M1156" s="11"/>
      <c r="N1156" s="10"/>
      <c r="O1156" s="42"/>
      <c r="P1156" s="10"/>
    </row>
    <row r="1157" spans="1:16" x14ac:dyDescent="0.25">
      <c r="A1157" s="5"/>
      <c r="B1157" s="22"/>
      <c r="C1157" s="22"/>
      <c r="D1157" s="18"/>
      <c r="E1157" s="24"/>
      <c r="F1157" s="13"/>
      <c r="G1157" s="13"/>
      <c r="H1157" s="7"/>
      <c r="I1157" s="13"/>
      <c r="J1157" s="9"/>
      <c r="K1157" s="10"/>
      <c r="L1157" s="10"/>
      <c r="M1157" s="11"/>
      <c r="N1157" s="10"/>
      <c r="O1157" s="42"/>
      <c r="P1157" s="10"/>
    </row>
    <row r="1158" spans="1:16" x14ac:dyDescent="0.25">
      <c r="A1158" s="5"/>
      <c r="B1158" s="22"/>
      <c r="C1158" s="22"/>
      <c r="D1158" s="18"/>
      <c r="E1158" s="24"/>
      <c r="F1158" s="13"/>
      <c r="G1158" s="13"/>
      <c r="H1158" s="7"/>
      <c r="I1158" s="13"/>
      <c r="J1158" s="9"/>
      <c r="K1158" s="10"/>
      <c r="L1158" s="10"/>
      <c r="M1158" s="11"/>
      <c r="N1158" s="10"/>
      <c r="O1158" s="42"/>
      <c r="P1158" s="10"/>
    </row>
    <row r="1159" spans="1:16" x14ac:dyDescent="0.25">
      <c r="A1159" s="5"/>
      <c r="B1159" s="22"/>
      <c r="C1159" s="22"/>
      <c r="D1159" s="18"/>
      <c r="E1159" s="24"/>
      <c r="F1159" s="13"/>
      <c r="G1159" s="13"/>
      <c r="H1159" s="7"/>
      <c r="I1159" s="13"/>
      <c r="J1159" s="9"/>
      <c r="K1159" s="10"/>
      <c r="L1159" s="10"/>
      <c r="M1159" s="11"/>
      <c r="N1159" s="10"/>
      <c r="O1159" s="42"/>
      <c r="P1159" s="10"/>
    </row>
    <row r="1160" spans="1:16" x14ac:dyDescent="0.25">
      <c r="A1160" s="5"/>
      <c r="B1160" s="22"/>
      <c r="C1160" s="22"/>
      <c r="D1160" s="18"/>
      <c r="E1160" s="24"/>
      <c r="F1160" s="13"/>
      <c r="G1160" s="13"/>
      <c r="H1160" s="7"/>
      <c r="I1160" s="13"/>
      <c r="J1160" s="9"/>
      <c r="K1160" s="10"/>
      <c r="L1160" s="10"/>
      <c r="M1160" s="11"/>
      <c r="N1160" s="10"/>
      <c r="O1160" s="42"/>
      <c r="P1160" s="10"/>
    </row>
    <row r="1161" spans="1:16" x14ac:dyDescent="0.25">
      <c r="A1161" s="5"/>
      <c r="B1161" s="22"/>
      <c r="C1161" s="22"/>
      <c r="D1161" s="18"/>
      <c r="E1161" s="24"/>
      <c r="F1161" s="13"/>
      <c r="G1161" s="13"/>
      <c r="H1161" s="7"/>
      <c r="I1161" s="13"/>
      <c r="J1161" s="9"/>
      <c r="K1161" s="10"/>
      <c r="L1161" s="10"/>
      <c r="M1161" s="11"/>
      <c r="N1161" s="10"/>
      <c r="O1161" s="42"/>
      <c r="P1161" s="10"/>
    </row>
    <row r="1162" spans="1:16" x14ac:dyDescent="0.25">
      <c r="A1162" s="5"/>
      <c r="B1162" s="22"/>
      <c r="C1162" s="22"/>
      <c r="D1162" s="18"/>
      <c r="E1162" s="24"/>
      <c r="F1162" s="13"/>
      <c r="G1162" s="13"/>
      <c r="H1162" s="7"/>
      <c r="I1162" s="13"/>
      <c r="J1162" s="9"/>
      <c r="K1162" s="10"/>
      <c r="L1162" s="10"/>
      <c r="M1162" s="11"/>
      <c r="N1162" s="10"/>
      <c r="O1162" s="42"/>
      <c r="P1162" s="10"/>
    </row>
    <row r="1163" spans="1:16" x14ac:dyDescent="0.25">
      <c r="A1163" s="5"/>
      <c r="B1163" s="22"/>
      <c r="C1163" s="22"/>
      <c r="D1163" s="18"/>
      <c r="E1163" s="24"/>
      <c r="F1163" s="13"/>
      <c r="G1163" s="13"/>
      <c r="H1163" s="7"/>
      <c r="I1163" s="13"/>
      <c r="J1163" s="9"/>
      <c r="K1163" s="10"/>
      <c r="L1163" s="10"/>
      <c r="M1163" s="11"/>
      <c r="N1163" s="10"/>
      <c r="O1163" s="42"/>
      <c r="P1163" s="10"/>
    </row>
    <row r="1164" spans="1:16" x14ac:dyDescent="0.25">
      <c r="A1164" s="5"/>
      <c r="B1164" s="22"/>
      <c r="C1164" s="22"/>
      <c r="D1164" s="18"/>
      <c r="E1164" s="24"/>
      <c r="F1164" s="13"/>
      <c r="G1164" s="13"/>
      <c r="H1164" s="7"/>
      <c r="I1164" s="13"/>
      <c r="J1164" s="9"/>
      <c r="K1164" s="10"/>
      <c r="L1164" s="10"/>
      <c r="M1164" s="11"/>
      <c r="N1164" s="10"/>
      <c r="O1164" s="42"/>
      <c r="P1164" s="10"/>
    </row>
    <row r="1165" spans="1:16" x14ac:dyDescent="0.25">
      <c r="A1165" s="5"/>
      <c r="B1165" s="22"/>
      <c r="C1165" s="22"/>
      <c r="D1165" s="18"/>
      <c r="E1165" s="24"/>
      <c r="F1165" s="13"/>
      <c r="G1165" s="13"/>
      <c r="H1165" s="7"/>
      <c r="I1165" s="13"/>
      <c r="J1165" s="9"/>
      <c r="K1165" s="10"/>
      <c r="L1165" s="10"/>
      <c r="M1165" s="11"/>
      <c r="N1165" s="10"/>
      <c r="O1165" s="42"/>
      <c r="P1165" s="10"/>
    </row>
    <row r="1166" spans="1:16" x14ac:dyDescent="0.25">
      <c r="A1166" s="5"/>
      <c r="B1166" s="22"/>
      <c r="C1166" s="22"/>
      <c r="D1166" s="18"/>
      <c r="E1166" s="24"/>
      <c r="F1166" s="13"/>
      <c r="G1166" s="13"/>
      <c r="H1166" s="7"/>
      <c r="I1166" s="13"/>
      <c r="J1166" s="9"/>
      <c r="K1166" s="10"/>
      <c r="L1166" s="10"/>
      <c r="M1166" s="11"/>
      <c r="N1166" s="10"/>
      <c r="O1166" s="42"/>
      <c r="P1166" s="10"/>
    </row>
    <row r="1167" spans="1:16" x14ac:dyDescent="0.25">
      <c r="A1167" s="5"/>
      <c r="B1167" s="22"/>
      <c r="C1167" s="22"/>
      <c r="D1167" s="18"/>
      <c r="E1167" s="24"/>
      <c r="F1167" s="13"/>
      <c r="G1167" s="13"/>
      <c r="H1167" s="7"/>
      <c r="I1167" s="13"/>
      <c r="J1167" s="9"/>
      <c r="K1167" s="10"/>
      <c r="L1167" s="10"/>
      <c r="M1167" s="11"/>
      <c r="N1167" s="10"/>
      <c r="O1167" s="42"/>
      <c r="P1167" s="10"/>
    </row>
    <row r="1168" spans="1:16" x14ac:dyDescent="0.25">
      <c r="A1168" s="5"/>
      <c r="B1168" s="22"/>
      <c r="C1168" s="22"/>
      <c r="D1168" s="18"/>
      <c r="E1168" s="24"/>
      <c r="F1168" s="13"/>
      <c r="G1168" s="13"/>
      <c r="H1168" s="7"/>
      <c r="I1168" s="13"/>
      <c r="J1168" s="9"/>
      <c r="K1168" s="10"/>
      <c r="L1168" s="10"/>
      <c r="M1168" s="11"/>
      <c r="N1168" s="10"/>
      <c r="O1168" s="42"/>
      <c r="P1168" s="10"/>
    </row>
    <row r="1169" spans="1:16" x14ac:dyDescent="0.25">
      <c r="A1169" s="5"/>
      <c r="B1169" s="22"/>
      <c r="C1169" s="22"/>
      <c r="D1169" s="18"/>
      <c r="E1169" s="24"/>
      <c r="F1169" s="13"/>
      <c r="G1169" s="13"/>
      <c r="H1169" s="7"/>
      <c r="I1169" s="13"/>
      <c r="J1169" s="9"/>
      <c r="K1169" s="10"/>
      <c r="L1169" s="10"/>
      <c r="M1169" s="11"/>
      <c r="N1169" s="10"/>
      <c r="O1169" s="42"/>
      <c r="P1169" s="10"/>
    </row>
    <row r="1170" spans="1:16" x14ac:dyDescent="0.25">
      <c r="A1170" s="5"/>
      <c r="B1170" s="22"/>
      <c r="C1170" s="22"/>
      <c r="D1170" s="18"/>
      <c r="E1170" s="24"/>
      <c r="F1170" s="13"/>
      <c r="G1170" s="13"/>
      <c r="H1170" s="7"/>
      <c r="I1170" s="13"/>
      <c r="J1170" s="9"/>
      <c r="K1170" s="10"/>
      <c r="L1170" s="10"/>
      <c r="M1170" s="11"/>
      <c r="N1170" s="10"/>
      <c r="O1170" s="42"/>
      <c r="P1170" s="10"/>
    </row>
    <row r="1171" spans="1:16" x14ac:dyDescent="0.25">
      <c r="A1171" s="5"/>
      <c r="B1171" s="22"/>
      <c r="C1171" s="22"/>
      <c r="D1171" s="18"/>
      <c r="E1171" s="24"/>
      <c r="F1171" s="13"/>
      <c r="G1171" s="13"/>
      <c r="H1171" s="7"/>
      <c r="I1171" s="13"/>
      <c r="J1171" s="9"/>
      <c r="K1171" s="10"/>
      <c r="L1171" s="10"/>
      <c r="M1171" s="11"/>
      <c r="N1171" s="10"/>
      <c r="O1171" s="42"/>
      <c r="P1171" s="10"/>
    </row>
    <row r="1172" spans="1:16" x14ac:dyDescent="0.25">
      <c r="A1172" s="5"/>
      <c r="B1172" s="22"/>
      <c r="C1172" s="22"/>
      <c r="D1172" s="18"/>
      <c r="E1172" s="24"/>
      <c r="F1172" s="13"/>
      <c r="G1172" s="13"/>
      <c r="H1172" s="7"/>
      <c r="I1172" s="13"/>
      <c r="J1172" s="9"/>
      <c r="K1172" s="10"/>
      <c r="L1172" s="10"/>
      <c r="M1172" s="11"/>
      <c r="N1172" s="10"/>
      <c r="O1172" s="42"/>
      <c r="P1172" s="10"/>
    </row>
    <row r="1173" spans="1:16" x14ac:dyDescent="0.25">
      <c r="A1173" s="5"/>
      <c r="B1173" s="22"/>
      <c r="C1173" s="22"/>
      <c r="D1173" s="18"/>
      <c r="E1173" s="24"/>
      <c r="F1173" s="13"/>
      <c r="G1173" s="13"/>
      <c r="H1173" s="7"/>
      <c r="I1173" s="13"/>
      <c r="J1173" s="9"/>
      <c r="K1173" s="10"/>
      <c r="L1173" s="10"/>
      <c r="M1173" s="11"/>
      <c r="N1173" s="10"/>
      <c r="O1173" s="42"/>
      <c r="P1173" s="10"/>
    </row>
    <row r="1174" spans="1:16" x14ac:dyDescent="0.25">
      <c r="A1174" s="5"/>
      <c r="B1174" s="22"/>
      <c r="C1174" s="22"/>
      <c r="D1174" s="18"/>
      <c r="E1174" s="24"/>
      <c r="F1174" s="13"/>
      <c r="G1174" s="13"/>
      <c r="H1174" s="7"/>
      <c r="I1174" s="13"/>
      <c r="J1174" s="9"/>
      <c r="K1174" s="10"/>
      <c r="L1174" s="10"/>
      <c r="M1174" s="11"/>
      <c r="N1174" s="10"/>
      <c r="O1174" s="42"/>
      <c r="P1174" s="10"/>
    </row>
    <row r="1175" spans="1:16" x14ac:dyDescent="0.25">
      <c r="A1175" s="5"/>
      <c r="B1175" s="22"/>
      <c r="C1175" s="22"/>
      <c r="D1175" s="18"/>
      <c r="E1175" s="24"/>
      <c r="F1175" s="13"/>
      <c r="G1175" s="13"/>
      <c r="H1175" s="7"/>
      <c r="I1175" s="13"/>
      <c r="J1175" s="9"/>
      <c r="K1175" s="10"/>
      <c r="L1175" s="10"/>
      <c r="M1175" s="11"/>
      <c r="N1175" s="10"/>
      <c r="O1175" s="42"/>
      <c r="P1175" s="10"/>
    </row>
    <row r="1176" spans="1:16" x14ac:dyDescent="0.25">
      <c r="A1176" s="5"/>
      <c r="B1176" s="22"/>
      <c r="C1176" s="22"/>
      <c r="D1176" s="18"/>
      <c r="E1176" s="24"/>
      <c r="F1176" s="13"/>
      <c r="G1176" s="13"/>
      <c r="H1176" s="7"/>
      <c r="I1176" s="13"/>
      <c r="J1176" s="9"/>
      <c r="K1176" s="10"/>
      <c r="L1176" s="10"/>
      <c r="M1176" s="11"/>
      <c r="N1176" s="10"/>
      <c r="O1176" s="42"/>
      <c r="P1176" s="10"/>
    </row>
    <row r="1177" spans="1:16" x14ac:dyDescent="0.25">
      <c r="A1177" s="5"/>
      <c r="B1177" s="22"/>
      <c r="C1177" s="22"/>
      <c r="D1177" s="18"/>
      <c r="E1177" s="24"/>
      <c r="F1177" s="13"/>
      <c r="G1177" s="13"/>
      <c r="H1177" s="7"/>
      <c r="I1177" s="13"/>
      <c r="J1177" s="9"/>
      <c r="K1177" s="10"/>
      <c r="L1177" s="10"/>
      <c r="M1177" s="11"/>
      <c r="N1177" s="10"/>
      <c r="O1177" s="42"/>
      <c r="P1177" s="10"/>
    </row>
    <row r="1178" spans="1:16" x14ac:dyDescent="0.25">
      <c r="A1178" s="5"/>
      <c r="B1178" s="22"/>
      <c r="C1178" s="22"/>
      <c r="D1178" s="18"/>
      <c r="E1178" s="24"/>
      <c r="F1178" s="13"/>
      <c r="G1178" s="13"/>
      <c r="H1178" s="7"/>
      <c r="I1178" s="13"/>
      <c r="J1178" s="9"/>
      <c r="K1178" s="10"/>
      <c r="L1178" s="10"/>
      <c r="M1178" s="11"/>
      <c r="N1178" s="10"/>
      <c r="O1178" s="42"/>
      <c r="P1178" s="10"/>
    </row>
    <row r="1179" spans="1:16" x14ac:dyDescent="0.25">
      <c r="A1179" s="5"/>
      <c r="B1179" s="22"/>
      <c r="C1179" s="22"/>
      <c r="D1179" s="18"/>
      <c r="E1179" s="24"/>
      <c r="F1179" s="13"/>
      <c r="G1179" s="13"/>
      <c r="H1179" s="7"/>
      <c r="I1179" s="13"/>
      <c r="J1179" s="9"/>
      <c r="K1179" s="10"/>
      <c r="L1179" s="10"/>
      <c r="M1179" s="11"/>
      <c r="N1179" s="10"/>
      <c r="O1179" s="42"/>
      <c r="P1179" s="10"/>
    </row>
    <row r="1180" spans="1:16" x14ac:dyDescent="0.25">
      <c r="A1180" s="5"/>
      <c r="B1180" s="22"/>
      <c r="C1180" s="22"/>
      <c r="D1180" s="18"/>
      <c r="E1180" s="24"/>
      <c r="F1180" s="13"/>
      <c r="G1180" s="13"/>
      <c r="H1180" s="7"/>
      <c r="I1180" s="13"/>
      <c r="J1180" s="9"/>
      <c r="K1180" s="10"/>
      <c r="L1180" s="10"/>
      <c r="M1180" s="11"/>
      <c r="N1180" s="10"/>
      <c r="O1180" s="42"/>
      <c r="P1180" s="10"/>
    </row>
    <row r="1181" spans="1:16" x14ac:dyDescent="0.25">
      <c r="A1181" s="5"/>
      <c r="B1181" s="22"/>
      <c r="C1181" s="22"/>
      <c r="D1181" s="18"/>
      <c r="E1181" s="24"/>
      <c r="F1181" s="13"/>
      <c r="G1181" s="13"/>
      <c r="H1181" s="7"/>
      <c r="I1181" s="13"/>
      <c r="J1181" s="9"/>
      <c r="K1181" s="10"/>
      <c r="L1181" s="10"/>
      <c r="M1181" s="11"/>
      <c r="N1181" s="10"/>
      <c r="O1181" s="42"/>
      <c r="P1181" s="10"/>
    </row>
    <row r="1182" spans="1:16" x14ac:dyDescent="0.25">
      <c r="A1182" s="5"/>
      <c r="B1182" s="22"/>
      <c r="C1182" s="22"/>
      <c r="D1182" s="18"/>
      <c r="E1182" s="24"/>
      <c r="F1182" s="13"/>
      <c r="G1182" s="13"/>
      <c r="H1182" s="7"/>
      <c r="I1182" s="13"/>
      <c r="J1182" s="9"/>
      <c r="K1182" s="10"/>
      <c r="L1182" s="10"/>
      <c r="M1182" s="11"/>
      <c r="N1182" s="10"/>
      <c r="O1182" s="42"/>
      <c r="P1182" s="10"/>
    </row>
    <row r="1183" spans="1:16" x14ac:dyDescent="0.25">
      <c r="A1183" s="5"/>
      <c r="B1183" s="22"/>
      <c r="C1183" s="22"/>
      <c r="D1183" s="18"/>
      <c r="E1183" s="24"/>
      <c r="F1183" s="13"/>
      <c r="G1183" s="13"/>
      <c r="H1183" s="7"/>
      <c r="I1183" s="13"/>
      <c r="J1183" s="9"/>
      <c r="K1183" s="10"/>
      <c r="L1183" s="10"/>
      <c r="M1183" s="11"/>
      <c r="N1183" s="10"/>
      <c r="O1183" s="42"/>
      <c r="P1183" s="10"/>
    </row>
    <row r="1184" spans="1:16" x14ac:dyDescent="0.25">
      <c r="A1184" s="5"/>
      <c r="B1184" s="22"/>
      <c r="C1184" s="22"/>
      <c r="D1184" s="18"/>
      <c r="E1184" s="24"/>
      <c r="F1184" s="13"/>
      <c r="G1184" s="13"/>
      <c r="H1184" s="7"/>
      <c r="I1184" s="13"/>
      <c r="J1184" s="9"/>
      <c r="K1184" s="10"/>
      <c r="L1184" s="10"/>
      <c r="M1184" s="11"/>
      <c r="N1184" s="10"/>
      <c r="O1184" s="42"/>
      <c r="P1184" s="10"/>
    </row>
    <row r="1185" spans="1:16" x14ac:dyDescent="0.25">
      <c r="A1185" s="5"/>
      <c r="B1185" s="22"/>
      <c r="C1185" s="22"/>
      <c r="D1185" s="18"/>
      <c r="E1185" s="24"/>
      <c r="F1185" s="13"/>
      <c r="G1185" s="13"/>
      <c r="H1185" s="7"/>
      <c r="I1185" s="13"/>
      <c r="J1185" s="9"/>
      <c r="K1185" s="10"/>
      <c r="L1185" s="10"/>
      <c r="M1185" s="11"/>
      <c r="N1185" s="10"/>
      <c r="O1185" s="42"/>
      <c r="P1185" s="10"/>
    </row>
    <row r="1186" spans="1:16" x14ac:dyDescent="0.25">
      <c r="A1186" s="5"/>
      <c r="B1186" s="22"/>
      <c r="C1186" s="22"/>
      <c r="D1186" s="18"/>
      <c r="E1186" s="24"/>
      <c r="F1186" s="13"/>
      <c r="G1186" s="13"/>
      <c r="H1186" s="7"/>
      <c r="I1186" s="13"/>
      <c r="J1186" s="9"/>
      <c r="K1186" s="10"/>
      <c r="L1186" s="10"/>
      <c r="M1186" s="11"/>
      <c r="N1186" s="10"/>
      <c r="O1186" s="42"/>
      <c r="P1186" s="10"/>
    </row>
    <row r="1187" spans="1:16" x14ac:dyDescent="0.25">
      <c r="A1187" s="5"/>
      <c r="B1187" s="22"/>
      <c r="C1187" s="22"/>
      <c r="D1187" s="18"/>
      <c r="E1187" s="24"/>
      <c r="F1187" s="13"/>
      <c r="G1187" s="13"/>
      <c r="H1187" s="7"/>
      <c r="I1187" s="13"/>
      <c r="J1187" s="9"/>
      <c r="K1187" s="10"/>
      <c r="L1187" s="10"/>
      <c r="M1187" s="11"/>
      <c r="N1187" s="10"/>
      <c r="O1187" s="42"/>
      <c r="P1187" s="10"/>
    </row>
    <row r="1188" spans="1:16" x14ac:dyDescent="0.25">
      <c r="A1188" s="5"/>
      <c r="B1188" s="22"/>
      <c r="C1188" s="22"/>
      <c r="D1188" s="18"/>
      <c r="E1188" s="24"/>
      <c r="F1188" s="13"/>
      <c r="G1188" s="13"/>
      <c r="H1188" s="7"/>
      <c r="I1188" s="13"/>
      <c r="J1188" s="9"/>
      <c r="K1188" s="10"/>
      <c r="L1188" s="10"/>
      <c r="M1188" s="11"/>
      <c r="N1188" s="10"/>
      <c r="O1188" s="42"/>
      <c r="P1188" s="10"/>
    </row>
    <row r="1189" spans="1:16" x14ac:dyDescent="0.25">
      <c r="A1189" s="5"/>
      <c r="B1189" s="22"/>
      <c r="C1189" s="22"/>
      <c r="D1189" s="18"/>
      <c r="E1189" s="24"/>
      <c r="F1189" s="13"/>
      <c r="G1189" s="13"/>
      <c r="H1189" s="7"/>
      <c r="I1189" s="13"/>
      <c r="J1189" s="9"/>
      <c r="K1189" s="10"/>
      <c r="L1189" s="10"/>
      <c r="M1189" s="11"/>
      <c r="N1189" s="10"/>
      <c r="O1189" s="42"/>
      <c r="P1189" s="10"/>
    </row>
    <row r="1190" spans="1:16" x14ac:dyDescent="0.25">
      <c r="A1190" s="5"/>
      <c r="B1190" s="22"/>
      <c r="C1190" s="22"/>
      <c r="D1190" s="18"/>
      <c r="E1190" s="24"/>
      <c r="F1190" s="13"/>
      <c r="G1190" s="13"/>
      <c r="H1190" s="7"/>
      <c r="I1190" s="13"/>
      <c r="J1190" s="9"/>
      <c r="K1190" s="10"/>
      <c r="L1190" s="10"/>
      <c r="M1190" s="11"/>
      <c r="N1190" s="10"/>
      <c r="O1190" s="42"/>
      <c r="P1190" s="10"/>
    </row>
    <row r="1191" spans="1:16" x14ac:dyDescent="0.25">
      <c r="A1191" s="5"/>
      <c r="B1191" s="22"/>
      <c r="C1191" s="22"/>
      <c r="D1191" s="18"/>
      <c r="E1191" s="24"/>
      <c r="F1191" s="13"/>
      <c r="G1191" s="13"/>
      <c r="H1191" s="7"/>
      <c r="I1191" s="13"/>
      <c r="J1191" s="9"/>
      <c r="K1191" s="10"/>
      <c r="L1191" s="10"/>
      <c r="M1191" s="11"/>
      <c r="N1191" s="10"/>
      <c r="O1191" s="42"/>
      <c r="P1191" s="10"/>
    </row>
    <row r="1192" spans="1:16" x14ac:dyDescent="0.25">
      <c r="A1192" s="5"/>
      <c r="B1192" s="22"/>
      <c r="C1192" s="22"/>
      <c r="D1192" s="18"/>
      <c r="E1192" s="24"/>
      <c r="F1192" s="13"/>
      <c r="G1192" s="13"/>
      <c r="H1192" s="7"/>
      <c r="I1192" s="13"/>
      <c r="J1192" s="9"/>
      <c r="K1192" s="10"/>
      <c r="L1192" s="10"/>
      <c r="M1192" s="11"/>
      <c r="N1192" s="10"/>
      <c r="O1192" s="42"/>
      <c r="P1192" s="10"/>
    </row>
    <row r="1193" spans="1:16" x14ac:dyDescent="0.25">
      <c r="A1193" s="5"/>
      <c r="B1193" s="22"/>
      <c r="C1193" s="22"/>
      <c r="D1193" s="18"/>
      <c r="E1193" s="24"/>
      <c r="F1193" s="13"/>
      <c r="G1193" s="13"/>
      <c r="H1193" s="7"/>
      <c r="I1193" s="13"/>
      <c r="J1193" s="9"/>
      <c r="K1193" s="10"/>
      <c r="L1193" s="10"/>
      <c r="M1193" s="11"/>
      <c r="N1193" s="10"/>
      <c r="O1193" s="42"/>
      <c r="P1193" s="10"/>
    </row>
    <row r="1194" spans="1:16" x14ac:dyDescent="0.25">
      <c r="A1194" s="5"/>
      <c r="B1194" s="22"/>
      <c r="C1194" s="22"/>
      <c r="D1194" s="18"/>
      <c r="E1194" s="24"/>
      <c r="F1194" s="13"/>
      <c r="G1194" s="13"/>
      <c r="H1194" s="7"/>
      <c r="I1194" s="13"/>
      <c r="J1194" s="9"/>
      <c r="K1194" s="10"/>
      <c r="L1194" s="10"/>
      <c r="M1194" s="11"/>
      <c r="N1194" s="10"/>
      <c r="O1194" s="42"/>
      <c r="P1194" s="10"/>
    </row>
    <row r="1195" spans="1:16" x14ac:dyDescent="0.25">
      <c r="A1195" s="5"/>
      <c r="B1195" s="22"/>
      <c r="C1195" s="22"/>
      <c r="D1195" s="18"/>
      <c r="E1195" s="24"/>
      <c r="F1195" s="13"/>
      <c r="G1195" s="13"/>
      <c r="H1195" s="7"/>
      <c r="I1195" s="13"/>
      <c r="J1195" s="9"/>
      <c r="K1195" s="10"/>
      <c r="L1195" s="10"/>
      <c r="M1195" s="11"/>
      <c r="N1195" s="10"/>
      <c r="O1195" s="42"/>
      <c r="P1195" s="10"/>
    </row>
    <row r="1196" spans="1:16" x14ac:dyDescent="0.25">
      <c r="A1196" s="5"/>
      <c r="B1196" s="22"/>
      <c r="C1196" s="22"/>
      <c r="D1196" s="18"/>
      <c r="E1196" s="24"/>
      <c r="F1196" s="13"/>
      <c r="G1196" s="13"/>
      <c r="H1196" s="7"/>
      <c r="I1196" s="13"/>
      <c r="J1196" s="9"/>
      <c r="K1196" s="10"/>
      <c r="L1196" s="10"/>
      <c r="M1196" s="11"/>
      <c r="N1196" s="10"/>
      <c r="O1196" s="42"/>
      <c r="P1196" s="10"/>
    </row>
    <row r="1197" spans="1:16" x14ac:dyDescent="0.25">
      <c r="A1197" s="5"/>
      <c r="B1197" s="22"/>
      <c r="C1197" s="22"/>
      <c r="D1197" s="18"/>
      <c r="E1197" s="24"/>
      <c r="F1197" s="13"/>
      <c r="G1197" s="13"/>
      <c r="H1197" s="7"/>
      <c r="I1197" s="13"/>
      <c r="J1197" s="9"/>
      <c r="K1197" s="10"/>
      <c r="L1197" s="10"/>
      <c r="M1197" s="11"/>
      <c r="N1197" s="10"/>
      <c r="O1197" s="42"/>
      <c r="P1197" s="10"/>
    </row>
    <row r="1198" spans="1:16" x14ac:dyDescent="0.25">
      <c r="A1198" s="5"/>
      <c r="B1198" s="22"/>
      <c r="C1198" s="22"/>
      <c r="D1198" s="18"/>
      <c r="E1198" s="24"/>
      <c r="F1198" s="13"/>
      <c r="G1198" s="13"/>
      <c r="H1198" s="7"/>
      <c r="I1198" s="13"/>
      <c r="J1198" s="9"/>
      <c r="K1198" s="10"/>
      <c r="L1198" s="10"/>
      <c r="M1198" s="11"/>
      <c r="N1198" s="10"/>
      <c r="O1198" s="42"/>
      <c r="P1198" s="10"/>
    </row>
    <row r="1199" spans="1:16" x14ac:dyDescent="0.25">
      <c r="A1199" s="5"/>
      <c r="B1199" s="22"/>
      <c r="C1199" s="22"/>
      <c r="D1199" s="18"/>
      <c r="E1199" s="24"/>
      <c r="F1199" s="13"/>
      <c r="G1199" s="13"/>
      <c r="H1199" s="7"/>
      <c r="I1199" s="13"/>
      <c r="J1199" s="9"/>
      <c r="K1199" s="10"/>
      <c r="L1199" s="10"/>
      <c r="M1199" s="11"/>
      <c r="N1199" s="10"/>
      <c r="O1199" s="42"/>
      <c r="P1199" s="10"/>
    </row>
    <row r="1200" spans="1:16" x14ac:dyDescent="0.25">
      <c r="A1200" s="5"/>
      <c r="B1200" s="22"/>
      <c r="C1200" s="22"/>
      <c r="D1200" s="18"/>
      <c r="E1200" s="24"/>
      <c r="F1200" s="13"/>
      <c r="G1200" s="13"/>
      <c r="H1200" s="7"/>
      <c r="I1200" s="13"/>
      <c r="J1200" s="9"/>
      <c r="K1200" s="10"/>
      <c r="L1200" s="10"/>
      <c r="M1200" s="11"/>
      <c r="N1200" s="10"/>
      <c r="O1200" s="42"/>
      <c r="P1200" s="10"/>
    </row>
    <row r="1201" spans="1:16" x14ac:dyDescent="0.25">
      <c r="A1201" s="5"/>
      <c r="B1201" s="22"/>
      <c r="C1201" s="22"/>
      <c r="D1201" s="18"/>
      <c r="E1201" s="24"/>
      <c r="F1201" s="13"/>
      <c r="G1201" s="13"/>
      <c r="H1201" s="7"/>
      <c r="I1201" s="13"/>
      <c r="J1201" s="9"/>
      <c r="K1201" s="10"/>
      <c r="L1201" s="10"/>
      <c r="M1201" s="11"/>
      <c r="N1201" s="10"/>
      <c r="O1201" s="42"/>
      <c r="P1201" s="10"/>
    </row>
    <row r="1202" spans="1:16" x14ac:dyDescent="0.25">
      <c r="A1202" s="5"/>
      <c r="B1202" s="22"/>
      <c r="C1202" s="22"/>
      <c r="D1202" s="18"/>
      <c r="E1202" s="24"/>
      <c r="F1202" s="13"/>
      <c r="G1202" s="13"/>
      <c r="H1202" s="7"/>
      <c r="I1202" s="13"/>
      <c r="J1202" s="9"/>
      <c r="K1202" s="10"/>
      <c r="L1202" s="10"/>
      <c r="M1202" s="11"/>
      <c r="N1202" s="10"/>
      <c r="O1202" s="42"/>
      <c r="P1202" s="10"/>
    </row>
    <row r="1203" spans="1:16" x14ac:dyDescent="0.25">
      <c r="A1203" s="5"/>
      <c r="B1203" s="22"/>
      <c r="C1203" s="22"/>
      <c r="D1203" s="18"/>
      <c r="E1203" s="24"/>
      <c r="F1203" s="13"/>
      <c r="G1203" s="13"/>
      <c r="H1203" s="7"/>
      <c r="I1203" s="13"/>
      <c r="J1203" s="9"/>
      <c r="K1203" s="10"/>
      <c r="L1203" s="10"/>
      <c r="M1203" s="11"/>
      <c r="N1203" s="10"/>
      <c r="O1203" s="42"/>
      <c r="P1203" s="10"/>
    </row>
    <row r="1204" spans="1:16" x14ac:dyDescent="0.25">
      <c r="A1204" s="5"/>
      <c r="B1204" s="22"/>
      <c r="C1204" s="22"/>
      <c r="D1204" s="18"/>
      <c r="E1204" s="24"/>
      <c r="F1204" s="13"/>
      <c r="G1204" s="13"/>
      <c r="H1204" s="7"/>
      <c r="I1204" s="13"/>
      <c r="J1204" s="9"/>
      <c r="K1204" s="10"/>
      <c r="L1204" s="10"/>
      <c r="M1204" s="11"/>
      <c r="N1204" s="10"/>
      <c r="O1204" s="42"/>
      <c r="P1204" s="10"/>
    </row>
    <row r="1205" spans="1:16" x14ac:dyDescent="0.25">
      <c r="A1205" s="5"/>
      <c r="B1205" s="22"/>
      <c r="C1205" s="22"/>
      <c r="D1205" s="18"/>
      <c r="E1205" s="24"/>
      <c r="F1205" s="13"/>
      <c r="G1205" s="13"/>
      <c r="H1205" s="7"/>
      <c r="I1205" s="13"/>
      <c r="J1205" s="9"/>
      <c r="K1205" s="10"/>
      <c r="L1205" s="10"/>
      <c r="M1205" s="11"/>
      <c r="N1205" s="10"/>
      <c r="O1205" s="42"/>
      <c r="P1205" s="10"/>
    </row>
  </sheetData>
  <conditionalFormatting sqref="H1:H1205">
    <cfRule type="cellIs" dxfId="63" priority="1" operator="lessThan">
      <formula>0</formula>
    </cfRule>
    <cfRule type="colorScale" priority="2">
      <colorScale>
        <cfvo type="num" val="0"/>
        <cfvo type="num" val="4"/>
        <cfvo type="num" val="7"/>
        <color rgb="FFFF0000"/>
        <color rgb="FFFFEB84"/>
        <color rgb="FF00B050"/>
      </colorScale>
    </cfRule>
  </conditionalFormatting>
  <conditionalFormatting sqref="A863 A871">
    <cfRule type="expression" dxfId="62" priority="3">
      <formula>COUNTIF(A:A,A863)&gt;1</formula>
    </cfRule>
  </conditionalFormatting>
  <conditionalFormatting sqref="A1105:A1205 A871:A1103">
    <cfRule type="duplicateValues" dxfId="61" priority="4"/>
  </conditionalFormatting>
  <conditionalFormatting sqref="A871:A1205">
    <cfRule type="duplicateValues" dxfId="60" priority="5"/>
  </conditionalFormatting>
  <conditionalFormatting sqref="L2:L1205">
    <cfRule type="containsText" dxfId="59" priority="6" operator="containsText" text="Not Submitted">
      <formula>NOT(ISERROR(SEARCH("Not Submitted",L2)))</formula>
    </cfRule>
    <cfRule type="containsText" dxfId="58" priority="7" operator="containsText" text="Rejected">
      <formula>NOT(ISERROR(SEARCH("Rejected",L2)))</formula>
    </cfRule>
    <cfRule type="containsText" dxfId="57" priority="8" operator="containsText" text="Accepted">
      <formula>NOT(ISERROR(SEARCH("Accepted",L2)))</formula>
    </cfRule>
  </conditionalFormatting>
  <conditionalFormatting sqref="J1:J1205 I1:I862">
    <cfRule type="expression" dxfId="56" priority="9">
      <formula>AND(H1&gt;=0,L1="Rejected",TODAY()-I1&gt;14)</formula>
    </cfRule>
    <cfRule type="expression" dxfId="55" priority="10">
      <formula>AND(H1&gt;=0,L1="Rejected",TODAY()-I1&gt;7,TODAY()-I1&lt;=14)</formula>
    </cfRule>
  </conditionalFormatting>
  <conditionalFormatting sqref="P2:P1205">
    <cfRule type="containsText" dxfId="54" priority="11" operator="containsText" text="not yet">
      <formula>NOT(ISERROR(SEARCH("not yet",P2)))</formula>
    </cfRule>
    <cfRule type="notContainsText" dxfId="53" priority="12" operator="notContains" text="not">
      <formula>ISERROR(SEARCH("not",P2))</formula>
    </cfRule>
  </conditionalFormatting>
  <conditionalFormatting sqref="A1:A862">
    <cfRule type="duplicateValues" dxfId="52" priority="13"/>
  </conditionalFormatting>
  <conditionalFormatting sqref="G543">
    <cfRule type="expression" dxfId="51" priority="14">
      <formula>AND(F543&gt;=0,H543="Rejected",TODAY()-G543&gt;14)</formula>
    </cfRule>
    <cfRule type="expression" dxfId="50" priority="15">
      <formula>AND(F543&gt;=0,H543="Rejected",TODAY()-G543&gt;7,TODAY()-G543&lt;=14)</formula>
    </cfRule>
  </conditionalFormatting>
  <conditionalFormatting sqref="M1:M1205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{0ED6C543-95C8-4C0C-905A-4FEBE6FA17AD}</x14:id>
        </ext>
      </extLst>
    </cfRule>
  </conditionalFormatting>
  <conditionalFormatting sqref="N1:N1205">
    <cfRule type="iconSet" priority="17">
      <iconSet iconSet="3Symbols2">
        <cfvo type="percent" val="0"/>
        <cfvo type="percent" val="33"/>
        <cfvo type="percent" val="67"/>
      </iconSet>
    </cfRule>
  </conditionalFormatting>
  <hyperlinks>
    <hyperlink ref="D36" r:id="rId1" xr:uid="{DFD28A79-9ABB-4D40-A6F1-DD2A4A729F88}"/>
  </hyperlinks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Roman,Regular"&amp;12&amp;KFFFFFF&amp;A</oddHeader>
    <oddFooter>&amp;C&amp;"Times New Roman,Regular"&amp;12&amp;KffffffPage &amp;P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ED6C543-95C8-4C0C-905A-4FEBE6FA17AD}">
            <x14:dataBar gradient="0">
              <x14:cfvo type="autoMin"/>
              <x14:cfvo type="autoMax"/>
              <x14:negativeFillColor rgb="FFFF0000"/>
              <x14:axisColor rgb="FF000000"/>
            </x14:dataBar>
          </x14:cfRule>
          <xm:sqref>M1:M1205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P1205"/>
  <sheetViews>
    <sheetView workbookViewId="0">
      <selection sqref="A1:P1048576"/>
    </sheetView>
  </sheetViews>
  <sheetFormatPr defaultRowHeight="15" x14ac:dyDescent="0.25"/>
  <cols>
    <col min="1" max="1" width="17.5703125" bestFit="1" customWidth="1"/>
    <col min="2" max="2" width="10.5703125" bestFit="1" customWidth="1"/>
    <col min="3" max="3" width="25.42578125" customWidth="1"/>
    <col min="4" max="4" width="17.140625" customWidth="1"/>
    <col min="5" max="5" width="19.28515625" style="1" bestFit="1" customWidth="1"/>
    <col min="6" max="6" width="14.5703125" bestFit="1" customWidth="1"/>
    <col min="7" max="7" width="14.42578125" bestFit="1" customWidth="1"/>
    <col min="8" max="8" width="13.85546875" customWidth="1"/>
    <col min="9" max="9" width="15" customWidth="1"/>
    <col min="10" max="10" width="14" customWidth="1"/>
    <col min="11" max="11" width="14.140625" bestFit="1" customWidth="1"/>
    <col min="12" max="12" width="19.85546875" bestFit="1" customWidth="1"/>
    <col min="13" max="13" width="11.7109375" customWidth="1"/>
    <col min="14" max="14" width="8.42578125" customWidth="1"/>
    <col min="15" max="15" width="12.42578125" style="45" bestFit="1" customWidth="1"/>
    <col min="16" max="16" width="14.5703125" bestFit="1" customWidth="1"/>
  </cols>
  <sheetData>
    <row r="1" spans="1:16" ht="4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  <c r="G1" s="3" t="s">
        <v>6</v>
      </c>
      <c r="H1" s="4" t="s">
        <v>7</v>
      </c>
      <c r="I1" s="3" t="s">
        <v>8</v>
      </c>
      <c r="J1" s="4" t="s">
        <v>2456</v>
      </c>
      <c r="K1" s="2" t="s">
        <v>9</v>
      </c>
      <c r="L1" s="2" t="s">
        <v>10</v>
      </c>
      <c r="M1" s="2" t="s">
        <v>11</v>
      </c>
      <c r="N1" s="2" t="s">
        <v>12</v>
      </c>
      <c r="O1" s="44" t="s">
        <v>13</v>
      </c>
      <c r="P1" s="2" t="s">
        <v>2477</v>
      </c>
    </row>
    <row r="2" spans="1:16" x14ac:dyDescent="0.25">
      <c r="A2" s="26" t="s">
        <v>52</v>
      </c>
      <c r="B2" s="22" t="s">
        <v>15</v>
      </c>
      <c r="C2" s="22" t="s">
        <v>53</v>
      </c>
      <c r="D2" s="23" t="s">
        <v>54</v>
      </c>
      <c r="E2" s="24" t="s">
        <v>52</v>
      </c>
      <c r="F2" s="6">
        <v>44113</v>
      </c>
      <c r="G2" s="13">
        <v>44120</v>
      </c>
      <c r="H2" s="7">
        <v>-983</v>
      </c>
      <c r="I2" s="8"/>
      <c r="J2" s="9">
        <v>990</v>
      </c>
      <c r="K2" s="10"/>
      <c r="L2" s="10" t="s">
        <v>2457</v>
      </c>
      <c r="M2" s="11">
        <v>0</v>
      </c>
      <c r="N2" s="10" t="s">
        <v>30</v>
      </c>
      <c r="O2" s="42">
        <v>0</v>
      </c>
      <c r="P2" s="10" t="s">
        <v>2485</v>
      </c>
    </row>
    <row r="3" spans="1:16" x14ac:dyDescent="0.25">
      <c r="A3" s="26" t="s">
        <v>2480</v>
      </c>
      <c r="B3" s="22" t="s">
        <v>15</v>
      </c>
      <c r="C3" s="22" t="s">
        <v>53</v>
      </c>
      <c r="D3" s="23" t="s">
        <v>56</v>
      </c>
      <c r="E3" s="24" t="s">
        <v>2480</v>
      </c>
      <c r="F3" s="6">
        <v>44124</v>
      </c>
      <c r="G3" s="13">
        <v>44131</v>
      </c>
      <c r="H3" s="7">
        <v>-972</v>
      </c>
      <c r="I3" s="8"/>
      <c r="J3" s="9">
        <v>979</v>
      </c>
      <c r="K3" s="10"/>
      <c r="L3" s="10" t="s">
        <v>2457</v>
      </c>
      <c r="M3" s="11">
        <v>0</v>
      </c>
      <c r="N3" s="10" t="s">
        <v>18</v>
      </c>
      <c r="O3" s="42">
        <v>0</v>
      </c>
      <c r="P3" s="10" t="s">
        <v>2485</v>
      </c>
    </row>
    <row r="4" spans="1:16" x14ac:dyDescent="0.25">
      <c r="A4" s="5" t="s">
        <v>63</v>
      </c>
      <c r="B4" s="22" t="s">
        <v>15</v>
      </c>
      <c r="C4" s="22" t="s">
        <v>16</v>
      </c>
      <c r="D4" s="23" t="s">
        <v>64</v>
      </c>
      <c r="E4" s="24" t="s">
        <v>63</v>
      </c>
      <c r="F4" s="6">
        <v>44124</v>
      </c>
      <c r="G4" s="13">
        <v>44131</v>
      </c>
      <c r="H4" s="7">
        <v>-972</v>
      </c>
      <c r="I4" s="13"/>
      <c r="J4" s="9">
        <v>979</v>
      </c>
      <c r="K4" s="23"/>
      <c r="L4" s="10" t="s">
        <v>2457</v>
      </c>
      <c r="M4" s="11">
        <v>0</v>
      </c>
      <c r="N4" s="10" t="s">
        <v>18</v>
      </c>
      <c r="O4" s="42">
        <v>0</v>
      </c>
      <c r="P4" s="10" t="s">
        <v>2485</v>
      </c>
    </row>
    <row r="5" spans="1:16" x14ac:dyDescent="0.25">
      <c r="A5" s="5" t="s">
        <v>59</v>
      </c>
      <c r="B5" s="22" t="s">
        <v>15</v>
      </c>
      <c r="C5" s="22" t="s">
        <v>16</v>
      </c>
      <c r="D5" s="23" t="s">
        <v>60</v>
      </c>
      <c r="E5" s="24" t="s">
        <v>59</v>
      </c>
      <c r="F5" s="6">
        <v>44124</v>
      </c>
      <c r="G5" s="13">
        <v>44131</v>
      </c>
      <c r="H5" s="7">
        <v>-972</v>
      </c>
      <c r="I5" s="8"/>
      <c r="J5" s="9">
        <v>979</v>
      </c>
      <c r="K5" s="10"/>
      <c r="L5" s="10" t="s">
        <v>2457</v>
      </c>
      <c r="M5" s="11">
        <v>1</v>
      </c>
      <c r="N5" s="10" t="s">
        <v>18</v>
      </c>
      <c r="O5" s="42">
        <v>0</v>
      </c>
      <c r="P5" s="10" t="s">
        <v>2485</v>
      </c>
    </row>
    <row r="6" spans="1:16" x14ac:dyDescent="0.25">
      <c r="A6" s="5" t="s">
        <v>57</v>
      </c>
      <c r="B6" s="22" t="s">
        <v>15</v>
      </c>
      <c r="C6" s="22" t="s">
        <v>16</v>
      </c>
      <c r="D6" s="23" t="s">
        <v>58</v>
      </c>
      <c r="E6" s="24" t="s">
        <v>57</v>
      </c>
      <c r="F6" s="6">
        <v>44124</v>
      </c>
      <c r="G6" s="13">
        <v>44131</v>
      </c>
      <c r="H6" s="7">
        <v>-972</v>
      </c>
      <c r="I6" s="8"/>
      <c r="J6" s="9">
        <v>979</v>
      </c>
      <c r="K6" s="10"/>
      <c r="L6" s="10" t="s">
        <v>2457</v>
      </c>
      <c r="M6" s="11">
        <v>0</v>
      </c>
      <c r="N6" s="10" t="s">
        <v>18</v>
      </c>
      <c r="O6" s="42">
        <v>0</v>
      </c>
      <c r="P6" s="10" t="s">
        <v>2485</v>
      </c>
    </row>
    <row r="7" spans="1:16" x14ac:dyDescent="0.25">
      <c r="A7" s="5" t="s">
        <v>61</v>
      </c>
      <c r="B7" s="22" t="s">
        <v>15</v>
      </c>
      <c r="C7" s="22" t="s">
        <v>16</v>
      </c>
      <c r="D7" s="23" t="s">
        <v>62</v>
      </c>
      <c r="E7" s="24" t="s">
        <v>61</v>
      </c>
      <c r="F7" s="6">
        <v>44124</v>
      </c>
      <c r="G7" s="13">
        <v>44131</v>
      </c>
      <c r="H7" s="7">
        <v>-972</v>
      </c>
      <c r="I7" s="8"/>
      <c r="J7" s="9">
        <v>979</v>
      </c>
      <c r="K7" s="10"/>
      <c r="L7" s="10" t="s">
        <v>2457</v>
      </c>
      <c r="M7" s="11">
        <v>0</v>
      </c>
      <c r="N7" s="10" t="s">
        <v>30</v>
      </c>
      <c r="O7" s="42">
        <v>0</v>
      </c>
      <c r="P7" s="10" t="s">
        <v>2485</v>
      </c>
    </row>
    <row r="8" spans="1:16" x14ac:dyDescent="0.25">
      <c r="A8" s="5" t="s">
        <v>190</v>
      </c>
      <c r="B8" s="22" t="s">
        <v>15</v>
      </c>
      <c r="C8" s="22" t="s">
        <v>191</v>
      </c>
      <c r="D8" s="23" t="s">
        <v>192</v>
      </c>
      <c r="E8" s="24" t="s">
        <v>190</v>
      </c>
      <c r="F8" s="6">
        <v>44172</v>
      </c>
      <c r="G8" s="13">
        <v>44179</v>
      </c>
      <c r="H8" s="7">
        <v>-924</v>
      </c>
      <c r="I8" s="8"/>
      <c r="J8" s="9">
        <v>931</v>
      </c>
      <c r="K8" s="10"/>
      <c r="L8" s="10" t="s">
        <v>2457</v>
      </c>
      <c r="M8" s="11">
        <v>0</v>
      </c>
      <c r="N8" s="10" t="s">
        <v>18</v>
      </c>
      <c r="O8" s="42">
        <v>0</v>
      </c>
      <c r="P8" s="10" t="s">
        <v>2485</v>
      </c>
    </row>
    <row r="9" spans="1:16" x14ac:dyDescent="0.25">
      <c r="A9" s="5" t="s">
        <v>193</v>
      </c>
      <c r="B9" s="22" t="s">
        <v>15</v>
      </c>
      <c r="C9" s="22" t="s">
        <v>21</v>
      </c>
      <c r="D9" s="23" t="s">
        <v>194</v>
      </c>
      <c r="E9" s="24" t="s">
        <v>193</v>
      </c>
      <c r="F9" s="6">
        <v>44183</v>
      </c>
      <c r="G9" s="13">
        <v>44190</v>
      </c>
      <c r="H9" s="7">
        <v>-913</v>
      </c>
      <c r="I9" s="8"/>
      <c r="J9" s="9">
        <v>920</v>
      </c>
      <c r="K9" s="10"/>
      <c r="L9" s="10" t="s">
        <v>2457</v>
      </c>
      <c r="M9" s="11">
        <v>1</v>
      </c>
      <c r="N9" s="10" t="s">
        <v>18</v>
      </c>
      <c r="O9" s="42">
        <v>0</v>
      </c>
      <c r="P9" s="10" t="s">
        <v>2485</v>
      </c>
    </row>
    <row r="10" spans="1:16" x14ac:dyDescent="0.25">
      <c r="A10" s="5" t="s">
        <v>502</v>
      </c>
      <c r="B10" s="22" t="s">
        <v>15</v>
      </c>
      <c r="C10" s="22" t="s">
        <v>503</v>
      </c>
      <c r="D10" s="23" t="s">
        <v>504</v>
      </c>
      <c r="E10" s="24" t="s">
        <v>502</v>
      </c>
      <c r="F10" s="6">
        <v>44264</v>
      </c>
      <c r="G10" s="13">
        <v>44271</v>
      </c>
      <c r="H10" s="7">
        <v>-832</v>
      </c>
      <c r="I10" s="8"/>
      <c r="J10" s="9">
        <v>839</v>
      </c>
      <c r="K10" s="10"/>
      <c r="L10" s="10" t="s">
        <v>2457</v>
      </c>
      <c r="M10" s="11">
        <v>0</v>
      </c>
      <c r="N10" s="10" t="s">
        <v>30</v>
      </c>
      <c r="O10" s="42">
        <v>0</v>
      </c>
      <c r="P10" s="10" t="s">
        <v>2485</v>
      </c>
    </row>
    <row r="11" spans="1:16" x14ac:dyDescent="0.25">
      <c r="A11" s="5" t="s">
        <v>713</v>
      </c>
      <c r="B11" s="22" t="s">
        <v>15</v>
      </c>
      <c r="C11" s="22" t="s">
        <v>238</v>
      </c>
      <c r="D11" s="23" t="s">
        <v>714</v>
      </c>
      <c r="E11" s="24" t="s">
        <v>713</v>
      </c>
      <c r="F11" s="6">
        <v>44326</v>
      </c>
      <c r="G11" s="13">
        <v>44333</v>
      </c>
      <c r="H11" s="7">
        <v>-770</v>
      </c>
      <c r="I11" s="8"/>
      <c r="J11" s="9">
        <v>777</v>
      </c>
      <c r="K11" s="10"/>
      <c r="L11" s="10" t="s">
        <v>2457</v>
      </c>
      <c r="M11" s="11">
        <v>0</v>
      </c>
      <c r="N11" s="10" t="s">
        <v>18</v>
      </c>
      <c r="O11" s="42">
        <v>0</v>
      </c>
      <c r="P11" s="10" t="s">
        <v>2485</v>
      </c>
    </row>
    <row r="12" spans="1:16" x14ac:dyDescent="0.25">
      <c r="A12" s="5" t="s">
        <v>1075</v>
      </c>
      <c r="B12" s="22" t="s">
        <v>716</v>
      </c>
      <c r="C12" s="22" t="s">
        <v>985</v>
      </c>
      <c r="D12" s="23" t="s">
        <v>1076</v>
      </c>
      <c r="E12" s="24" t="s">
        <v>1075</v>
      </c>
      <c r="F12" s="6">
        <v>44382</v>
      </c>
      <c r="G12" s="13">
        <v>44388</v>
      </c>
      <c r="H12" s="7">
        <v>-715</v>
      </c>
      <c r="I12" s="8"/>
      <c r="J12" s="9">
        <v>721</v>
      </c>
      <c r="K12" s="10"/>
      <c r="L12" s="10" t="s">
        <v>2457</v>
      </c>
      <c r="M12" s="11">
        <v>0</v>
      </c>
      <c r="N12" s="10" t="s">
        <v>18</v>
      </c>
      <c r="O12" s="42">
        <v>0</v>
      </c>
      <c r="P12" s="10" t="s">
        <v>2485</v>
      </c>
    </row>
    <row r="13" spans="1:16" x14ac:dyDescent="0.25">
      <c r="A13" s="5" t="s">
        <v>1077</v>
      </c>
      <c r="B13" s="22" t="s">
        <v>716</v>
      </c>
      <c r="C13" s="22" t="s">
        <v>985</v>
      </c>
      <c r="D13" s="23" t="s">
        <v>1078</v>
      </c>
      <c r="E13" s="24" t="s">
        <v>1077</v>
      </c>
      <c r="F13" s="6">
        <v>44382</v>
      </c>
      <c r="G13" s="13">
        <v>44388</v>
      </c>
      <c r="H13" s="7">
        <v>-715</v>
      </c>
      <c r="I13" s="8"/>
      <c r="J13" s="9">
        <v>721</v>
      </c>
      <c r="K13" s="10"/>
      <c r="L13" s="10" t="s">
        <v>2457</v>
      </c>
      <c r="M13" s="11">
        <v>0</v>
      </c>
      <c r="N13" s="10" t="s">
        <v>18</v>
      </c>
      <c r="O13" s="42">
        <v>0</v>
      </c>
      <c r="P13" s="10" t="s">
        <v>2485</v>
      </c>
    </row>
    <row r="14" spans="1:16" x14ac:dyDescent="0.25">
      <c r="A14" s="5" t="s">
        <v>1079</v>
      </c>
      <c r="B14" s="22" t="s">
        <v>716</v>
      </c>
      <c r="C14" s="22" t="s">
        <v>985</v>
      </c>
      <c r="D14" s="23" t="s">
        <v>1080</v>
      </c>
      <c r="E14" s="24" t="s">
        <v>1079</v>
      </c>
      <c r="F14" s="6">
        <v>44382</v>
      </c>
      <c r="G14" s="13">
        <v>44388</v>
      </c>
      <c r="H14" s="7">
        <v>-715</v>
      </c>
      <c r="I14" s="8"/>
      <c r="J14" s="9">
        <v>721</v>
      </c>
      <c r="K14" s="10"/>
      <c r="L14" s="10" t="s">
        <v>2457</v>
      </c>
      <c r="M14" s="11">
        <v>0</v>
      </c>
      <c r="N14" s="10" t="s">
        <v>18</v>
      </c>
      <c r="O14" s="42">
        <v>0</v>
      </c>
      <c r="P14" s="10" t="s">
        <v>2485</v>
      </c>
    </row>
    <row r="15" spans="1:16" x14ac:dyDescent="0.25">
      <c r="A15" s="5" t="s">
        <v>1081</v>
      </c>
      <c r="B15" s="22" t="s">
        <v>716</v>
      </c>
      <c r="C15" s="22" t="s">
        <v>992</v>
      </c>
      <c r="D15" s="23" t="s">
        <v>1082</v>
      </c>
      <c r="E15" s="24" t="s">
        <v>1081</v>
      </c>
      <c r="F15" s="6">
        <v>44382</v>
      </c>
      <c r="G15" s="25">
        <v>44388</v>
      </c>
      <c r="H15" s="7">
        <v>-715</v>
      </c>
      <c r="I15" s="8"/>
      <c r="J15" s="9">
        <v>721</v>
      </c>
      <c r="K15" s="12"/>
      <c r="L15" s="10" t="s">
        <v>2457</v>
      </c>
      <c r="M15" s="11">
        <v>0</v>
      </c>
      <c r="N15" s="10" t="s">
        <v>18</v>
      </c>
      <c r="O15" s="42">
        <v>0</v>
      </c>
      <c r="P15" s="10" t="s">
        <v>2485</v>
      </c>
    </row>
    <row r="16" spans="1:16" x14ac:dyDescent="0.25">
      <c r="A16" s="5" t="s">
        <v>1083</v>
      </c>
      <c r="B16" s="22" t="s">
        <v>716</v>
      </c>
      <c r="C16" s="22" t="s">
        <v>992</v>
      </c>
      <c r="D16" s="23" t="s">
        <v>1084</v>
      </c>
      <c r="E16" s="24" t="s">
        <v>1083</v>
      </c>
      <c r="F16" s="6">
        <v>44382</v>
      </c>
      <c r="G16" s="13">
        <v>44388</v>
      </c>
      <c r="H16" s="7">
        <v>-715</v>
      </c>
      <c r="I16" s="8"/>
      <c r="J16" s="9">
        <v>721</v>
      </c>
      <c r="K16" s="12"/>
      <c r="L16" s="10" t="s">
        <v>2457</v>
      </c>
      <c r="M16" s="11">
        <v>0</v>
      </c>
      <c r="N16" s="10" t="s">
        <v>18</v>
      </c>
      <c r="O16" s="42">
        <v>0</v>
      </c>
      <c r="P16" s="10" t="s">
        <v>2485</v>
      </c>
    </row>
    <row r="17" spans="1:16" x14ac:dyDescent="0.25">
      <c r="A17" s="5" t="s">
        <v>1085</v>
      </c>
      <c r="B17" s="22" t="s">
        <v>716</v>
      </c>
      <c r="C17" s="22" t="s">
        <v>992</v>
      </c>
      <c r="D17" s="23" t="s">
        <v>1086</v>
      </c>
      <c r="E17" s="24" t="s">
        <v>1085</v>
      </c>
      <c r="F17" s="6">
        <v>44382</v>
      </c>
      <c r="G17" s="13">
        <v>44388</v>
      </c>
      <c r="H17" s="7">
        <v>-715</v>
      </c>
      <c r="I17" s="8"/>
      <c r="J17" s="9">
        <v>721</v>
      </c>
      <c r="K17" s="12"/>
      <c r="L17" s="10" t="s">
        <v>2457</v>
      </c>
      <c r="M17" s="11">
        <v>0</v>
      </c>
      <c r="N17" s="10" t="s">
        <v>18</v>
      </c>
      <c r="O17" s="42">
        <v>0</v>
      </c>
      <c r="P17" s="10" t="s">
        <v>2485</v>
      </c>
    </row>
    <row r="18" spans="1:16" x14ac:dyDescent="0.25">
      <c r="A18" s="5" t="s">
        <v>1087</v>
      </c>
      <c r="B18" s="22" t="s">
        <v>716</v>
      </c>
      <c r="C18" s="22" t="s">
        <v>1043</v>
      </c>
      <c r="D18" s="23" t="s">
        <v>1088</v>
      </c>
      <c r="E18" s="24" t="s">
        <v>1087</v>
      </c>
      <c r="F18" s="6">
        <v>44382</v>
      </c>
      <c r="G18" s="13">
        <v>44388</v>
      </c>
      <c r="H18" s="7">
        <v>-715</v>
      </c>
      <c r="I18" s="8"/>
      <c r="J18" s="9">
        <v>721</v>
      </c>
      <c r="K18" s="10"/>
      <c r="L18" s="10" t="s">
        <v>2457</v>
      </c>
      <c r="M18" s="11">
        <v>0</v>
      </c>
      <c r="N18" s="10" t="s">
        <v>18</v>
      </c>
      <c r="O18" s="42">
        <v>0</v>
      </c>
      <c r="P18" s="10" t="s">
        <v>2485</v>
      </c>
    </row>
    <row r="19" spans="1:16" x14ac:dyDescent="0.25">
      <c r="A19" s="5" t="s">
        <v>1089</v>
      </c>
      <c r="B19" s="22" t="s">
        <v>716</v>
      </c>
      <c r="C19" s="22" t="s">
        <v>1043</v>
      </c>
      <c r="D19" s="23" t="s">
        <v>1090</v>
      </c>
      <c r="E19" s="24" t="s">
        <v>1089</v>
      </c>
      <c r="F19" s="6">
        <v>44382</v>
      </c>
      <c r="G19" s="13">
        <v>44388</v>
      </c>
      <c r="H19" s="7">
        <v>-715</v>
      </c>
      <c r="I19" s="8"/>
      <c r="J19" s="9">
        <v>721</v>
      </c>
      <c r="K19" s="10"/>
      <c r="L19" s="10" t="s">
        <v>2457</v>
      </c>
      <c r="M19" s="11">
        <v>0</v>
      </c>
      <c r="N19" s="10" t="s">
        <v>18</v>
      </c>
      <c r="O19" s="42">
        <v>0</v>
      </c>
      <c r="P19" s="10" t="s">
        <v>2485</v>
      </c>
    </row>
    <row r="20" spans="1:16" x14ac:dyDescent="0.25">
      <c r="A20" s="5" t="s">
        <v>1091</v>
      </c>
      <c r="B20" s="22" t="s">
        <v>716</v>
      </c>
      <c r="C20" s="22" t="s">
        <v>1043</v>
      </c>
      <c r="D20" s="23" t="s">
        <v>1092</v>
      </c>
      <c r="E20" s="24" t="s">
        <v>1091</v>
      </c>
      <c r="F20" s="6">
        <v>44382</v>
      </c>
      <c r="G20" s="13">
        <v>44388</v>
      </c>
      <c r="H20" s="7">
        <v>-715</v>
      </c>
      <c r="I20" s="8"/>
      <c r="J20" s="9">
        <v>721</v>
      </c>
      <c r="K20" s="10"/>
      <c r="L20" s="10" t="s">
        <v>2457</v>
      </c>
      <c r="M20" s="11">
        <v>0</v>
      </c>
      <c r="N20" s="10" t="s">
        <v>18</v>
      </c>
      <c r="O20" s="42">
        <v>0</v>
      </c>
      <c r="P20" s="10" t="s">
        <v>2485</v>
      </c>
    </row>
    <row r="21" spans="1:16" x14ac:dyDescent="0.25">
      <c r="A21" s="5" t="s">
        <v>1093</v>
      </c>
      <c r="B21" s="22" t="s">
        <v>716</v>
      </c>
      <c r="C21" s="22" t="s">
        <v>1043</v>
      </c>
      <c r="D21" s="23" t="s">
        <v>1094</v>
      </c>
      <c r="E21" s="24" t="s">
        <v>1093</v>
      </c>
      <c r="F21" s="6">
        <v>44382</v>
      </c>
      <c r="G21" s="13">
        <v>44388</v>
      </c>
      <c r="H21" s="7">
        <v>-715</v>
      </c>
      <c r="I21" s="8"/>
      <c r="J21" s="9">
        <v>721</v>
      </c>
      <c r="K21" s="10"/>
      <c r="L21" s="10" t="s">
        <v>2457</v>
      </c>
      <c r="M21" s="11">
        <v>0</v>
      </c>
      <c r="N21" s="10" t="s">
        <v>18</v>
      </c>
      <c r="O21" s="42">
        <v>0</v>
      </c>
      <c r="P21" s="10" t="s">
        <v>2485</v>
      </c>
    </row>
    <row r="22" spans="1:16" x14ac:dyDescent="0.25">
      <c r="A22" s="5" t="s">
        <v>1095</v>
      </c>
      <c r="B22" s="22" t="s">
        <v>716</v>
      </c>
      <c r="C22" s="22" t="s">
        <v>1043</v>
      </c>
      <c r="D22" s="23" t="s">
        <v>1096</v>
      </c>
      <c r="E22" s="24" t="s">
        <v>1095</v>
      </c>
      <c r="F22" s="6">
        <v>44382</v>
      </c>
      <c r="G22" s="13">
        <v>44388</v>
      </c>
      <c r="H22" s="7">
        <v>-715</v>
      </c>
      <c r="I22" s="8"/>
      <c r="J22" s="9">
        <v>721</v>
      </c>
      <c r="K22" s="10"/>
      <c r="L22" s="10" t="s">
        <v>2457</v>
      </c>
      <c r="M22" s="11">
        <v>0</v>
      </c>
      <c r="N22" s="10" t="s">
        <v>18</v>
      </c>
      <c r="O22" s="42">
        <v>0</v>
      </c>
      <c r="P22" s="10" t="s">
        <v>2485</v>
      </c>
    </row>
    <row r="23" spans="1:16" x14ac:dyDescent="0.25">
      <c r="A23" s="5" t="s">
        <v>1097</v>
      </c>
      <c r="B23" s="22" t="s">
        <v>716</v>
      </c>
      <c r="C23" s="22" t="s">
        <v>1043</v>
      </c>
      <c r="D23" s="23" t="s">
        <v>1098</v>
      </c>
      <c r="E23" s="24" t="s">
        <v>1097</v>
      </c>
      <c r="F23" s="6">
        <v>44382</v>
      </c>
      <c r="G23" s="13">
        <v>44388</v>
      </c>
      <c r="H23" s="7">
        <v>-715</v>
      </c>
      <c r="I23" s="8"/>
      <c r="J23" s="9">
        <v>721</v>
      </c>
      <c r="K23" s="10"/>
      <c r="L23" s="10" t="s">
        <v>2457</v>
      </c>
      <c r="M23" s="11">
        <v>0</v>
      </c>
      <c r="N23" s="10" t="s">
        <v>18</v>
      </c>
      <c r="O23" s="42">
        <v>0</v>
      </c>
      <c r="P23" s="10" t="s">
        <v>2485</v>
      </c>
    </row>
    <row r="24" spans="1:16" x14ac:dyDescent="0.25">
      <c r="A24" s="5" t="s">
        <v>1099</v>
      </c>
      <c r="B24" s="22" t="s">
        <v>716</v>
      </c>
      <c r="C24" s="22" t="s">
        <v>1043</v>
      </c>
      <c r="D24" s="23" t="s">
        <v>1100</v>
      </c>
      <c r="E24" s="24" t="s">
        <v>1099</v>
      </c>
      <c r="F24" s="6">
        <v>44382</v>
      </c>
      <c r="G24" s="13">
        <v>44388</v>
      </c>
      <c r="H24" s="7">
        <v>-715</v>
      </c>
      <c r="I24" s="8"/>
      <c r="J24" s="9">
        <v>721</v>
      </c>
      <c r="K24" s="10"/>
      <c r="L24" s="10" t="s">
        <v>2457</v>
      </c>
      <c r="M24" s="11">
        <v>0</v>
      </c>
      <c r="N24" s="10" t="s">
        <v>18</v>
      </c>
      <c r="O24" s="42">
        <v>0</v>
      </c>
      <c r="P24" s="10" t="s">
        <v>2485</v>
      </c>
    </row>
    <row r="25" spans="1:16" x14ac:dyDescent="0.25">
      <c r="A25" s="5" t="s">
        <v>1101</v>
      </c>
      <c r="B25" s="22" t="s">
        <v>716</v>
      </c>
      <c r="C25" s="22" t="s">
        <v>1043</v>
      </c>
      <c r="D25" s="23" t="s">
        <v>1102</v>
      </c>
      <c r="E25" s="24" t="s">
        <v>1101</v>
      </c>
      <c r="F25" s="6">
        <v>44382</v>
      </c>
      <c r="G25" s="13">
        <v>44388</v>
      </c>
      <c r="H25" s="7">
        <v>-715</v>
      </c>
      <c r="I25" s="8"/>
      <c r="J25" s="9">
        <v>721</v>
      </c>
      <c r="K25" s="10"/>
      <c r="L25" s="10" t="s">
        <v>2457</v>
      </c>
      <c r="M25" s="11">
        <v>0</v>
      </c>
      <c r="N25" s="10" t="s">
        <v>18</v>
      </c>
      <c r="O25" s="42">
        <v>0</v>
      </c>
      <c r="P25" s="10" t="s">
        <v>2485</v>
      </c>
    </row>
    <row r="26" spans="1:16" x14ac:dyDescent="0.25">
      <c r="A26" s="5" t="s">
        <v>1180</v>
      </c>
      <c r="B26" s="22" t="s">
        <v>716</v>
      </c>
      <c r="C26" s="22" t="s">
        <v>1043</v>
      </c>
      <c r="D26" s="23" t="s">
        <v>1181</v>
      </c>
      <c r="E26" s="24" t="s">
        <v>1180</v>
      </c>
      <c r="F26" s="6">
        <v>44389</v>
      </c>
      <c r="G26" s="13">
        <v>44395</v>
      </c>
      <c r="H26" s="7">
        <v>-708</v>
      </c>
      <c r="I26" s="8"/>
      <c r="J26" s="9">
        <v>714</v>
      </c>
      <c r="K26" s="10"/>
      <c r="L26" s="10" t="s">
        <v>2457</v>
      </c>
      <c r="M26" s="11">
        <v>0</v>
      </c>
      <c r="N26" s="10" t="s">
        <v>18</v>
      </c>
      <c r="O26" s="42">
        <v>0</v>
      </c>
      <c r="P26" s="10" t="s">
        <v>2485</v>
      </c>
    </row>
    <row r="27" spans="1:16" x14ac:dyDescent="0.25">
      <c r="A27" s="5" t="s">
        <v>1182</v>
      </c>
      <c r="B27" s="22" t="s">
        <v>716</v>
      </c>
      <c r="C27" s="22" t="s">
        <v>1138</v>
      </c>
      <c r="D27" s="23" t="s">
        <v>1183</v>
      </c>
      <c r="E27" s="24" t="s">
        <v>1182</v>
      </c>
      <c r="F27" s="6">
        <v>44389</v>
      </c>
      <c r="G27" s="13">
        <v>44395</v>
      </c>
      <c r="H27" s="7">
        <v>-708</v>
      </c>
      <c r="I27" s="8"/>
      <c r="J27" s="9">
        <v>714</v>
      </c>
      <c r="K27" s="10"/>
      <c r="L27" s="10" t="s">
        <v>2457</v>
      </c>
      <c r="M27" s="11">
        <v>0</v>
      </c>
      <c r="N27" s="10" t="s">
        <v>18</v>
      </c>
      <c r="O27" s="42">
        <v>0</v>
      </c>
      <c r="P27" s="10" t="s">
        <v>2485</v>
      </c>
    </row>
    <row r="28" spans="1:16" x14ac:dyDescent="0.25">
      <c r="A28" s="5" t="s">
        <v>1184</v>
      </c>
      <c r="B28" s="22" t="s">
        <v>716</v>
      </c>
      <c r="C28" s="22" t="s">
        <v>1138</v>
      </c>
      <c r="D28" s="23" t="s">
        <v>1185</v>
      </c>
      <c r="E28" s="24" t="s">
        <v>1184</v>
      </c>
      <c r="F28" s="6">
        <v>44389</v>
      </c>
      <c r="G28" s="13">
        <v>44395</v>
      </c>
      <c r="H28" s="7">
        <v>-708</v>
      </c>
      <c r="I28" s="8"/>
      <c r="J28" s="9">
        <v>714</v>
      </c>
      <c r="K28" s="10"/>
      <c r="L28" s="10" t="s">
        <v>2457</v>
      </c>
      <c r="M28" s="11">
        <v>0</v>
      </c>
      <c r="N28" s="10" t="s">
        <v>18</v>
      </c>
      <c r="O28" s="42">
        <v>0</v>
      </c>
      <c r="P28" s="10" t="s">
        <v>2485</v>
      </c>
    </row>
    <row r="29" spans="1:16" x14ac:dyDescent="0.25">
      <c r="A29" s="5" t="s">
        <v>1186</v>
      </c>
      <c r="B29" s="22" t="s">
        <v>716</v>
      </c>
      <c r="C29" s="22" t="s">
        <v>1138</v>
      </c>
      <c r="D29" s="23" t="s">
        <v>1187</v>
      </c>
      <c r="E29" s="24" t="s">
        <v>1186</v>
      </c>
      <c r="F29" s="6">
        <v>44389</v>
      </c>
      <c r="G29" s="13">
        <v>44395</v>
      </c>
      <c r="H29" s="7">
        <v>-708</v>
      </c>
      <c r="I29" s="8"/>
      <c r="J29" s="9">
        <v>714</v>
      </c>
      <c r="K29" s="10"/>
      <c r="L29" s="10" t="s">
        <v>2457</v>
      </c>
      <c r="M29" s="11">
        <v>0</v>
      </c>
      <c r="N29" s="10" t="s">
        <v>18</v>
      </c>
      <c r="O29" s="42">
        <v>0</v>
      </c>
      <c r="P29" s="10" t="s">
        <v>2485</v>
      </c>
    </row>
    <row r="30" spans="1:16" x14ac:dyDescent="0.25">
      <c r="A30" s="5" t="s">
        <v>1188</v>
      </c>
      <c r="B30" s="22" t="s">
        <v>716</v>
      </c>
      <c r="C30" s="22" t="s">
        <v>787</v>
      </c>
      <c r="D30" s="23" t="s">
        <v>1189</v>
      </c>
      <c r="E30" s="24" t="s">
        <v>1188</v>
      </c>
      <c r="F30" s="6">
        <v>44389</v>
      </c>
      <c r="G30" s="13">
        <v>44395</v>
      </c>
      <c r="H30" s="7">
        <v>-708</v>
      </c>
      <c r="I30" s="8"/>
      <c r="J30" s="9">
        <v>714</v>
      </c>
      <c r="K30" s="12"/>
      <c r="L30" s="10" t="s">
        <v>2457</v>
      </c>
      <c r="M30" s="11">
        <v>0</v>
      </c>
      <c r="N30" s="10" t="s">
        <v>18</v>
      </c>
      <c r="O30" s="42">
        <v>0</v>
      </c>
      <c r="P30" s="10" t="s">
        <v>2485</v>
      </c>
    </row>
    <row r="31" spans="1:16" x14ac:dyDescent="0.25">
      <c r="A31" s="5" t="s">
        <v>1190</v>
      </c>
      <c r="B31" s="22" t="s">
        <v>716</v>
      </c>
      <c r="C31" s="22" t="s">
        <v>2470</v>
      </c>
      <c r="D31" s="23" t="s">
        <v>1191</v>
      </c>
      <c r="E31" s="24" t="s">
        <v>1190</v>
      </c>
      <c r="F31" s="6">
        <v>44389</v>
      </c>
      <c r="G31" s="13">
        <v>44395</v>
      </c>
      <c r="H31" s="7">
        <v>-708</v>
      </c>
      <c r="I31" s="8"/>
      <c r="J31" s="9">
        <v>714</v>
      </c>
      <c r="K31" s="12"/>
      <c r="L31" s="10" t="s">
        <v>2457</v>
      </c>
      <c r="M31" s="11">
        <v>0</v>
      </c>
      <c r="N31" s="10" t="s">
        <v>18</v>
      </c>
      <c r="O31" s="42">
        <v>0</v>
      </c>
      <c r="P31" s="10" t="s">
        <v>2485</v>
      </c>
    </row>
    <row r="32" spans="1:16" x14ac:dyDescent="0.25">
      <c r="A32" s="5" t="s">
        <v>1192</v>
      </c>
      <c r="B32" s="22" t="s">
        <v>716</v>
      </c>
      <c r="C32" s="22" t="s">
        <v>2470</v>
      </c>
      <c r="D32" s="23" t="s">
        <v>1193</v>
      </c>
      <c r="E32" s="24" t="s">
        <v>1192</v>
      </c>
      <c r="F32" s="6">
        <v>44389</v>
      </c>
      <c r="G32" s="13">
        <v>44395</v>
      </c>
      <c r="H32" s="7">
        <v>-708</v>
      </c>
      <c r="I32" s="8"/>
      <c r="J32" s="9">
        <v>714</v>
      </c>
      <c r="K32" s="12"/>
      <c r="L32" s="10" t="s">
        <v>2457</v>
      </c>
      <c r="M32" s="11">
        <v>0</v>
      </c>
      <c r="N32" s="10" t="s">
        <v>18</v>
      </c>
      <c r="O32" s="42">
        <v>0</v>
      </c>
      <c r="P32" s="10" t="s">
        <v>2485</v>
      </c>
    </row>
    <row r="33" spans="1:16" x14ac:dyDescent="0.25">
      <c r="A33" s="5" t="s">
        <v>1194</v>
      </c>
      <c r="B33" s="22" t="s">
        <v>716</v>
      </c>
      <c r="C33" s="22" t="s">
        <v>2505</v>
      </c>
      <c r="D33" s="23" t="s">
        <v>1195</v>
      </c>
      <c r="E33" s="24" t="s">
        <v>1194</v>
      </c>
      <c r="F33" s="6">
        <v>44389</v>
      </c>
      <c r="G33" s="13">
        <v>44395</v>
      </c>
      <c r="H33" s="7">
        <v>-708</v>
      </c>
      <c r="I33" s="8"/>
      <c r="J33" s="9">
        <v>714</v>
      </c>
      <c r="K33" s="12"/>
      <c r="L33" s="10" t="s">
        <v>2457</v>
      </c>
      <c r="M33" s="11">
        <v>0</v>
      </c>
      <c r="N33" s="10" t="s">
        <v>18</v>
      </c>
      <c r="O33" s="42">
        <v>0</v>
      </c>
      <c r="P33" s="10" t="s">
        <v>2485</v>
      </c>
    </row>
    <row r="34" spans="1:16" x14ac:dyDescent="0.25">
      <c r="A34" s="5" t="s">
        <v>1196</v>
      </c>
      <c r="B34" s="22" t="s">
        <v>716</v>
      </c>
      <c r="C34" s="22" t="s">
        <v>2505</v>
      </c>
      <c r="D34" s="23" t="s">
        <v>1197</v>
      </c>
      <c r="E34" s="24" t="s">
        <v>1196</v>
      </c>
      <c r="F34" s="6">
        <v>44389</v>
      </c>
      <c r="G34" s="13">
        <v>44395</v>
      </c>
      <c r="H34" s="7">
        <v>-708</v>
      </c>
      <c r="I34" s="8"/>
      <c r="J34" s="9">
        <v>714</v>
      </c>
      <c r="K34" s="12"/>
      <c r="L34" s="10" t="s">
        <v>2457</v>
      </c>
      <c r="M34" s="11">
        <v>0</v>
      </c>
      <c r="N34" s="10" t="s">
        <v>18</v>
      </c>
      <c r="O34" s="42">
        <v>0</v>
      </c>
      <c r="P34" s="10" t="s">
        <v>2485</v>
      </c>
    </row>
    <row r="35" spans="1:16" x14ac:dyDescent="0.25">
      <c r="A35" s="5" t="s">
        <v>1198</v>
      </c>
      <c r="B35" s="22" t="s">
        <v>716</v>
      </c>
      <c r="C35" s="22" t="s">
        <v>2505</v>
      </c>
      <c r="D35" s="23" t="s">
        <v>1199</v>
      </c>
      <c r="E35" s="24" t="s">
        <v>1198</v>
      </c>
      <c r="F35" s="6">
        <v>44389</v>
      </c>
      <c r="G35" s="13">
        <v>44395</v>
      </c>
      <c r="H35" s="7">
        <v>-708</v>
      </c>
      <c r="I35" s="8"/>
      <c r="J35" s="9">
        <v>714</v>
      </c>
      <c r="K35" s="12"/>
      <c r="L35" s="10" t="s">
        <v>2457</v>
      </c>
      <c r="M35" s="11">
        <v>0</v>
      </c>
      <c r="N35" s="10" t="s">
        <v>18</v>
      </c>
      <c r="O35" s="42">
        <v>0</v>
      </c>
      <c r="P35" s="10" t="s">
        <v>2485</v>
      </c>
    </row>
    <row r="36" spans="1:16" x14ac:dyDescent="0.25">
      <c r="A36" s="5" t="s">
        <v>1200</v>
      </c>
      <c r="B36" s="22" t="s">
        <v>716</v>
      </c>
      <c r="C36" s="22" t="s">
        <v>2505</v>
      </c>
      <c r="D36" s="23" t="s">
        <v>1201</v>
      </c>
      <c r="E36" s="24" t="s">
        <v>1200</v>
      </c>
      <c r="F36" s="6">
        <v>44389</v>
      </c>
      <c r="G36" s="13">
        <v>44395</v>
      </c>
      <c r="H36" s="7">
        <v>-708</v>
      </c>
      <c r="I36" s="8"/>
      <c r="J36" s="9">
        <v>714</v>
      </c>
      <c r="K36" s="12"/>
      <c r="L36" s="10" t="s">
        <v>2457</v>
      </c>
      <c r="M36" s="11">
        <v>0</v>
      </c>
      <c r="N36" s="10" t="s">
        <v>18</v>
      </c>
      <c r="O36" s="42">
        <v>0</v>
      </c>
      <c r="P36" s="10" t="s">
        <v>2485</v>
      </c>
    </row>
    <row r="37" spans="1:16" x14ac:dyDescent="0.25">
      <c r="A37" s="5" t="s">
        <v>1202</v>
      </c>
      <c r="B37" s="22" t="s">
        <v>716</v>
      </c>
      <c r="C37" s="22" t="s">
        <v>2505</v>
      </c>
      <c r="D37" s="23" t="s">
        <v>1203</v>
      </c>
      <c r="E37" s="24" t="s">
        <v>1202</v>
      </c>
      <c r="F37" s="6">
        <v>44389</v>
      </c>
      <c r="G37" s="13">
        <v>44395</v>
      </c>
      <c r="H37" s="7">
        <v>-708</v>
      </c>
      <c r="I37" s="8"/>
      <c r="J37" s="9">
        <v>714</v>
      </c>
      <c r="K37" s="12"/>
      <c r="L37" s="10" t="s">
        <v>2457</v>
      </c>
      <c r="M37" s="11">
        <v>0</v>
      </c>
      <c r="N37" s="10" t="s">
        <v>18</v>
      </c>
      <c r="O37" s="42">
        <v>0</v>
      </c>
      <c r="P37" s="10" t="s">
        <v>2485</v>
      </c>
    </row>
    <row r="38" spans="1:16" x14ac:dyDescent="0.25">
      <c r="A38" s="5" t="s">
        <v>1204</v>
      </c>
      <c r="B38" s="22" t="s">
        <v>716</v>
      </c>
      <c r="C38" s="22" t="s">
        <v>2505</v>
      </c>
      <c r="D38" s="23" t="s">
        <v>1205</v>
      </c>
      <c r="E38" s="24" t="s">
        <v>1204</v>
      </c>
      <c r="F38" s="6">
        <v>44389</v>
      </c>
      <c r="G38" s="13">
        <v>44395</v>
      </c>
      <c r="H38" s="7">
        <v>-708</v>
      </c>
      <c r="I38" s="8"/>
      <c r="J38" s="9">
        <v>714</v>
      </c>
      <c r="K38" s="12"/>
      <c r="L38" s="10" t="s">
        <v>2457</v>
      </c>
      <c r="M38" s="11">
        <v>0</v>
      </c>
      <c r="N38" s="10" t="s">
        <v>18</v>
      </c>
      <c r="O38" s="42">
        <v>0</v>
      </c>
      <c r="P38" s="10" t="s">
        <v>2485</v>
      </c>
    </row>
    <row r="39" spans="1:16" x14ac:dyDescent="0.25">
      <c r="A39" s="5" t="s">
        <v>1206</v>
      </c>
      <c r="B39" s="22" t="s">
        <v>716</v>
      </c>
      <c r="C39" s="22" t="s">
        <v>2505</v>
      </c>
      <c r="D39" s="23" t="s">
        <v>1207</v>
      </c>
      <c r="E39" s="24" t="s">
        <v>1206</v>
      </c>
      <c r="F39" s="6">
        <v>44389</v>
      </c>
      <c r="G39" s="13">
        <v>44395</v>
      </c>
      <c r="H39" s="7">
        <v>-708</v>
      </c>
      <c r="I39" s="8"/>
      <c r="J39" s="9">
        <v>714</v>
      </c>
      <c r="K39" s="12"/>
      <c r="L39" s="10" t="s">
        <v>2457</v>
      </c>
      <c r="M39" s="11">
        <v>0</v>
      </c>
      <c r="N39" s="10" t="s">
        <v>18</v>
      </c>
      <c r="O39" s="42">
        <v>0</v>
      </c>
      <c r="P39" s="10" t="s">
        <v>2485</v>
      </c>
    </row>
    <row r="40" spans="1:16" x14ac:dyDescent="0.25">
      <c r="A40" s="5" t="s">
        <v>1208</v>
      </c>
      <c r="B40" s="22" t="s">
        <v>716</v>
      </c>
      <c r="C40" s="22" t="s">
        <v>2470</v>
      </c>
      <c r="D40" s="23" t="s">
        <v>1209</v>
      </c>
      <c r="E40" s="24" t="s">
        <v>1208</v>
      </c>
      <c r="F40" s="6">
        <v>44389</v>
      </c>
      <c r="G40" s="13">
        <v>44395</v>
      </c>
      <c r="H40" s="7">
        <v>-708</v>
      </c>
      <c r="I40" s="8"/>
      <c r="J40" s="9">
        <v>714</v>
      </c>
      <c r="K40" s="12"/>
      <c r="L40" s="10" t="s">
        <v>2457</v>
      </c>
      <c r="M40" s="11">
        <v>0</v>
      </c>
      <c r="N40" s="10" t="s">
        <v>18</v>
      </c>
      <c r="O40" s="42">
        <v>0</v>
      </c>
      <c r="P40" s="10" t="s">
        <v>2485</v>
      </c>
    </row>
    <row r="41" spans="1:16" x14ac:dyDescent="0.25">
      <c r="A41" s="5" t="s">
        <v>1210</v>
      </c>
      <c r="B41" s="22" t="s">
        <v>716</v>
      </c>
      <c r="C41" s="22" t="s">
        <v>2470</v>
      </c>
      <c r="D41" s="23" t="s">
        <v>1211</v>
      </c>
      <c r="E41" s="24" t="s">
        <v>1210</v>
      </c>
      <c r="F41" s="6">
        <v>44389</v>
      </c>
      <c r="G41" s="13">
        <v>44395</v>
      </c>
      <c r="H41" s="7">
        <v>-708</v>
      </c>
      <c r="I41" s="8"/>
      <c r="J41" s="9">
        <v>714</v>
      </c>
      <c r="K41" s="12"/>
      <c r="L41" s="10" t="s">
        <v>2457</v>
      </c>
      <c r="M41" s="11">
        <v>0</v>
      </c>
      <c r="N41" s="10" t="s">
        <v>18</v>
      </c>
      <c r="O41" s="42">
        <v>0</v>
      </c>
      <c r="P41" s="10" t="s">
        <v>2485</v>
      </c>
    </row>
    <row r="42" spans="1:16" x14ac:dyDescent="0.25">
      <c r="A42" s="5" t="s">
        <v>1212</v>
      </c>
      <c r="B42" s="22" t="s">
        <v>716</v>
      </c>
      <c r="C42" s="22" t="s">
        <v>2505</v>
      </c>
      <c r="D42" s="23" t="s">
        <v>1213</v>
      </c>
      <c r="E42" s="24" t="s">
        <v>1212</v>
      </c>
      <c r="F42" s="6">
        <v>44389</v>
      </c>
      <c r="G42" s="13">
        <v>44395</v>
      </c>
      <c r="H42" s="7">
        <v>-708</v>
      </c>
      <c r="I42" s="8"/>
      <c r="J42" s="9">
        <v>714</v>
      </c>
      <c r="K42" s="12"/>
      <c r="L42" s="10" t="s">
        <v>2457</v>
      </c>
      <c r="M42" s="11">
        <v>0</v>
      </c>
      <c r="N42" s="10" t="s">
        <v>18</v>
      </c>
      <c r="O42" s="42">
        <v>0</v>
      </c>
      <c r="P42" s="10" t="s">
        <v>2485</v>
      </c>
    </row>
    <row r="43" spans="1:16" x14ac:dyDescent="0.25">
      <c r="A43" s="5" t="s">
        <v>1214</v>
      </c>
      <c r="B43" s="22" t="s">
        <v>716</v>
      </c>
      <c r="C43" s="22" t="s">
        <v>2505</v>
      </c>
      <c r="D43" s="23" t="s">
        <v>1215</v>
      </c>
      <c r="E43" s="24" t="s">
        <v>1214</v>
      </c>
      <c r="F43" s="6">
        <v>44389</v>
      </c>
      <c r="G43" s="13">
        <v>44395</v>
      </c>
      <c r="H43" s="7">
        <v>-708</v>
      </c>
      <c r="I43" s="8"/>
      <c r="J43" s="9">
        <v>714</v>
      </c>
      <c r="K43" s="12"/>
      <c r="L43" s="10" t="s">
        <v>2457</v>
      </c>
      <c r="M43" s="11">
        <v>0</v>
      </c>
      <c r="N43" s="10" t="s">
        <v>18</v>
      </c>
      <c r="O43" s="42">
        <v>0</v>
      </c>
      <c r="P43" s="10" t="s">
        <v>2485</v>
      </c>
    </row>
    <row r="44" spans="1:16" x14ac:dyDescent="0.25">
      <c r="A44" s="5" t="s">
        <v>1216</v>
      </c>
      <c r="B44" s="22" t="s">
        <v>716</v>
      </c>
      <c r="C44" s="22" t="s">
        <v>2505</v>
      </c>
      <c r="D44" s="23" t="s">
        <v>1217</v>
      </c>
      <c r="E44" s="24" t="s">
        <v>1216</v>
      </c>
      <c r="F44" s="6">
        <v>44389</v>
      </c>
      <c r="G44" s="13">
        <v>44395</v>
      </c>
      <c r="H44" s="7">
        <v>-708</v>
      </c>
      <c r="I44" s="8"/>
      <c r="J44" s="9">
        <v>714</v>
      </c>
      <c r="K44" s="12"/>
      <c r="L44" s="10" t="s">
        <v>2457</v>
      </c>
      <c r="M44" s="11">
        <v>0</v>
      </c>
      <c r="N44" s="10" t="s">
        <v>18</v>
      </c>
      <c r="O44" s="42">
        <v>0</v>
      </c>
      <c r="P44" s="10" t="s">
        <v>2485</v>
      </c>
    </row>
    <row r="45" spans="1:16" x14ac:dyDescent="0.25">
      <c r="A45" s="5" t="s">
        <v>1252</v>
      </c>
      <c r="B45" s="22" t="s">
        <v>716</v>
      </c>
      <c r="C45" s="22" t="s">
        <v>932</v>
      </c>
      <c r="D45" s="23" t="s">
        <v>1253</v>
      </c>
      <c r="E45" s="24" t="s">
        <v>1252</v>
      </c>
      <c r="F45" s="6">
        <v>44396</v>
      </c>
      <c r="G45" s="13">
        <v>44402</v>
      </c>
      <c r="H45" s="7">
        <v>-701</v>
      </c>
      <c r="I45" s="8"/>
      <c r="J45" s="9">
        <v>707</v>
      </c>
      <c r="K45" s="12"/>
      <c r="L45" s="10" t="s">
        <v>2457</v>
      </c>
      <c r="M45" s="11">
        <v>0</v>
      </c>
      <c r="N45" s="10" t="s">
        <v>18</v>
      </c>
      <c r="O45" s="42">
        <v>0</v>
      </c>
      <c r="P45" s="10" t="s">
        <v>2485</v>
      </c>
    </row>
    <row r="46" spans="1:16" x14ac:dyDescent="0.25">
      <c r="A46" s="5" t="s">
        <v>1254</v>
      </c>
      <c r="B46" s="22" t="s">
        <v>716</v>
      </c>
      <c r="C46" s="22" t="s">
        <v>932</v>
      </c>
      <c r="D46" s="23" t="s">
        <v>1255</v>
      </c>
      <c r="E46" s="24" t="s">
        <v>1254</v>
      </c>
      <c r="F46" s="6">
        <v>44396</v>
      </c>
      <c r="G46" s="13">
        <v>44402</v>
      </c>
      <c r="H46" s="7">
        <v>-701</v>
      </c>
      <c r="I46" s="8"/>
      <c r="J46" s="9">
        <v>707</v>
      </c>
      <c r="K46" s="12"/>
      <c r="L46" s="10" t="s">
        <v>2457</v>
      </c>
      <c r="M46" s="11">
        <v>0</v>
      </c>
      <c r="N46" s="10" t="s">
        <v>18</v>
      </c>
      <c r="O46" s="42">
        <v>0</v>
      </c>
      <c r="P46" s="10" t="s">
        <v>2485</v>
      </c>
    </row>
    <row r="47" spans="1:16" x14ac:dyDescent="0.25">
      <c r="A47" s="5" t="s">
        <v>1256</v>
      </c>
      <c r="B47" s="22" t="s">
        <v>716</v>
      </c>
      <c r="C47" s="22" t="s">
        <v>932</v>
      </c>
      <c r="D47" s="23" t="s">
        <v>1257</v>
      </c>
      <c r="E47" s="24" t="s">
        <v>1256</v>
      </c>
      <c r="F47" s="6">
        <v>44396</v>
      </c>
      <c r="G47" s="13">
        <v>44402</v>
      </c>
      <c r="H47" s="7">
        <v>-701</v>
      </c>
      <c r="I47" s="8"/>
      <c r="J47" s="9">
        <v>707</v>
      </c>
      <c r="K47" s="12"/>
      <c r="L47" s="10" t="s">
        <v>2457</v>
      </c>
      <c r="M47" s="11">
        <v>0</v>
      </c>
      <c r="N47" s="10" t="s">
        <v>18</v>
      </c>
      <c r="O47" s="42">
        <v>0</v>
      </c>
      <c r="P47" s="10" t="s">
        <v>2485</v>
      </c>
    </row>
    <row r="48" spans="1:16" x14ac:dyDescent="0.25">
      <c r="A48" s="5" t="s">
        <v>1258</v>
      </c>
      <c r="B48" s="22" t="s">
        <v>716</v>
      </c>
      <c r="C48" s="22" t="s">
        <v>932</v>
      </c>
      <c r="D48" s="23" t="s">
        <v>1259</v>
      </c>
      <c r="E48" s="24" t="s">
        <v>1258</v>
      </c>
      <c r="F48" s="6">
        <v>44396</v>
      </c>
      <c r="G48" s="13">
        <v>44402</v>
      </c>
      <c r="H48" s="7">
        <v>-701</v>
      </c>
      <c r="I48" s="8"/>
      <c r="J48" s="9">
        <v>707</v>
      </c>
      <c r="K48" s="12"/>
      <c r="L48" s="10" t="s">
        <v>2457</v>
      </c>
      <c r="M48" s="11">
        <v>0</v>
      </c>
      <c r="N48" s="10" t="s">
        <v>18</v>
      </c>
      <c r="O48" s="42">
        <v>0</v>
      </c>
      <c r="P48" s="10" t="s">
        <v>2485</v>
      </c>
    </row>
    <row r="49" spans="1:16" x14ac:dyDescent="0.25">
      <c r="A49" s="5" t="s">
        <v>1260</v>
      </c>
      <c r="B49" s="22" t="s">
        <v>716</v>
      </c>
      <c r="C49" s="22" t="s">
        <v>932</v>
      </c>
      <c r="D49" s="23" t="s">
        <v>1261</v>
      </c>
      <c r="E49" s="24" t="s">
        <v>1260</v>
      </c>
      <c r="F49" s="6">
        <v>44396</v>
      </c>
      <c r="G49" s="13">
        <v>44402</v>
      </c>
      <c r="H49" s="7">
        <v>-701</v>
      </c>
      <c r="I49" s="8"/>
      <c r="J49" s="9">
        <v>707</v>
      </c>
      <c r="K49" s="12"/>
      <c r="L49" s="10" t="s">
        <v>2457</v>
      </c>
      <c r="M49" s="11">
        <v>0</v>
      </c>
      <c r="N49" s="10" t="s">
        <v>18</v>
      </c>
      <c r="O49" s="42">
        <v>0</v>
      </c>
      <c r="P49" s="10" t="s">
        <v>2485</v>
      </c>
    </row>
    <row r="50" spans="1:16" x14ac:dyDescent="0.25">
      <c r="A50" s="5" t="s">
        <v>1270</v>
      </c>
      <c r="B50" s="22" t="s">
        <v>716</v>
      </c>
      <c r="C50" s="22" t="s">
        <v>932</v>
      </c>
      <c r="D50" s="23" t="s">
        <v>1271</v>
      </c>
      <c r="E50" s="24" t="s">
        <v>1270</v>
      </c>
      <c r="F50" s="6">
        <v>44396</v>
      </c>
      <c r="G50" s="13">
        <v>44402</v>
      </c>
      <c r="H50" s="7">
        <v>-701</v>
      </c>
      <c r="I50" s="8"/>
      <c r="J50" s="9">
        <v>707</v>
      </c>
      <c r="K50" s="12"/>
      <c r="L50" s="10" t="s">
        <v>2457</v>
      </c>
      <c r="M50" s="11">
        <v>0</v>
      </c>
      <c r="N50" s="10" t="s">
        <v>18</v>
      </c>
      <c r="O50" s="42">
        <v>0</v>
      </c>
      <c r="P50" s="10" t="s">
        <v>2485</v>
      </c>
    </row>
    <row r="51" spans="1:16" x14ac:dyDescent="0.25">
      <c r="A51" s="26" t="s">
        <v>1276</v>
      </c>
      <c r="B51" s="22" t="s">
        <v>716</v>
      </c>
      <c r="C51" s="22" t="s">
        <v>787</v>
      </c>
      <c r="D51" s="23" t="s">
        <v>1277</v>
      </c>
      <c r="E51" s="24" t="s">
        <v>1276</v>
      </c>
      <c r="F51" s="6">
        <v>44396</v>
      </c>
      <c r="G51" s="13">
        <v>44402</v>
      </c>
      <c r="H51" s="7">
        <v>-701</v>
      </c>
      <c r="I51" s="8"/>
      <c r="J51" s="9">
        <v>707</v>
      </c>
      <c r="K51" s="10"/>
      <c r="L51" s="10" t="s">
        <v>2457</v>
      </c>
      <c r="M51" s="11">
        <v>0</v>
      </c>
      <c r="N51" s="10" t="s">
        <v>18</v>
      </c>
      <c r="O51" s="42">
        <v>0</v>
      </c>
      <c r="P51" s="10" t="s">
        <v>2485</v>
      </c>
    </row>
    <row r="52" spans="1:16" x14ac:dyDescent="0.25">
      <c r="A52" s="26" t="s">
        <v>1286</v>
      </c>
      <c r="B52" s="22" t="s">
        <v>716</v>
      </c>
      <c r="C52" s="22" t="s">
        <v>787</v>
      </c>
      <c r="D52" s="23" t="s">
        <v>1287</v>
      </c>
      <c r="E52" s="24" t="s">
        <v>1286</v>
      </c>
      <c r="F52" s="6">
        <v>44396</v>
      </c>
      <c r="G52" s="13">
        <v>44402</v>
      </c>
      <c r="H52" s="7">
        <v>-701</v>
      </c>
      <c r="I52" s="8"/>
      <c r="J52" s="9">
        <v>707</v>
      </c>
      <c r="K52" s="10"/>
      <c r="L52" s="10" t="s">
        <v>2457</v>
      </c>
      <c r="M52" s="11">
        <v>0</v>
      </c>
      <c r="N52" s="10" t="s">
        <v>18</v>
      </c>
      <c r="O52" s="42">
        <v>0</v>
      </c>
      <c r="P52" s="10" t="s">
        <v>2485</v>
      </c>
    </row>
    <row r="53" spans="1:16" x14ac:dyDescent="0.25">
      <c r="A53" s="5" t="s">
        <v>1288</v>
      </c>
      <c r="B53" s="22" t="s">
        <v>716</v>
      </c>
      <c r="C53" s="22" t="s">
        <v>787</v>
      </c>
      <c r="D53" s="23" t="s">
        <v>1289</v>
      </c>
      <c r="E53" s="24" t="s">
        <v>1288</v>
      </c>
      <c r="F53" s="6">
        <v>44396</v>
      </c>
      <c r="G53" s="13">
        <v>44402</v>
      </c>
      <c r="H53" s="7">
        <v>-701</v>
      </c>
      <c r="I53" s="8"/>
      <c r="J53" s="9">
        <v>707</v>
      </c>
      <c r="K53" s="10"/>
      <c r="L53" s="10" t="s">
        <v>2457</v>
      </c>
      <c r="M53" s="11">
        <v>0</v>
      </c>
      <c r="N53" s="10" t="s">
        <v>18</v>
      </c>
      <c r="O53" s="42">
        <v>0</v>
      </c>
      <c r="P53" s="10" t="s">
        <v>2485</v>
      </c>
    </row>
    <row r="54" spans="1:16" x14ac:dyDescent="0.25">
      <c r="A54" s="15" t="s">
        <v>1290</v>
      </c>
      <c r="B54" s="22" t="s">
        <v>716</v>
      </c>
      <c r="C54" s="22" t="s">
        <v>787</v>
      </c>
      <c r="D54" s="23" t="s">
        <v>1291</v>
      </c>
      <c r="E54" s="24" t="s">
        <v>1290</v>
      </c>
      <c r="F54" s="6">
        <v>44396</v>
      </c>
      <c r="G54" s="13">
        <v>44402</v>
      </c>
      <c r="H54" s="7">
        <v>-701</v>
      </c>
      <c r="I54" s="8"/>
      <c r="J54" s="9">
        <v>707</v>
      </c>
      <c r="K54" s="10"/>
      <c r="L54" s="10" t="s">
        <v>2457</v>
      </c>
      <c r="M54" s="11">
        <v>0</v>
      </c>
      <c r="N54" s="10" t="s">
        <v>18</v>
      </c>
      <c r="O54" s="42">
        <v>0</v>
      </c>
      <c r="P54" s="10" t="s">
        <v>2485</v>
      </c>
    </row>
    <row r="55" spans="1:16" x14ac:dyDescent="0.25">
      <c r="A55" s="15" t="s">
        <v>1292</v>
      </c>
      <c r="B55" s="22" t="s">
        <v>716</v>
      </c>
      <c r="C55" s="22" t="s">
        <v>787</v>
      </c>
      <c r="D55" s="23" t="s">
        <v>1293</v>
      </c>
      <c r="E55" s="24" t="s">
        <v>1292</v>
      </c>
      <c r="F55" s="6">
        <v>44396</v>
      </c>
      <c r="G55" s="13">
        <v>44402</v>
      </c>
      <c r="H55" s="7">
        <v>-701</v>
      </c>
      <c r="I55" s="8"/>
      <c r="J55" s="9">
        <v>707</v>
      </c>
      <c r="K55" s="10"/>
      <c r="L55" s="10" t="s">
        <v>2457</v>
      </c>
      <c r="M55" s="11">
        <v>0</v>
      </c>
      <c r="N55" s="10" t="s">
        <v>18</v>
      </c>
      <c r="O55" s="42">
        <v>0</v>
      </c>
      <c r="P55" s="10" t="s">
        <v>2485</v>
      </c>
    </row>
    <row r="56" spans="1:16" x14ac:dyDescent="0.25">
      <c r="A56" s="15" t="s">
        <v>1294</v>
      </c>
      <c r="B56" s="22" t="s">
        <v>716</v>
      </c>
      <c r="C56" s="22" t="s">
        <v>787</v>
      </c>
      <c r="D56" s="23" t="s">
        <v>1295</v>
      </c>
      <c r="E56" s="24" t="s">
        <v>1294</v>
      </c>
      <c r="F56" s="6">
        <v>44396</v>
      </c>
      <c r="G56" s="13">
        <v>44402</v>
      </c>
      <c r="H56" s="7">
        <v>-701</v>
      </c>
      <c r="I56" s="8"/>
      <c r="J56" s="9">
        <v>707</v>
      </c>
      <c r="K56" s="10"/>
      <c r="L56" s="10" t="s">
        <v>2457</v>
      </c>
      <c r="M56" s="11">
        <v>0</v>
      </c>
      <c r="N56" s="10" t="s">
        <v>18</v>
      </c>
      <c r="O56" s="42">
        <v>0</v>
      </c>
      <c r="P56" s="10" t="s">
        <v>2485</v>
      </c>
    </row>
    <row r="57" spans="1:16" x14ac:dyDescent="0.25">
      <c r="A57" s="15" t="s">
        <v>1296</v>
      </c>
      <c r="B57" s="22" t="s">
        <v>716</v>
      </c>
      <c r="C57" s="22" t="s">
        <v>787</v>
      </c>
      <c r="D57" s="23" t="s">
        <v>1297</v>
      </c>
      <c r="E57" s="24" t="s">
        <v>1296</v>
      </c>
      <c r="F57" s="6">
        <v>44396</v>
      </c>
      <c r="G57" s="13">
        <v>44402</v>
      </c>
      <c r="H57" s="7">
        <v>-701</v>
      </c>
      <c r="I57" s="8"/>
      <c r="J57" s="9">
        <v>707</v>
      </c>
      <c r="K57" s="10"/>
      <c r="L57" s="10" t="s">
        <v>2457</v>
      </c>
      <c r="M57" s="11">
        <v>0</v>
      </c>
      <c r="N57" s="10" t="s">
        <v>18</v>
      </c>
      <c r="O57" s="42">
        <v>0</v>
      </c>
      <c r="P57" s="10" t="s">
        <v>2485</v>
      </c>
    </row>
    <row r="58" spans="1:16" x14ac:dyDescent="0.25">
      <c r="A58" s="15" t="s">
        <v>1298</v>
      </c>
      <c r="B58" s="22" t="s">
        <v>716</v>
      </c>
      <c r="C58" s="22" t="s">
        <v>787</v>
      </c>
      <c r="D58" s="23" t="s">
        <v>1299</v>
      </c>
      <c r="E58" s="24" t="s">
        <v>1298</v>
      </c>
      <c r="F58" s="6">
        <v>44396</v>
      </c>
      <c r="G58" s="13">
        <v>44402</v>
      </c>
      <c r="H58" s="7">
        <v>-701</v>
      </c>
      <c r="I58" s="8"/>
      <c r="J58" s="9">
        <v>707</v>
      </c>
      <c r="K58" s="10"/>
      <c r="L58" s="10" t="s">
        <v>2457</v>
      </c>
      <c r="M58" s="11">
        <v>0</v>
      </c>
      <c r="N58" s="10" t="s">
        <v>18</v>
      </c>
      <c r="O58" s="42">
        <v>0</v>
      </c>
      <c r="P58" s="10" t="s">
        <v>2485</v>
      </c>
    </row>
    <row r="59" spans="1:16" x14ac:dyDescent="0.25">
      <c r="A59" s="15" t="s">
        <v>1300</v>
      </c>
      <c r="B59" s="22" t="s">
        <v>716</v>
      </c>
      <c r="C59" s="22" t="s">
        <v>787</v>
      </c>
      <c r="D59" s="23" t="s">
        <v>1301</v>
      </c>
      <c r="E59" s="24" t="s">
        <v>1300</v>
      </c>
      <c r="F59" s="6">
        <v>44396</v>
      </c>
      <c r="G59" s="13">
        <v>44402</v>
      </c>
      <c r="H59" s="7">
        <v>-701</v>
      </c>
      <c r="I59" s="8"/>
      <c r="J59" s="9">
        <v>707</v>
      </c>
      <c r="K59" s="10"/>
      <c r="L59" s="10" t="s">
        <v>2457</v>
      </c>
      <c r="M59" s="11">
        <v>0</v>
      </c>
      <c r="N59" s="10" t="s">
        <v>18</v>
      </c>
      <c r="O59" s="42">
        <v>0</v>
      </c>
      <c r="P59" s="10" t="s">
        <v>2485</v>
      </c>
    </row>
    <row r="60" spans="1:16" x14ac:dyDescent="0.25">
      <c r="A60" s="15" t="s">
        <v>1302</v>
      </c>
      <c r="B60" s="22" t="s">
        <v>716</v>
      </c>
      <c r="C60" s="22" t="s">
        <v>787</v>
      </c>
      <c r="D60" s="23" t="s">
        <v>1303</v>
      </c>
      <c r="E60" s="24" t="s">
        <v>1302</v>
      </c>
      <c r="F60" s="6">
        <v>44396</v>
      </c>
      <c r="G60" s="13">
        <v>44402</v>
      </c>
      <c r="H60" s="7">
        <v>-701</v>
      </c>
      <c r="I60" s="8"/>
      <c r="J60" s="9">
        <v>707</v>
      </c>
      <c r="K60" s="10"/>
      <c r="L60" s="10" t="s">
        <v>2457</v>
      </c>
      <c r="M60" s="11">
        <v>0</v>
      </c>
      <c r="N60" s="10" t="s">
        <v>18</v>
      </c>
      <c r="O60" s="42">
        <v>0</v>
      </c>
      <c r="P60" s="10" t="s">
        <v>2485</v>
      </c>
    </row>
    <row r="61" spans="1:16" x14ac:dyDescent="0.25">
      <c r="A61" s="15" t="s">
        <v>1304</v>
      </c>
      <c r="B61" s="22" t="s">
        <v>716</v>
      </c>
      <c r="C61" s="22" t="s">
        <v>787</v>
      </c>
      <c r="D61" s="23" t="s">
        <v>1305</v>
      </c>
      <c r="E61" s="24" t="s">
        <v>1304</v>
      </c>
      <c r="F61" s="6">
        <v>44396</v>
      </c>
      <c r="G61" s="13">
        <v>44402</v>
      </c>
      <c r="H61" s="7">
        <v>-701</v>
      </c>
      <c r="I61" s="8"/>
      <c r="J61" s="9">
        <v>707</v>
      </c>
      <c r="K61" s="10"/>
      <c r="L61" s="10" t="s">
        <v>2457</v>
      </c>
      <c r="M61" s="11">
        <v>0</v>
      </c>
      <c r="N61" s="10" t="s">
        <v>18</v>
      </c>
      <c r="O61" s="42">
        <v>0</v>
      </c>
      <c r="P61" s="10" t="s">
        <v>2485</v>
      </c>
    </row>
    <row r="62" spans="1:16" x14ac:dyDescent="0.25">
      <c r="A62" s="15" t="s">
        <v>1306</v>
      </c>
      <c r="B62" s="22" t="s">
        <v>716</v>
      </c>
      <c r="C62" s="22" t="s">
        <v>787</v>
      </c>
      <c r="D62" s="23" t="s">
        <v>1307</v>
      </c>
      <c r="E62" s="24" t="s">
        <v>1306</v>
      </c>
      <c r="F62" s="6">
        <v>44396</v>
      </c>
      <c r="G62" s="13">
        <v>44402</v>
      </c>
      <c r="H62" s="7">
        <v>-701</v>
      </c>
      <c r="I62" s="8"/>
      <c r="J62" s="9">
        <v>707</v>
      </c>
      <c r="K62" s="10"/>
      <c r="L62" s="10" t="s">
        <v>2457</v>
      </c>
      <c r="M62" s="11">
        <v>0</v>
      </c>
      <c r="N62" s="10" t="s">
        <v>18</v>
      </c>
      <c r="O62" s="42">
        <v>0</v>
      </c>
      <c r="P62" s="10" t="s">
        <v>2485</v>
      </c>
    </row>
    <row r="63" spans="1:16" x14ac:dyDescent="0.25">
      <c r="A63" s="15" t="s">
        <v>1308</v>
      </c>
      <c r="B63" s="22" t="s">
        <v>716</v>
      </c>
      <c r="C63" s="22" t="s">
        <v>787</v>
      </c>
      <c r="D63" s="23" t="s">
        <v>1309</v>
      </c>
      <c r="E63" s="24" t="s">
        <v>1308</v>
      </c>
      <c r="F63" s="6">
        <v>44396</v>
      </c>
      <c r="G63" s="13">
        <v>44402</v>
      </c>
      <c r="H63" s="7">
        <v>-701</v>
      </c>
      <c r="I63" s="8"/>
      <c r="J63" s="9">
        <v>707</v>
      </c>
      <c r="K63" s="10"/>
      <c r="L63" s="10" t="s">
        <v>2457</v>
      </c>
      <c r="M63" s="11">
        <v>0</v>
      </c>
      <c r="N63" s="10" t="s">
        <v>18</v>
      </c>
      <c r="O63" s="42">
        <v>0</v>
      </c>
      <c r="P63" s="10" t="s">
        <v>2485</v>
      </c>
    </row>
    <row r="64" spans="1:16" x14ac:dyDescent="0.25">
      <c r="A64" s="15" t="s">
        <v>1310</v>
      </c>
      <c r="B64" s="22" t="s">
        <v>716</v>
      </c>
      <c r="C64" s="22" t="s">
        <v>932</v>
      </c>
      <c r="D64" s="23" t="s">
        <v>1311</v>
      </c>
      <c r="E64" s="24" t="s">
        <v>1310</v>
      </c>
      <c r="F64" s="6">
        <v>44396</v>
      </c>
      <c r="G64" s="13">
        <v>44402</v>
      </c>
      <c r="H64" s="7">
        <v>-701</v>
      </c>
      <c r="I64" s="8"/>
      <c r="J64" s="9">
        <v>707</v>
      </c>
      <c r="K64" s="10"/>
      <c r="L64" s="10" t="s">
        <v>2457</v>
      </c>
      <c r="M64" s="11">
        <v>0</v>
      </c>
      <c r="N64" s="10" t="s">
        <v>18</v>
      </c>
      <c r="O64" s="42">
        <v>0</v>
      </c>
      <c r="P64" s="10" t="s">
        <v>2485</v>
      </c>
    </row>
    <row r="65" spans="1:16" x14ac:dyDescent="0.25">
      <c r="A65" s="15" t="s">
        <v>1312</v>
      </c>
      <c r="B65" s="22" t="s">
        <v>716</v>
      </c>
      <c r="C65" s="22" t="s">
        <v>932</v>
      </c>
      <c r="D65" s="23" t="s">
        <v>1313</v>
      </c>
      <c r="E65" s="24" t="s">
        <v>1312</v>
      </c>
      <c r="F65" s="6">
        <v>44396</v>
      </c>
      <c r="G65" s="13">
        <v>44402</v>
      </c>
      <c r="H65" s="7">
        <v>-701</v>
      </c>
      <c r="I65" s="8"/>
      <c r="J65" s="9">
        <v>707</v>
      </c>
      <c r="K65" s="10"/>
      <c r="L65" s="10" t="s">
        <v>2457</v>
      </c>
      <c r="M65" s="11">
        <v>0</v>
      </c>
      <c r="N65" s="10" t="s">
        <v>18</v>
      </c>
      <c r="O65" s="42">
        <v>0</v>
      </c>
      <c r="P65" s="10" t="s">
        <v>2485</v>
      </c>
    </row>
    <row r="66" spans="1:16" x14ac:dyDescent="0.25">
      <c r="A66" s="15" t="s">
        <v>1314</v>
      </c>
      <c r="B66" s="22" t="s">
        <v>716</v>
      </c>
      <c r="C66" s="22" t="s">
        <v>932</v>
      </c>
      <c r="D66" s="23" t="s">
        <v>1315</v>
      </c>
      <c r="E66" s="24" t="s">
        <v>1314</v>
      </c>
      <c r="F66" s="6">
        <v>44396</v>
      </c>
      <c r="G66" s="13">
        <v>44402</v>
      </c>
      <c r="H66" s="7">
        <v>-701</v>
      </c>
      <c r="I66" s="8"/>
      <c r="J66" s="9">
        <v>707</v>
      </c>
      <c r="K66" s="10"/>
      <c r="L66" s="10" t="s">
        <v>2457</v>
      </c>
      <c r="M66" s="11">
        <v>0</v>
      </c>
      <c r="N66" s="10" t="s">
        <v>18</v>
      </c>
      <c r="O66" s="42">
        <v>0</v>
      </c>
      <c r="P66" s="10" t="s">
        <v>2485</v>
      </c>
    </row>
    <row r="67" spans="1:16" x14ac:dyDescent="0.25">
      <c r="A67" s="15" t="s">
        <v>1316</v>
      </c>
      <c r="B67" s="22" t="s">
        <v>716</v>
      </c>
      <c r="C67" s="22" t="s">
        <v>932</v>
      </c>
      <c r="D67" s="23" t="s">
        <v>1317</v>
      </c>
      <c r="E67" s="24" t="s">
        <v>1316</v>
      </c>
      <c r="F67" s="6">
        <v>44396</v>
      </c>
      <c r="G67" s="13">
        <v>44402</v>
      </c>
      <c r="H67" s="7">
        <v>-701</v>
      </c>
      <c r="I67" s="8"/>
      <c r="J67" s="9">
        <v>707</v>
      </c>
      <c r="K67" s="10"/>
      <c r="L67" s="10" t="s">
        <v>2457</v>
      </c>
      <c r="M67" s="11">
        <v>0</v>
      </c>
      <c r="N67" s="10" t="s">
        <v>18</v>
      </c>
      <c r="O67" s="42">
        <v>0</v>
      </c>
      <c r="P67" s="10" t="s">
        <v>2485</v>
      </c>
    </row>
    <row r="68" spans="1:16" x14ac:dyDescent="0.25">
      <c r="A68" s="15" t="s">
        <v>1318</v>
      </c>
      <c r="B68" s="22" t="s">
        <v>716</v>
      </c>
      <c r="C68" s="22" t="s">
        <v>932</v>
      </c>
      <c r="D68" s="23" t="s">
        <v>1319</v>
      </c>
      <c r="E68" s="24" t="s">
        <v>1318</v>
      </c>
      <c r="F68" s="6">
        <v>44396</v>
      </c>
      <c r="G68" s="13">
        <v>44402</v>
      </c>
      <c r="H68" s="7">
        <v>-701</v>
      </c>
      <c r="I68" s="8"/>
      <c r="J68" s="9">
        <v>707</v>
      </c>
      <c r="K68" s="10"/>
      <c r="L68" s="10" t="s">
        <v>2457</v>
      </c>
      <c r="M68" s="11">
        <v>0</v>
      </c>
      <c r="N68" s="10" t="s">
        <v>18</v>
      </c>
      <c r="O68" s="42">
        <v>0</v>
      </c>
      <c r="P68" s="10" t="s">
        <v>2485</v>
      </c>
    </row>
    <row r="69" spans="1:16" x14ac:dyDescent="0.25">
      <c r="A69" s="15" t="s">
        <v>1320</v>
      </c>
      <c r="B69" s="22" t="s">
        <v>716</v>
      </c>
      <c r="C69" s="22" t="s">
        <v>932</v>
      </c>
      <c r="D69" s="23" t="s">
        <v>1321</v>
      </c>
      <c r="E69" s="24" t="s">
        <v>1320</v>
      </c>
      <c r="F69" s="6">
        <v>44396</v>
      </c>
      <c r="G69" s="13">
        <v>44402</v>
      </c>
      <c r="H69" s="7">
        <v>-701</v>
      </c>
      <c r="I69" s="8"/>
      <c r="J69" s="9">
        <v>707</v>
      </c>
      <c r="K69" s="10"/>
      <c r="L69" s="10" t="s">
        <v>2457</v>
      </c>
      <c r="M69" s="11">
        <v>0</v>
      </c>
      <c r="N69" s="10" t="s">
        <v>18</v>
      </c>
      <c r="O69" s="42">
        <v>0</v>
      </c>
      <c r="P69" s="10" t="s">
        <v>2485</v>
      </c>
    </row>
    <row r="70" spans="1:16" x14ac:dyDescent="0.25">
      <c r="A70" s="15" t="s">
        <v>1322</v>
      </c>
      <c r="B70" s="22" t="s">
        <v>716</v>
      </c>
      <c r="C70" s="22" t="s">
        <v>932</v>
      </c>
      <c r="D70" s="23" t="s">
        <v>1323</v>
      </c>
      <c r="E70" s="24" t="s">
        <v>1322</v>
      </c>
      <c r="F70" s="6">
        <v>44396</v>
      </c>
      <c r="G70" s="13">
        <v>44402</v>
      </c>
      <c r="H70" s="7">
        <v>-701</v>
      </c>
      <c r="I70" s="8"/>
      <c r="J70" s="9">
        <v>707</v>
      </c>
      <c r="K70" s="10"/>
      <c r="L70" s="10" t="s">
        <v>2457</v>
      </c>
      <c r="M70" s="11">
        <v>0</v>
      </c>
      <c r="N70" s="10" t="s">
        <v>18</v>
      </c>
      <c r="O70" s="42">
        <v>0</v>
      </c>
      <c r="P70" s="10" t="s">
        <v>2485</v>
      </c>
    </row>
    <row r="71" spans="1:16" x14ac:dyDescent="0.25">
      <c r="A71" s="15" t="s">
        <v>1324</v>
      </c>
      <c r="B71" s="22" t="s">
        <v>716</v>
      </c>
      <c r="C71" s="22" t="s">
        <v>932</v>
      </c>
      <c r="D71" s="23" t="s">
        <v>1325</v>
      </c>
      <c r="E71" s="24" t="s">
        <v>1324</v>
      </c>
      <c r="F71" s="6">
        <v>44396</v>
      </c>
      <c r="G71" s="13">
        <v>44402</v>
      </c>
      <c r="H71" s="7">
        <v>-701</v>
      </c>
      <c r="I71" s="8"/>
      <c r="J71" s="9">
        <v>707</v>
      </c>
      <c r="K71" s="10"/>
      <c r="L71" s="10" t="s">
        <v>2457</v>
      </c>
      <c r="M71" s="11">
        <v>0</v>
      </c>
      <c r="N71" s="10" t="s">
        <v>18</v>
      </c>
      <c r="O71" s="42">
        <v>0</v>
      </c>
      <c r="P71" s="10" t="s">
        <v>2485</v>
      </c>
    </row>
    <row r="72" spans="1:16" x14ac:dyDescent="0.25">
      <c r="A72" s="15" t="s">
        <v>1326</v>
      </c>
      <c r="B72" s="22" t="s">
        <v>716</v>
      </c>
      <c r="C72" s="22" t="s">
        <v>932</v>
      </c>
      <c r="D72" s="23" t="s">
        <v>1327</v>
      </c>
      <c r="E72" s="24" t="s">
        <v>1326</v>
      </c>
      <c r="F72" s="6">
        <v>44396</v>
      </c>
      <c r="G72" s="13">
        <v>44402</v>
      </c>
      <c r="H72" s="7">
        <v>-701</v>
      </c>
      <c r="I72" s="8"/>
      <c r="J72" s="9">
        <v>707</v>
      </c>
      <c r="K72" s="10"/>
      <c r="L72" s="10" t="s">
        <v>2457</v>
      </c>
      <c r="M72" s="11">
        <v>0</v>
      </c>
      <c r="N72" s="10" t="s">
        <v>18</v>
      </c>
      <c r="O72" s="42">
        <v>0</v>
      </c>
      <c r="P72" s="10" t="s">
        <v>2485</v>
      </c>
    </row>
    <row r="73" spans="1:16" x14ac:dyDescent="0.25">
      <c r="A73" s="15" t="s">
        <v>1328</v>
      </c>
      <c r="B73" s="22" t="s">
        <v>716</v>
      </c>
      <c r="C73" s="22" t="s">
        <v>932</v>
      </c>
      <c r="D73" s="23" t="s">
        <v>1329</v>
      </c>
      <c r="E73" s="24" t="s">
        <v>1328</v>
      </c>
      <c r="F73" s="6">
        <v>44396</v>
      </c>
      <c r="G73" s="13">
        <v>44402</v>
      </c>
      <c r="H73" s="7">
        <v>-701</v>
      </c>
      <c r="I73" s="8"/>
      <c r="J73" s="9">
        <v>707</v>
      </c>
      <c r="K73" s="10"/>
      <c r="L73" s="10" t="s">
        <v>2457</v>
      </c>
      <c r="M73" s="11">
        <v>0</v>
      </c>
      <c r="N73" s="10" t="s">
        <v>18</v>
      </c>
      <c r="O73" s="42">
        <v>0</v>
      </c>
      <c r="P73" s="10" t="s">
        <v>2485</v>
      </c>
    </row>
    <row r="74" spans="1:16" x14ac:dyDescent="0.25">
      <c r="A74" s="16" t="s">
        <v>1330</v>
      </c>
      <c r="B74" s="22" t="s">
        <v>716</v>
      </c>
      <c r="C74" s="22" t="s">
        <v>932</v>
      </c>
      <c r="D74" s="23" t="s">
        <v>1331</v>
      </c>
      <c r="E74" s="24" t="s">
        <v>1330</v>
      </c>
      <c r="F74" s="6">
        <v>44396</v>
      </c>
      <c r="G74" s="13">
        <v>44402</v>
      </c>
      <c r="H74" s="7">
        <v>-701</v>
      </c>
      <c r="I74" s="8"/>
      <c r="J74" s="9">
        <v>707</v>
      </c>
      <c r="K74" s="10"/>
      <c r="L74" s="10" t="s">
        <v>2457</v>
      </c>
      <c r="M74" s="11">
        <v>0</v>
      </c>
      <c r="N74" s="10" t="s">
        <v>18</v>
      </c>
      <c r="O74" s="42">
        <v>0</v>
      </c>
      <c r="P74" s="10" t="s">
        <v>2485</v>
      </c>
    </row>
    <row r="75" spans="1:16" x14ac:dyDescent="0.25">
      <c r="A75" s="16" t="s">
        <v>1332</v>
      </c>
      <c r="B75" s="22" t="s">
        <v>716</v>
      </c>
      <c r="C75" s="22" t="s">
        <v>787</v>
      </c>
      <c r="D75" s="23" t="s">
        <v>1333</v>
      </c>
      <c r="E75" s="24" t="s">
        <v>1332</v>
      </c>
      <c r="F75" s="6">
        <v>44396</v>
      </c>
      <c r="G75" s="13">
        <v>44402</v>
      </c>
      <c r="H75" s="7">
        <v>-701</v>
      </c>
      <c r="I75" s="8"/>
      <c r="J75" s="9">
        <v>707</v>
      </c>
      <c r="K75" s="10"/>
      <c r="L75" s="10" t="s">
        <v>2457</v>
      </c>
      <c r="M75" s="11">
        <v>0</v>
      </c>
      <c r="N75" s="10" t="s">
        <v>18</v>
      </c>
      <c r="O75" s="42">
        <v>0</v>
      </c>
      <c r="P75" s="10" t="s">
        <v>2485</v>
      </c>
    </row>
    <row r="76" spans="1:16" x14ac:dyDescent="0.25">
      <c r="A76" s="16" t="s">
        <v>1334</v>
      </c>
      <c r="B76" s="22" t="s">
        <v>716</v>
      </c>
      <c r="C76" s="22" t="s">
        <v>787</v>
      </c>
      <c r="D76" s="23" t="s">
        <v>1335</v>
      </c>
      <c r="E76" s="24" t="s">
        <v>1334</v>
      </c>
      <c r="F76" s="6">
        <v>44396</v>
      </c>
      <c r="G76" s="13">
        <v>44402</v>
      </c>
      <c r="H76" s="7">
        <v>-701</v>
      </c>
      <c r="I76" s="8"/>
      <c r="J76" s="9">
        <v>707</v>
      </c>
      <c r="K76" s="10"/>
      <c r="L76" s="10" t="s">
        <v>2457</v>
      </c>
      <c r="M76" s="11">
        <v>0</v>
      </c>
      <c r="N76" s="10" t="s">
        <v>18</v>
      </c>
      <c r="O76" s="42">
        <v>0</v>
      </c>
      <c r="P76" s="10" t="s">
        <v>2485</v>
      </c>
    </row>
    <row r="77" spans="1:16" x14ac:dyDescent="0.25">
      <c r="A77" s="16" t="s">
        <v>1336</v>
      </c>
      <c r="B77" s="22" t="s">
        <v>716</v>
      </c>
      <c r="C77" s="22" t="s">
        <v>787</v>
      </c>
      <c r="D77" s="23" t="s">
        <v>1337</v>
      </c>
      <c r="E77" s="24" t="s">
        <v>1336</v>
      </c>
      <c r="F77" s="6">
        <v>44396</v>
      </c>
      <c r="G77" s="13">
        <v>44402</v>
      </c>
      <c r="H77" s="7">
        <v>-701</v>
      </c>
      <c r="I77" s="8"/>
      <c r="J77" s="9">
        <v>707</v>
      </c>
      <c r="K77" s="10"/>
      <c r="L77" s="10" t="s">
        <v>2457</v>
      </c>
      <c r="M77" s="11">
        <v>0</v>
      </c>
      <c r="N77" s="10" t="s">
        <v>18</v>
      </c>
      <c r="O77" s="42">
        <v>0</v>
      </c>
      <c r="P77" s="10" t="s">
        <v>2485</v>
      </c>
    </row>
    <row r="78" spans="1:16" x14ac:dyDescent="0.25">
      <c r="A78" s="16" t="s">
        <v>1492</v>
      </c>
      <c r="B78" s="22" t="s">
        <v>716</v>
      </c>
      <c r="C78" s="22" t="s">
        <v>932</v>
      </c>
      <c r="D78" s="23" t="s">
        <v>1493</v>
      </c>
      <c r="E78" s="24" t="s">
        <v>1492</v>
      </c>
      <c r="F78" s="6">
        <v>44410</v>
      </c>
      <c r="G78" s="13">
        <v>44416</v>
      </c>
      <c r="H78" s="7">
        <v>-687</v>
      </c>
      <c r="I78" s="8"/>
      <c r="J78" s="9">
        <v>693</v>
      </c>
      <c r="K78" s="10"/>
      <c r="L78" s="10" t="s">
        <v>2457</v>
      </c>
      <c r="M78" s="11">
        <v>0</v>
      </c>
      <c r="N78" s="10" t="s">
        <v>18</v>
      </c>
      <c r="O78" s="42">
        <v>0</v>
      </c>
      <c r="P78" s="10" t="s">
        <v>2485</v>
      </c>
    </row>
    <row r="79" spans="1:16" x14ac:dyDescent="0.25">
      <c r="A79" s="16" t="s">
        <v>1494</v>
      </c>
      <c r="B79" s="22" t="s">
        <v>716</v>
      </c>
      <c r="C79" s="22" t="s">
        <v>985</v>
      </c>
      <c r="D79" s="23" t="s">
        <v>1495</v>
      </c>
      <c r="E79" s="24" t="s">
        <v>1494</v>
      </c>
      <c r="F79" s="6">
        <v>44410</v>
      </c>
      <c r="G79" s="13">
        <v>44416</v>
      </c>
      <c r="H79" s="7">
        <v>-687</v>
      </c>
      <c r="I79" s="8"/>
      <c r="J79" s="9">
        <v>693</v>
      </c>
      <c r="K79" s="10"/>
      <c r="L79" s="10" t="s">
        <v>2457</v>
      </c>
      <c r="M79" s="11">
        <v>0</v>
      </c>
      <c r="N79" s="10" t="s">
        <v>18</v>
      </c>
      <c r="O79" s="42">
        <v>0</v>
      </c>
      <c r="P79" s="10" t="s">
        <v>2485</v>
      </c>
    </row>
    <row r="80" spans="1:16" x14ac:dyDescent="0.25">
      <c r="A80" s="16" t="s">
        <v>1496</v>
      </c>
      <c r="B80" s="22" t="s">
        <v>716</v>
      </c>
      <c r="C80" s="22" t="s">
        <v>985</v>
      </c>
      <c r="D80" s="23" t="s">
        <v>1497</v>
      </c>
      <c r="E80" s="24" t="s">
        <v>1496</v>
      </c>
      <c r="F80" s="6">
        <v>44410</v>
      </c>
      <c r="G80" s="13">
        <v>44416</v>
      </c>
      <c r="H80" s="7">
        <v>-687</v>
      </c>
      <c r="I80" s="8"/>
      <c r="J80" s="9">
        <v>693</v>
      </c>
      <c r="K80" s="10"/>
      <c r="L80" s="10" t="s">
        <v>2457</v>
      </c>
      <c r="M80" s="11">
        <v>0</v>
      </c>
      <c r="N80" s="10" t="s">
        <v>18</v>
      </c>
      <c r="O80" s="42">
        <v>0</v>
      </c>
      <c r="P80" s="10" t="s">
        <v>2485</v>
      </c>
    </row>
    <row r="81" spans="1:16" x14ac:dyDescent="0.25">
      <c r="A81" s="16" t="s">
        <v>1655</v>
      </c>
      <c r="B81" s="22" t="s">
        <v>716</v>
      </c>
      <c r="C81" s="22" t="s">
        <v>735</v>
      </c>
      <c r="D81" s="23" t="s">
        <v>1656</v>
      </c>
      <c r="E81" s="24" t="s">
        <v>1655</v>
      </c>
      <c r="F81" s="6">
        <v>44424</v>
      </c>
      <c r="G81" s="13">
        <v>44430</v>
      </c>
      <c r="H81" s="7">
        <v>-673</v>
      </c>
      <c r="I81" s="8"/>
      <c r="J81" s="9">
        <v>679</v>
      </c>
      <c r="K81" s="10"/>
      <c r="L81" s="10" t="s">
        <v>2457</v>
      </c>
      <c r="M81" s="11">
        <v>0</v>
      </c>
      <c r="N81" s="10" t="s">
        <v>18</v>
      </c>
      <c r="O81" s="42">
        <v>0</v>
      </c>
      <c r="P81" s="10" t="s">
        <v>2485</v>
      </c>
    </row>
    <row r="82" spans="1:16" x14ac:dyDescent="0.25">
      <c r="A82" s="16" t="s">
        <v>1657</v>
      </c>
      <c r="B82" s="22" t="s">
        <v>716</v>
      </c>
      <c r="C82" s="22" t="s">
        <v>932</v>
      </c>
      <c r="D82" s="23" t="s">
        <v>1658</v>
      </c>
      <c r="E82" s="24" t="s">
        <v>1657</v>
      </c>
      <c r="F82" s="6">
        <v>44424</v>
      </c>
      <c r="G82" s="13">
        <v>44430</v>
      </c>
      <c r="H82" s="7">
        <v>-673</v>
      </c>
      <c r="I82" s="8"/>
      <c r="J82" s="9">
        <v>679</v>
      </c>
      <c r="K82" s="10"/>
      <c r="L82" s="10" t="s">
        <v>2457</v>
      </c>
      <c r="M82" s="11">
        <v>0</v>
      </c>
      <c r="N82" s="10" t="s">
        <v>18</v>
      </c>
      <c r="O82" s="42">
        <v>0</v>
      </c>
      <c r="P82" s="10" t="s">
        <v>2485</v>
      </c>
    </row>
    <row r="83" spans="1:16" x14ac:dyDescent="0.25">
      <c r="A83" s="16" t="s">
        <v>1659</v>
      </c>
      <c r="B83" s="22" t="s">
        <v>716</v>
      </c>
      <c r="C83" s="22" t="s">
        <v>932</v>
      </c>
      <c r="D83" s="23" t="s">
        <v>1660</v>
      </c>
      <c r="E83" s="24" t="s">
        <v>1659</v>
      </c>
      <c r="F83" s="6">
        <v>44424</v>
      </c>
      <c r="G83" s="13">
        <v>44430</v>
      </c>
      <c r="H83" s="7">
        <v>-673</v>
      </c>
      <c r="I83" s="8"/>
      <c r="J83" s="9">
        <v>679</v>
      </c>
      <c r="K83" s="10"/>
      <c r="L83" s="10" t="s">
        <v>2457</v>
      </c>
      <c r="M83" s="11">
        <v>0</v>
      </c>
      <c r="N83" s="10" t="s">
        <v>18</v>
      </c>
      <c r="O83" s="42">
        <v>0</v>
      </c>
      <c r="P83" s="10" t="s">
        <v>2485</v>
      </c>
    </row>
    <row r="84" spans="1:16" x14ac:dyDescent="0.25">
      <c r="A84" s="16" t="s">
        <v>1687</v>
      </c>
      <c r="B84" s="22" t="s">
        <v>716</v>
      </c>
      <c r="C84" s="22" t="s">
        <v>2505</v>
      </c>
      <c r="D84" s="23" t="s">
        <v>1688</v>
      </c>
      <c r="E84" s="24" t="s">
        <v>1687</v>
      </c>
      <c r="F84" s="6">
        <v>44431</v>
      </c>
      <c r="G84" s="13">
        <v>44434</v>
      </c>
      <c r="H84" s="7">
        <v>-669</v>
      </c>
      <c r="I84" s="8"/>
      <c r="J84" s="9">
        <v>672</v>
      </c>
      <c r="K84" s="10"/>
      <c r="L84" s="10" t="s">
        <v>2457</v>
      </c>
      <c r="M84" s="11">
        <v>0</v>
      </c>
      <c r="N84" s="10" t="s">
        <v>18</v>
      </c>
      <c r="O84" s="42">
        <v>0</v>
      </c>
      <c r="P84" s="10" t="s">
        <v>2485</v>
      </c>
    </row>
    <row r="85" spans="1:16" x14ac:dyDescent="0.25">
      <c r="A85" s="16" t="s">
        <v>1689</v>
      </c>
      <c r="B85" s="22" t="s">
        <v>716</v>
      </c>
      <c r="C85" s="22" t="s">
        <v>787</v>
      </c>
      <c r="D85" s="23" t="s">
        <v>1690</v>
      </c>
      <c r="E85" s="24" t="s">
        <v>1689</v>
      </c>
      <c r="F85" s="6">
        <v>44431</v>
      </c>
      <c r="G85" s="13">
        <v>44434</v>
      </c>
      <c r="H85" s="7">
        <v>-669</v>
      </c>
      <c r="I85" s="8"/>
      <c r="J85" s="9">
        <v>672</v>
      </c>
      <c r="K85" s="10"/>
      <c r="L85" s="10" t="s">
        <v>2457</v>
      </c>
      <c r="M85" s="11">
        <v>0</v>
      </c>
      <c r="N85" s="10" t="s">
        <v>18</v>
      </c>
      <c r="O85" s="42">
        <v>0</v>
      </c>
      <c r="P85" s="10" t="s">
        <v>2485</v>
      </c>
    </row>
    <row r="86" spans="1:16" x14ac:dyDescent="0.25">
      <c r="A86" s="16" t="s">
        <v>1700</v>
      </c>
      <c r="B86" s="22" t="s">
        <v>716</v>
      </c>
      <c r="C86" s="22" t="s">
        <v>992</v>
      </c>
      <c r="D86" s="23" t="s">
        <v>1701</v>
      </c>
      <c r="E86" s="24" t="s">
        <v>1700</v>
      </c>
      <c r="F86" s="6">
        <v>44431</v>
      </c>
      <c r="G86" s="13">
        <v>44434</v>
      </c>
      <c r="H86" s="7">
        <v>-669</v>
      </c>
      <c r="I86" s="8"/>
      <c r="J86" s="9">
        <v>672</v>
      </c>
      <c r="K86" s="10"/>
      <c r="L86" s="10" t="s">
        <v>2457</v>
      </c>
      <c r="M86" s="11">
        <v>0</v>
      </c>
      <c r="N86" s="10" t="s">
        <v>18</v>
      </c>
      <c r="O86" s="42">
        <v>0</v>
      </c>
      <c r="P86" s="10" t="s">
        <v>2485</v>
      </c>
    </row>
    <row r="87" spans="1:16" x14ac:dyDescent="0.25">
      <c r="A87" s="16" t="s">
        <v>1712</v>
      </c>
      <c r="B87" s="22" t="s">
        <v>716</v>
      </c>
      <c r="C87" s="22" t="s">
        <v>1043</v>
      </c>
      <c r="D87" s="23" t="s">
        <v>1713</v>
      </c>
      <c r="E87" s="24" t="s">
        <v>1712</v>
      </c>
      <c r="F87" s="6">
        <v>44431</v>
      </c>
      <c r="G87" s="13">
        <v>44434</v>
      </c>
      <c r="H87" s="7">
        <v>-669</v>
      </c>
      <c r="I87" s="8"/>
      <c r="J87" s="9">
        <v>672</v>
      </c>
      <c r="K87" s="10"/>
      <c r="L87" s="10" t="s">
        <v>2457</v>
      </c>
      <c r="M87" s="11">
        <v>0</v>
      </c>
      <c r="N87" s="10" t="s">
        <v>18</v>
      </c>
      <c r="O87" s="42">
        <v>0</v>
      </c>
      <c r="P87" s="10" t="s">
        <v>2485</v>
      </c>
    </row>
    <row r="88" spans="1:16" x14ac:dyDescent="0.25">
      <c r="A88" s="16" t="s">
        <v>1722</v>
      </c>
      <c r="B88" s="22" t="s">
        <v>716</v>
      </c>
      <c r="C88" s="22" t="s">
        <v>1694</v>
      </c>
      <c r="D88" s="23" t="s">
        <v>1723</v>
      </c>
      <c r="E88" s="24" t="s">
        <v>1722</v>
      </c>
      <c r="F88" s="6">
        <v>44431</v>
      </c>
      <c r="G88" s="13">
        <v>44434</v>
      </c>
      <c r="H88" s="7">
        <v>-669</v>
      </c>
      <c r="I88" s="8"/>
      <c r="J88" s="9">
        <v>672</v>
      </c>
      <c r="K88" s="10"/>
      <c r="L88" s="10" t="s">
        <v>2457</v>
      </c>
      <c r="M88" s="11">
        <v>0</v>
      </c>
      <c r="N88" s="10" t="s">
        <v>18</v>
      </c>
      <c r="O88" s="42">
        <v>0</v>
      </c>
      <c r="P88" s="10" t="s">
        <v>2485</v>
      </c>
    </row>
    <row r="89" spans="1:16" x14ac:dyDescent="0.25">
      <c r="A89" s="16" t="s">
        <v>1724</v>
      </c>
      <c r="B89" s="22" t="s">
        <v>716</v>
      </c>
      <c r="C89" s="22" t="s">
        <v>1694</v>
      </c>
      <c r="D89" s="23" t="s">
        <v>1725</v>
      </c>
      <c r="E89" s="24" t="s">
        <v>1724</v>
      </c>
      <c r="F89" s="6">
        <v>44431</v>
      </c>
      <c r="G89" s="13">
        <v>44434</v>
      </c>
      <c r="H89" s="7">
        <v>-669</v>
      </c>
      <c r="I89" s="8"/>
      <c r="J89" s="9">
        <v>672</v>
      </c>
      <c r="K89" s="10"/>
      <c r="L89" s="10" t="s">
        <v>2457</v>
      </c>
      <c r="M89" s="11">
        <v>0</v>
      </c>
      <c r="N89" s="10" t="s">
        <v>18</v>
      </c>
      <c r="O89" s="42">
        <v>0</v>
      </c>
      <c r="P89" s="10" t="s">
        <v>2485</v>
      </c>
    </row>
    <row r="90" spans="1:16" x14ac:dyDescent="0.25">
      <c r="A90" s="16" t="s">
        <v>1726</v>
      </c>
      <c r="B90" s="22" t="s">
        <v>716</v>
      </c>
      <c r="C90" s="22" t="s">
        <v>985</v>
      </c>
      <c r="D90" s="23" t="s">
        <v>1727</v>
      </c>
      <c r="E90" s="24" t="s">
        <v>1726</v>
      </c>
      <c r="F90" s="6">
        <v>44435</v>
      </c>
      <c r="G90" s="13">
        <v>44437</v>
      </c>
      <c r="H90" s="7">
        <v>-666</v>
      </c>
      <c r="I90" s="8"/>
      <c r="J90" s="9">
        <v>668</v>
      </c>
      <c r="K90" s="10"/>
      <c r="L90" s="10" t="s">
        <v>2457</v>
      </c>
      <c r="M90" s="11">
        <v>0</v>
      </c>
      <c r="N90" s="10" t="s">
        <v>18</v>
      </c>
      <c r="O90" s="42">
        <v>0</v>
      </c>
      <c r="P90" s="10" t="s">
        <v>2485</v>
      </c>
    </row>
    <row r="91" spans="1:16" x14ac:dyDescent="0.25">
      <c r="A91" s="16" t="s">
        <v>1730</v>
      </c>
      <c r="B91" s="22" t="s">
        <v>716</v>
      </c>
      <c r="C91" s="22" t="s">
        <v>992</v>
      </c>
      <c r="D91" s="23" t="s">
        <v>1731</v>
      </c>
      <c r="E91" s="24" t="s">
        <v>1730</v>
      </c>
      <c r="F91" s="6">
        <v>44435</v>
      </c>
      <c r="G91" s="13">
        <v>44437</v>
      </c>
      <c r="H91" s="7">
        <v>-666</v>
      </c>
      <c r="I91" s="8"/>
      <c r="J91" s="9">
        <v>668</v>
      </c>
      <c r="K91" s="10"/>
      <c r="L91" s="10" t="s">
        <v>2457</v>
      </c>
      <c r="M91" s="11">
        <v>0</v>
      </c>
      <c r="N91" s="10" t="s">
        <v>18</v>
      </c>
      <c r="O91" s="42">
        <v>0</v>
      </c>
      <c r="P91" s="10" t="s">
        <v>2485</v>
      </c>
    </row>
    <row r="92" spans="1:16" x14ac:dyDescent="0.25">
      <c r="A92" s="16" t="s">
        <v>1732</v>
      </c>
      <c r="B92" s="22" t="s">
        <v>716</v>
      </c>
      <c r="C92" s="22" t="s">
        <v>787</v>
      </c>
      <c r="D92" s="23" t="s">
        <v>1733</v>
      </c>
      <c r="E92" s="24" t="s">
        <v>1732</v>
      </c>
      <c r="F92" s="6">
        <v>44435</v>
      </c>
      <c r="G92" s="13">
        <v>44437</v>
      </c>
      <c r="H92" s="7">
        <v>-666</v>
      </c>
      <c r="I92" s="8"/>
      <c r="J92" s="9">
        <v>668</v>
      </c>
      <c r="K92" s="10"/>
      <c r="L92" s="10" t="s">
        <v>2457</v>
      </c>
      <c r="M92" s="11">
        <v>0</v>
      </c>
      <c r="N92" s="10" t="s">
        <v>18</v>
      </c>
      <c r="O92" s="42">
        <v>0</v>
      </c>
      <c r="P92" s="10" t="s">
        <v>2485</v>
      </c>
    </row>
    <row r="93" spans="1:16" x14ac:dyDescent="0.25">
      <c r="A93" s="16" t="s">
        <v>1738</v>
      </c>
      <c r="B93" s="22" t="s">
        <v>716</v>
      </c>
      <c r="C93" s="22" t="s">
        <v>1450</v>
      </c>
      <c r="D93" s="23" t="s">
        <v>1739</v>
      </c>
      <c r="E93" s="24" t="s">
        <v>1738</v>
      </c>
      <c r="F93" s="6">
        <v>44435</v>
      </c>
      <c r="G93" s="13">
        <v>44437</v>
      </c>
      <c r="H93" s="7">
        <v>-666</v>
      </c>
      <c r="I93" s="8"/>
      <c r="J93" s="9">
        <v>668</v>
      </c>
      <c r="K93" s="10"/>
      <c r="L93" s="10" t="s">
        <v>2457</v>
      </c>
      <c r="M93" s="11">
        <v>0</v>
      </c>
      <c r="N93" s="10" t="s">
        <v>18</v>
      </c>
      <c r="O93" s="42">
        <v>0</v>
      </c>
      <c r="P93" s="10" t="s">
        <v>2485</v>
      </c>
    </row>
    <row r="94" spans="1:16" x14ac:dyDescent="0.25">
      <c r="A94" s="16" t="s">
        <v>1756</v>
      </c>
      <c r="B94" s="22" t="s">
        <v>716</v>
      </c>
      <c r="C94" s="22" t="s">
        <v>985</v>
      </c>
      <c r="D94" s="23" t="s">
        <v>1757</v>
      </c>
      <c r="E94" s="24" t="s">
        <v>1756</v>
      </c>
      <c r="F94" s="6">
        <v>44438</v>
      </c>
      <c r="G94" s="13">
        <v>44441</v>
      </c>
      <c r="H94" s="7">
        <v>-662</v>
      </c>
      <c r="I94" s="8"/>
      <c r="J94" s="9">
        <v>665</v>
      </c>
      <c r="K94" s="10"/>
      <c r="L94" s="10" t="s">
        <v>2457</v>
      </c>
      <c r="M94" s="11">
        <v>0</v>
      </c>
      <c r="N94" s="10" t="s">
        <v>18</v>
      </c>
      <c r="O94" s="42">
        <v>0</v>
      </c>
      <c r="P94" s="10" t="s">
        <v>2485</v>
      </c>
    </row>
    <row r="95" spans="1:16" x14ac:dyDescent="0.25">
      <c r="A95" s="16" t="s">
        <v>1758</v>
      </c>
      <c r="B95" s="22" t="s">
        <v>716</v>
      </c>
      <c r="C95" s="22" t="s">
        <v>992</v>
      </c>
      <c r="D95" s="23" t="s">
        <v>1759</v>
      </c>
      <c r="E95" s="24" t="s">
        <v>1758</v>
      </c>
      <c r="F95" s="6">
        <v>44438</v>
      </c>
      <c r="G95" s="13">
        <v>44441</v>
      </c>
      <c r="H95" s="7">
        <v>-662</v>
      </c>
      <c r="I95" s="8"/>
      <c r="J95" s="9">
        <v>665</v>
      </c>
      <c r="K95" s="10"/>
      <c r="L95" s="10" t="s">
        <v>2457</v>
      </c>
      <c r="M95" s="11">
        <v>0</v>
      </c>
      <c r="N95" s="10" t="s">
        <v>18</v>
      </c>
      <c r="O95" s="42">
        <v>0</v>
      </c>
      <c r="P95" s="10" t="s">
        <v>2485</v>
      </c>
    </row>
    <row r="96" spans="1:16" x14ac:dyDescent="0.25">
      <c r="A96" s="16" t="s">
        <v>1766</v>
      </c>
      <c r="B96" s="22" t="s">
        <v>716</v>
      </c>
      <c r="C96" s="22" t="s">
        <v>2473</v>
      </c>
      <c r="D96" s="23" t="s">
        <v>1767</v>
      </c>
      <c r="E96" s="24" t="s">
        <v>1766</v>
      </c>
      <c r="F96" s="13">
        <v>44438</v>
      </c>
      <c r="G96" s="13">
        <v>44441</v>
      </c>
      <c r="H96" s="7">
        <v>-662</v>
      </c>
      <c r="I96" s="8"/>
      <c r="J96" s="9">
        <v>665</v>
      </c>
      <c r="K96" s="10"/>
      <c r="L96" s="10" t="s">
        <v>2457</v>
      </c>
      <c r="M96" s="11">
        <v>0</v>
      </c>
      <c r="N96" s="10" t="s">
        <v>18</v>
      </c>
      <c r="O96" s="42">
        <v>0</v>
      </c>
      <c r="P96" s="10" t="s">
        <v>2485</v>
      </c>
    </row>
    <row r="97" spans="1:16" x14ac:dyDescent="0.25">
      <c r="A97" s="16" t="s">
        <v>1782</v>
      </c>
      <c r="B97" s="22" t="s">
        <v>716</v>
      </c>
      <c r="C97" s="22" t="s">
        <v>1043</v>
      </c>
      <c r="D97" s="23" t="s">
        <v>1783</v>
      </c>
      <c r="E97" s="24" t="s">
        <v>1782</v>
      </c>
      <c r="F97" s="13">
        <v>44438</v>
      </c>
      <c r="G97" s="13">
        <v>44441</v>
      </c>
      <c r="H97" s="7">
        <v>-662</v>
      </c>
      <c r="I97" s="8"/>
      <c r="J97" s="9">
        <v>665</v>
      </c>
      <c r="K97" s="10"/>
      <c r="L97" s="10" t="s">
        <v>2457</v>
      </c>
      <c r="M97" s="11">
        <v>0</v>
      </c>
      <c r="N97" s="10" t="s">
        <v>18</v>
      </c>
      <c r="O97" s="42">
        <v>0</v>
      </c>
      <c r="P97" s="10" t="s">
        <v>2485</v>
      </c>
    </row>
    <row r="98" spans="1:16" x14ac:dyDescent="0.25">
      <c r="A98" s="16" t="s">
        <v>1786</v>
      </c>
      <c r="B98" s="22" t="s">
        <v>716</v>
      </c>
      <c r="C98" s="22" t="s">
        <v>1043</v>
      </c>
      <c r="D98" s="23" t="s">
        <v>1787</v>
      </c>
      <c r="E98" s="24" t="s">
        <v>1786</v>
      </c>
      <c r="F98" s="13">
        <v>44438</v>
      </c>
      <c r="G98" s="13">
        <v>44441</v>
      </c>
      <c r="H98" s="7">
        <v>-662</v>
      </c>
      <c r="I98" s="8"/>
      <c r="J98" s="9">
        <v>665</v>
      </c>
      <c r="K98" s="10"/>
      <c r="L98" s="10" t="s">
        <v>2457</v>
      </c>
      <c r="M98" s="11">
        <v>0</v>
      </c>
      <c r="N98" s="10" t="s">
        <v>18</v>
      </c>
      <c r="O98" s="42">
        <v>0</v>
      </c>
      <c r="P98" s="10" t="s">
        <v>2485</v>
      </c>
    </row>
    <row r="99" spans="1:16" x14ac:dyDescent="0.25">
      <c r="A99" s="5" t="s">
        <v>1814</v>
      </c>
      <c r="B99" s="22" t="s">
        <v>716</v>
      </c>
      <c r="C99" s="22" t="s">
        <v>752</v>
      </c>
      <c r="D99" s="23" t="s">
        <v>1815</v>
      </c>
      <c r="E99" s="24" t="s">
        <v>1814</v>
      </c>
      <c r="F99" s="6">
        <v>44442</v>
      </c>
      <c r="G99" s="13">
        <v>44444</v>
      </c>
      <c r="H99" s="7">
        <v>-659</v>
      </c>
      <c r="I99" s="8"/>
      <c r="J99" s="9">
        <v>661</v>
      </c>
      <c r="K99" s="10"/>
      <c r="L99" s="10" t="s">
        <v>2457</v>
      </c>
      <c r="M99" s="11">
        <v>0</v>
      </c>
      <c r="N99" s="10" t="s">
        <v>18</v>
      </c>
      <c r="O99" s="42">
        <v>0</v>
      </c>
      <c r="P99" s="10" t="s">
        <v>2485</v>
      </c>
    </row>
    <row r="100" spans="1:16" x14ac:dyDescent="0.25">
      <c r="A100" s="5" t="s">
        <v>1846</v>
      </c>
      <c r="B100" s="22" t="s">
        <v>716</v>
      </c>
      <c r="C100" s="22" t="s">
        <v>752</v>
      </c>
      <c r="D100" s="23" t="s">
        <v>1847</v>
      </c>
      <c r="E100" s="24" t="s">
        <v>1846</v>
      </c>
      <c r="F100" s="6">
        <v>44443</v>
      </c>
      <c r="G100" s="13">
        <v>44444</v>
      </c>
      <c r="H100" s="7">
        <v>-659</v>
      </c>
      <c r="I100" s="8"/>
      <c r="J100" s="9">
        <v>660</v>
      </c>
      <c r="K100" s="10"/>
      <c r="L100" s="10" t="s">
        <v>2457</v>
      </c>
      <c r="M100" s="11">
        <v>0</v>
      </c>
      <c r="N100" s="10" t="s">
        <v>18</v>
      </c>
      <c r="O100" s="42">
        <v>0</v>
      </c>
      <c r="P100" s="10" t="s">
        <v>2485</v>
      </c>
    </row>
    <row r="101" spans="1:16" x14ac:dyDescent="0.25">
      <c r="A101" s="5" t="s">
        <v>1866</v>
      </c>
      <c r="B101" s="22" t="s">
        <v>716</v>
      </c>
      <c r="C101" s="22" t="s">
        <v>1043</v>
      </c>
      <c r="D101" s="23" t="s">
        <v>1867</v>
      </c>
      <c r="E101" s="24" t="s">
        <v>1866</v>
      </c>
      <c r="F101" s="6">
        <v>44445</v>
      </c>
      <c r="G101" s="13">
        <v>44448</v>
      </c>
      <c r="H101" s="7">
        <v>-655</v>
      </c>
      <c r="I101" s="8"/>
      <c r="J101" s="9">
        <v>658</v>
      </c>
      <c r="K101" s="10"/>
      <c r="L101" s="10" t="s">
        <v>2457</v>
      </c>
      <c r="M101" s="11">
        <v>0</v>
      </c>
      <c r="N101" s="10" t="s">
        <v>18</v>
      </c>
      <c r="O101" s="42">
        <v>0</v>
      </c>
      <c r="P101" s="10" t="s">
        <v>2485</v>
      </c>
    </row>
    <row r="102" spans="1:16" x14ac:dyDescent="0.25">
      <c r="A102" s="5" t="s">
        <v>1868</v>
      </c>
      <c r="B102" s="22" t="s">
        <v>716</v>
      </c>
      <c r="C102" s="22" t="s">
        <v>1043</v>
      </c>
      <c r="D102" s="23" t="s">
        <v>1869</v>
      </c>
      <c r="E102" s="24" t="s">
        <v>1868</v>
      </c>
      <c r="F102" s="6">
        <v>44445</v>
      </c>
      <c r="G102" s="13">
        <v>44448</v>
      </c>
      <c r="H102" s="7">
        <v>-655</v>
      </c>
      <c r="I102" s="8"/>
      <c r="J102" s="9">
        <v>658</v>
      </c>
      <c r="K102" s="10"/>
      <c r="L102" s="10" t="s">
        <v>2457</v>
      </c>
      <c r="M102" s="11">
        <v>0</v>
      </c>
      <c r="N102" s="10" t="s">
        <v>18</v>
      </c>
      <c r="O102" s="42">
        <v>0</v>
      </c>
      <c r="P102" s="10" t="s">
        <v>2485</v>
      </c>
    </row>
    <row r="103" spans="1:16" x14ac:dyDescent="0.25">
      <c r="A103" s="14" t="s">
        <v>1870</v>
      </c>
      <c r="B103" s="22" t="s">
        <v>716</v>
      </c>
      <c r="C103" s="22" t="s">
        <v>1043</v>
      </c>
      <c r="D103" s="23" t="s">
        <v>1871</v>
      </c>
      <c r="E103" s="24" t="s">
        <v>1870</v>
      </c>
      <c r="F103" s="6">
        <v>44445</v>
      </c>
      <c r="G103" s="13">
        <v>44448</v>
      </c>
      <c r="H103" s="7">
        <v>-655</v>
      </c>
      <c r="I103" s="8"/>
      <c r="J103" s="9">
        <v>658</v>
      </c>
      <c r="K103" s="10"/>
      <c r="L103" s="10" t="s">
        <v>2457</v>
      </c>
      <c r="M103" s="11">
        <v>0</v>
      </c>
      <c r="N103" s="10" t="s">
        <v>18</v>
      </c>
      <c r="O103" s="42">
        <v>0</v>
      </c>
      <c r="P103" s="10" t="s">
        <v>2485</v>
      </c>
    </row>
    <row r="104" spans="1:16" x14ac:dyDescent="0.25">
      <c r="A104" s="5" t="s">
        <v>1826</v>
      </c>
      <c r="B104" s="22" t="s">
        <v>716</v>
      </c>
      <c r="C104" s="22" t="s">
        <v>752</v>
      </c>
      <c r="D104" s="23" t="s">
        <v>1827</v>
      </c>
      <c r="E104" s="24" t="s">
        <v>1826</v>
      </c>
      <c r="F104" s="6">
        <v>44443</v>
      </c>
      <c r="G104" s="13">
        <v>44451</v>
      </c>
      <c r="H104" s="7">
        <v>-652</v>
      </c>
      <c r="I104" s="8"/>
      <c r="J104" s="9">
        <v>660</v>
      </c>
      <c r="K104" s="10"/>
      <c r="L104" s="10" t="s">
        <v>2457</v>
      </c>
      <c r="M104" s="11">
        <v>0</v>
      </c>
      <c r="N104" s="10" t="s">
        <v>18</v>
      </c>
      <c r="O104" s="42">
        <v>0</v>
      </c>
      <c r="P104" s="10" t="s">
        <v>2485</v>
      </c>
    </row>
    <row r="105" spans="1:16" x14ac:dyDescent="0.25">
      <c r="A105" s="5" t="s">
        <v>1830</v>
      </c>
      <c r="B105" s="22" t="s">
        <v>716</v>
      </c>
      <c r="C105" s="22" t="s">
        <v>752</v>
      </c>
      <c r="D105" s="23" t="s">
        <v>1831</v>
      </c>
      <c r="E105" s="24" t="s">
        <v>1830</v>
      </c>
      <c r="F105" s="6">
        <v>44443</v>
      </c>
      <c r="G105" s="13">
        <v>44451</v>
      </c>
      <c r="H105" s="7">
        <v>-652</v>
      </c>
      <c r="I105" s="13"/>
      <c r="J105" s="9">
        <v>660</v>
      </c>
      <c r="K105" s="13"/>
      <c r="L105" s="10" t="s">
        <v>2457</v>
      </c>
      <c r="M105" s="11">
        <v>0</v>
      </c>
      <c r="N105" s="10" t="s">
        <v>18</v>
      </c>
      <c r="O105" s="42">
        <v>0</v>
      </c>
      <c r="P105" s="10" t="s">
        <v>2485</v>
      </c>
    </row>
    <row r="106" spans="1:16" x14ac:dyDescent="0.25">
      <c r="A106" s="5" t="s">
        <v>1918</v>
      </c>
      <c r="B106" s="22" t="s">
        <v>716</v>
      </c>
      <c r="C106" s="22" t="s">
        <v>787</v>
      </c>
      <c r="D106" s="23" t="s">
        <v>1919</v>
      </c>
      <c r="E106" s="24" t="s">
        <v>1918</v>
      </c>
      <c r="F106" s="6">
        <v>44449</v>
      </c>
      <c r="G106" s="13">
        <v>44451</v>
      </c>
      <c r="H106" s="7">
        <v>-652</v>
      </c>
      <c r="I106" s="8"/>
      <c r="J106" s="9">
        <v>654</v>
      </c>
      <c r="K106" s="10"/>
      <c r="L106" s="10" t="s">
        <v>2457</v>
      </c>
      <c r="M106" s="11">
        <v>0</v>
      </c>
      <c r="N106" s="10" t="s">
        <v>18</v>
      </c>
      <c r="O106" s="42">
        <v>0</v>
      </c>
      <c r="P106" s="10" t="s">
        <v>2485</v>
      </c>
    </row>
    <row r="107" spans="1:16" x14ac:dyDescent="0.25">
      <c r="A107" s="5" t="s">
        <v>1864</v>
      </c>
      <c r="B107" s="22" t="s">
        <v>716</v>
      </c>
      <c r="C107" s="22" t="s">
        <v>985</v>
      </c>
      <c r="D107" s="23" t="s">
        <v>1865</v>
      </c>
      <c r="E107" s="24" t="s">
        <v>1864</v>
      </c>
      <c r="F107" s="6">
        <v>44445</v>
      </c>
      <c r="G107" s="13">
        <v>44452</v>
      </c>
      <c r="H107" s="7">
        <v>-651</v>
      </c>
      <c r="I107" s="8"/>
      <c r="J107" s="9">
        <v>658</v>
      </c>
      <c r="K107" s="10"/>
      <c r="L107" s="10" t="s">
        <v>2457</v>
      </c>
      <c r="M107" s="11">
        <v>0</v>
      </c>
      <c r="N107" s="10" t="s">
        <v>18</v>
      </c>
      <c r="O107" s="42">
        <v>0</v>
      </c>
      <c r="P107" s="10" t="s">
        <v>2485</v>
      </c>
    </row>
    <row r="108" spans="1:16" x14ac:dyDescent="0.25">
      <c r="A108" s="5" t="s">
        <v>1948</v>
      </c>
      <c r="B108" s="22" t="s">
        <v>716</v>
      </c>
      <c r="C108" s="22" t="s">
        <v>2472</v>
      </c>
      <c r="D108" s="23" t="s">
        <v>1949</v>
      </c>
      <c r="E108" s="24" t="s">
        <v>1948</v>
      </c>
      <c r="F108" s="6">
        <v>44452</v>
      </c>
      <c r="G108" s="13">
        <v>44455</v>
      </c>
      <c r="H108" s="7">
        <v>-648</v>
      </c>
      <c r="I108" s="8"/>
      <c r="J108" s="9">
        <v>651</v>
      </c>
      <c r="K108" s="10"/>
      <c r="L108" s="10" t="s">
        <v>2457</v>
      </c>
      <c r="M108" s="11">
        <v>0</v>
      </c>
      <c r="N108" s="10" t="s">
        <v>18</v>
      </c>
      <c r="O108" s="42">
        <v>0</v>
      </c>
      <c r="P108" s="10" t="s">
        <v>2485</v>
      </c>
    </row>
    <row r="109" spans="1:16" x14ac:dyDescent="0.25">
      <c r="A109" s="5" t="s">
        <v>1950</v>
      </c>
      <c r="B109" s="22" t="s">
        <v>716</v>
      </c>
      <c r="C109" s="22" t="s">
        <v>2472</v>
      </c>
      <c r="D109" s="23" t="s">
        <v>1951</v>
      </c>
      <c r="E109" s="24" t="s">
        <v>1950</v>
      </c>
      <c r="F109" s="6">
        <v>44452</v>
      </c>
      <c r="G109" s="13">
        <v>44455</v>
      </c>
      <c r="H109" s="7">
        <v>-648</v>
      </c>
      <c r="I109" s="8"/>
      <c r="J109" s="9">
        <v>651</v>
      </c>
      <c r="K109" s="10"/>
      <c r="L109" s="10" t="s">
        <v>2457</v>
      </c>
      <c r="M109" s="11">
        <v>0</v>
      </c>
      <c r="N109" s="10" t="s">
        <v>18</v>
      </c>
      <c r="O109" s="42">
        <v>0</v>
      </c>
      <c r="P109" s="10" t="s">
        <v>2485</v>
      </c>
    </row>
    <row r="110" spans="1:16" x14ac:dyDescent="0.25">
      <c r="A110" s="5" t="s">
        <v>1966</v>
      </c>
      <c r="B110" s="22" t="s">
        <v>716</v>
      </c>
      <c r="C110" s="22" t="s">
        <v>2472</v>
      </c>
      <c r="D110" s="23" t="s">
        <v>1967</v>
      </c>
      <c r="E110" s="24" t="s">
        <v>1966</v>
      </c>
      <c r="F110" s="13">
        <v>44452</v>
      </c>
      <c r="G110" s="13">
        <v>44455</v>
      </c>
      <c r="H110" s="7">
        <v>-648</v>
      </c>
      <c r="I110" s="8"/>
      <c r="J110" s="9">
        <v>651</v>
      </c>
      <c r="K110" s="10"/>
      <c r="L110" s="10" t="s">
        <v>2457</v>
      </c>
      <c r="M110" s="11">
        <v>0</v>
      </c>
      <c r="N110" s="10" t="s">
        <v>18</v>
      </c>
      <c r="O110" s="42">
        <v>0</v>
      </c>
      <c r="P110" s="10" t="s">
        <v>2485</v>
      </c>
    </row>
    <row r="111" spans="1:16" x14ac:dyDescent="0.25">
      <c r="A111" s="5" t="s">
        <v>1968</v>
      </c>
      <c r="B111" s="22" t="s">
        <v>716</v>
      </c>
      <c r="C111" s="22" t="s">
        <v>2472</v>
      </c>
      <c r="D111" s="23" t="s">
        <v>1969</v>
      </c>
      <c r="E111" s="24" t="s">
        <v>1968</v>
      </c>
      <c r="F111" s="13">
        <v>44452</v>
      </c>
      <c r="G111" s="13">
        <v>44455</v>
      </c>
      <c r="H111" s="7">
        <v>-648</v>
      </c>
      <c r="I111" s="8"/>
      <c r="J111" s="9">
        <v>651</v>
      </c>
      <c r="K111" s="10"/>
      <c r="L111" s="10" t="s">
        <v>2457</v>
      </c>
      <c r="M111" s="11">
        <v>0</v>
      </c>
      <c r="N111" s="10" t="s">
        <v>18</v>
      </c>
      <c r="O111" s="42">
        <v>0</v>
      </c>
      <c r="P111" s="10" t="s">
        <v>2485</v>
      </c>
    </row>
    <row r="112" spans="1:16" x14ac:dyDescent="0.25">
      <c r="A112" s="5" t="s">
        <v>2077</v>
      </c>
      <c r="B112" s="22" t="s">
        <v>716</v>
      </c>
      <c r="C112" s="22" t="s">
        <v>2061</v>
      </c>
      <c r="D112" s="23" t="s">
        <v>2078</v>
      </c>
      <c r="E112" s="24" t="s">
        <v>2077</v>
      </c>
      <c r="F112" s="13">
        <v>44456</v>
      </c>
      <c r="G112" s="13">
        <v>44458</v>
      </c>
      <c r="H112" s="7">
        <v>-645</v>
      </c>
      <c r="I112" s="8"/>
      <c r="J112" s="9">
        <v>647</v>
      </c>
      <c r="K112" s="10"/>
      <c r="L112" s="10" t="s">
        <v>2457</v>
      </c>
      <c r="M112" s="11">
        <v>0</v>
      </c>
      <c r="N112" s="10" t="s">
        <v>18</v>
      </c>
      <c r="O112" s="42">
        <v>0</v>
      </c>
      <c r="P112" s="10" t="s">
        <v>2485</v>
      </c>
    </row>
    <row r="113" spans="1:16" x14ac:dyDescent="0.25">
      <c r="A113" s="5" t="s">
        <v>2056</v>
      </c>
      <c r="B113" s="22" t="s">
        <v>716</v>
      </c>
      <c r="C113" s="22" t="s">
        <v>752</v>
      </c>
      <c r="D113" s="23" t="s">
        <v>2057</v>
      </c>
      <c r="E113" s="24" t="s">
        <v>2056</v>
      </c>
      <c r="F113" s="6">
        <v>44454</v>
      </c>
      <c r="G113" s="13">
        <v>44461</v>
      </c>
      <c r="H113" s="7">
        <v>-642</v>
      </c>
      <c r="I113" s="8"/>
      <c r="J113" s="9">
        <v>649</v>
      </c>
      <c r="K113" s="10"/>
      <c r="L113" s="10" t="s">
        <v>2457</v>
      </c>
      <c r="M113" s="11">
        <v>0</v>
      </c>
      <c r="N113" s="10" t="s">
        <v>18</v>
      </c>
      <c r="O113" s="42">
        <v>0</v>
      </c>
      <c r="P113" s="10" t="s">
        <v>2485</v>
      </c>
    </row>
    <row r="114" spans="1:16" x14ac:dyDescent="0.25">
      <c r="A114" s="5" t="s">
        <v>1920</v>
      </c>
      <c r="B114" s="22" t="s">
        <v>716</v>
      </c>
      <c r="C114" s="22" t="s">
        <v>787</v>
      </c>
      <c r="D114" s="23" t="s">
        <v>1921</v>
      </c>
      <c r="E114" s="24" t="s">
        <v>1920</v>
      </c>
      <c r="F114" s="6">
        <v>44449</v>
      </c>
      <c r="G114" s="13">
        <v>44462</v>
      </c>
      <c r="H114" s="7">
        <v>-641</v>
      </c>
      <c r="I114" s="8"/>
      <c r="J114" s="9">
        <v>654</v>
      </c>
      <c r="K114" s="10"/>
      <c r="L114" s="10" t="s">
        <v>2457</v>
      </c>
      <c r="M114" s="11">
        <v>0</v>
      </c>
      <c r="N114" s="10" t="s">
        <v>18</v>
      </c>
      <c r="O114" s="42">
        <v>0</v>
      </c>
      <c r="P114" s="10" t="s">
        <v>2485</v>
      </c>
    </row>
    <row r="115" spans="1:16" x14ac:dyDescent="0.25">
      <c r="A115" s="5" t="s">
        <v>2091</v>
      </c>
      <c r="B115" s="22" t="s">
        <v>716</v>
      </c>
      <c r="C115" s="22" t="s">
        <v>2473</v>
      </c>
      <c r="D115" s="23" t="s">
        <v>2092</v>
      </c>
      <c r="E115" s="24" t="s">
        <v>2091</v>
      </c>
      <c r="F115" s="13">
        <v>44459</v>
      </c>
      <c r="G115" s="13">
        <v>44462</v>
      </c>
      <c r="H115" s="7">
        <v>-641</v>
      </c>
      <c r="I115" s="8"/>
      <c r="J115" s="9">
        <v>644</v>
      </c>
      <c r="K115" s="10"/>
      <c r="L115" s="10" t="s">
        <v>2457</v>
      </c>
      <c r="M115" s="11">
        <v>0</v>
      </c>
      <c r="N115" s="10" t="s">
        <v>18</v>
      </c>
      <c r="O115" s="42">
        <v>0</v>
      </c>
      <c r="P115" s="10" t="s">
        <v>2485</v>
      </c>
    </row>
    <row r="116" spans="1:16" x14ac:dyDescent="0.25">
      <c r="A116" s="5" t="s">
        <v>2110</v>
      </c>
      <c r="B116" s="22" t="s">
        <v>716</v>
      </c>
      <c r="C116" s="22" t="s">
        <v>985</v>
      </c>
      <c r="D116" s="23" t="s">
        <v>2111</v>
      </c>
      <c r="E116" s="24" t="s">
        <v>2110</v>
      </c>
      <c r="F116" s="13">
        <v>44459</v>
      </c>
      <c r="G116" s="13">
        <v>44462</v>
      </c>
      <c r="H116" s="7">
        <v>-641</v>
      </c>
      <c r="I116" s="8"/>
      <c r="J116" s="9">
        <v>644</v>
      </c>
      <c r="K116" s="10"/>
      <c r="L116" s="10" t="s">
        <v>2457</v>
      </c>
      <c r="M116" s="11">
        <v>0</v>
      </c>
      <c r="N116" s="10" t="s">
        <v>18</v>
      </c>
      <c r="O116" s="42">
        <v>0</v>
      </c>
      <c r="P116" s="10" t="s">
        <v>2485</v>
      </c>
    </row>
    <row r="117" spans="1:16" x14ac:dyDescent="0.25">
      <c r="A117" s="5" t="s">
        <v>2138</v>
      </c>
      <c r="B117" s="22" t="s">
        <v>716</v>
      </c>
      <c r="C117" s="22" t="s">
        <v>985</v>
      </c>
      <c r="D117" s="23" t="s">
        <v>2139</v>
      </c>
      <c r="E117" s="24" t="s">
        <v>2138</v>
      </c>
      <c r="F117" s="13">
        <v>44459</v>
      </c>
      <c r="G117" s="13">
        <v>44462</v>
      </c>
      <c r="H117" s="7">
        <v>-641</v>
      </c>
      <c r="I117" s="8"/>
      <c r="J117" s="9">
        <v>644</v>
      </c>
      <c r="K117" s="10"/>
      <c r="L117" s="10" t="s">
        <v>2457</v>
      </c>
      <c r="M117" s="11">
        <v>0</v>
      </c>
      <c r="N117" s="10" t="s">
        <v>18</v>
      </c>
      <c r="O117" s="42">
        <v>0</v>
      </c>
      <c r="P117" s="10" t="s">
        <v>2485</v>
      </c>
    </row>
    <row r="118" spans="1:16" x14ac:dyDescent="0.25">
      <c r="A118" s="5" t="s">
        <v>2146</v>
      </c>
      <c r="B118" s="22" t="s">
        <v>716</v>
      </c>
      <c r="C118" s="22" t="s">
        <v>787</v>
      </c>
      <c r="D118" s="23" t="s">
        <v>2147</v>
      </c>
      <c r="E118" s="24" t="s">
        <v>2146</v>
      </c>
      <c r="F118" s="13">
        <v>44459</v>
      </c>
      <c r="G118" s="13">
        <v>44462</v>
      </c>
      <c r="H118" s="7">
        <v>-641</v>
      </c>
      <c r="I118" s="8"/>
      <c r="J118" s="9">
        <v>644</v>
      </c>
      <c r="K118" s="10"/>
      <c r="L118" s="10" t="s">
        <v>2457</v>
      </c>
      <c r="M118" s="11">
        <v>0</v>
      </c>
      <c r="N118" s="10" t="s">
        <v>18</v>
      </c>
      <c r="O118" s="42">
        <v>0</v>
      </c>
      <c r="P118" s="10" t="s">
        <v>2485</v>
      </c>
    </row>
    <row r="119" spans="1:16" x14ac:dyDescent="0.25">
      <c r="A119" s="5" t="s">
        <v>2148</v>
      </c>
      <c r="B119" s="22" t="s">
        <v>716</v>
      </c>
      <c r="C119" s="22" t="s">
        <v>2470</v>
      </c>
      <c r="D119" s="23" t="s">
        <v>2149</v>
      </c>
      <c r="E119" s="24" t="s">
        <v>2148</v>
      </c>
      <c r="F119" s="13">
        <v>44459</v>
      </c>
      <c r="G119" s="13">
        <v>44462</v>
      </c>
      <c r="H119" s="7">
        <v>-641</v>
      </c>
      <c r="I119" s="8"/>
      <c r="J119" s="9">
        <v>644</v>
      </c>
      <c r="K119" s="10"/>
      <c r="L119" s="10" t="s">
        <v>2457</v>
      </c>
      <c r="M119" s="11">
        <v>0</v>
      </c>
      <c r="N119" s="10" t="s">
        <v>18</v>
      </c>
      <c r="O119" s="42">
        <v>0</v>
      </c>
      <c r="P119" s="10" t="s">
        <v>2485</v>
      </c>
    </row>
    <row r="120" spans="1:16" x14ac:dyDescent="0.25">
      <c r="A120" s="5" t="s">
        <v>2181</v>
      </c>
      <c r="B120" s="22" t="s">
        <v>716</v>
      </c>
      <c r="C120" s="22" t="s">
        <v>1694</v>
      </c>
      <c r="D120" s="23" t="s">
        <v>2182</v>
      </c>
      <c r="E120" s="24" t="s">
        <v>2181</v>
      </c>
      <c r="F120" s="13">
        <v>44461</v>
      </c>
      <c r="G120" s="13">
        <v>44462</v>
      </c>
      <c r="H120" s="7">
        <v>-641</v>
      </c>
      <c r="I120" s="8"/>
      <c r="J120" s="9">
        <v>642</v>
      </c>
      <c r="K120" s="10"/>
      <c r="L120" s="10" t="s">
        <v>2457</v>
      </c>
      <c r="M120" s="11">
        <v>0</v>
      </c>
      <c r="N120" s="10" t="s">
        <v>18</v>
      </c>
      <c r="O120" s="42">
        <v>0</v>
      </c>
      <c r="P120" s="10" t="s">
        <v>2485</v>
      </c>
    </row>
    <row r="121" spans="1:16" x14ac:dyDescent="0.25">
      <c r="A121" s="5" t="s">
        <v>2185</v>
      </c>
      <c r="B121" s="22" t="s">
        <v>716</v>
      </c>
      <c r="C121" s="22" t="s">
        <v>992</v>
      </c>
      <c r="D121" s="23" t="s">
        <v>2186</v>
      </c>
      <c r="E121" s="24" t="s">
        <v>2185</v>
      </c>
      <c r="F121" s="13">
        <v>44461</v>
      </c>
      <c r="G121" s="13">
        <v>44462</v>
      </c>
      <c r="H121" s="7">
        <v>-641</v>
      </c>
      <c r="I121" s="8"/>
      <c r="J121" s="9">
        <v>642</v>
      </c>
      <c r="K121" s="10"/>
      <c r="L121" s="10" t="s">
        <v>2457</v>
      </c>
      <c r="M121" s="11">
        <v>0</v>
      </c>
      <c r="N121" s="10" t="s">
        <v>18</v>
      </c>
      <c r="O121" s="42">
        <v>0</v>
      </c>
      <c r="P121" s="10" t="s">
        <v>2485</v>
      </c>
    </row>
    <row r="122" spans="1:16" x14ac:dyDescent="0.25">
      <c r="A122" s="5" t="s">
        <v>2191</v>
      </c>
      <c r="B122" s="22" t="s">
        <v>716</v>
      </c>
      <c r="C122" s="22" t="s">
        <v>992</v>
      </c>
      <c r="D122" s="23" t="s">
        <v>2192</v>
      </c>
      <c r="E122" s="24" t="s">
        <v>2191</v>
      </c>
      <c r="F122" s="13">
        <v>44461</v>
      </c>
      <c r="G122" s="13">
        <v>44462</v>
      </c>
      <c r="H122" s="7">
        <v>-641</v>
      </c>
      <c r="I122" s="8"/>
      <c r="J122" s="9">
        <v>642</v>
      </c>
      <c r="K122" s="10"/>
      <c r="L122" s="10" t="s">
        <v>2457</v>
      </c>
      <c r="M122" s="11">
        <v>0</v>
      </c>
      <c r="N122" s="10" t="s">
        <v>18</v>
      </c>
      <c r="O122" s="42">
        <v>0</v>
      </c>
      <c r="P122" s="10" t="s">
        <v>2485</v>
      </c>
    </row>
    <row r="123" spans="1:16" x14ac:dyDescent="0.25">
      <c r="A123" s="5" t="s">
        <v>2193</v>
      </c>
      <c r="B123" s="22" t="s">
        <v>716</v>
      </c>
      <c r="C123" s="22" t="s">
        <v>992</v>
      </c>
      <c r="D123" s="23" t="s">
        <v>2194</v>
      </c>
      <c r="E123" s="24" t="s">
        <v>2193</v>
      </c>
      <c r="F123" s="13">
        <v>44461</v>
      </c>
      <c r="G123" s="13">
        <v>44462</v>
      </c>
      <c r="H123" s="7">
        <v>-641</v>
      </c>
      <c r="I123" s="8"/>
      <c r="J123" s="9">
        <v>642</v>
      </c>
      <c r="K123" s="10"/>
      <c r="L123" s="10" t="s">
        <v>2457</v>
      </c>
      <c r="M123" s="11">
        <v>0</v>
      </c>
      <c r="N123" s="10" t="s">
        <v>18</v>
      </c>
      <c r="O123" s="42">
        <v>0</v>
      </c>
      <c r="P123" s="10" t="s">
        <v>2485</v>
      </c>
    </row>
    <row r="124" spans="1:16" x14ac:dyDescent="0.25">
      <c r="A124" s="5" t="s">
        <v>2197</v>
      </c>
      <c r="B124" s="22" t="s">
        <v>716</v>
      </c>
      <c r="C124" s="22" t="s">
        <v>992</v>
      </c>
      <c r="D124" s="23" t="s">
        <v>2198</v>
      </c>
      <c r="E124" s="24" t="s">
        <v>2197</v>
      </c>
      <c r="F124" s="13">
        <v>44461</v>
      </c>
      <c r="G124" s="13">
        <v>44462</v>
      </c>
      <c r="H124" s="7">
        <v>-641</v>
      </c>
      <c r="I124" s="8"/>
      <c r="J124" s="9">
        <v>642</v>
      </c>
      <c r="K124" s="10"/>
      <c r="L124" s="10" t="s">
        <v>2457</v>
      </c>
      <c r="M124" s="11">
        <v>0</v>
      </c>
      <c r="N124" s="10" t="s">
        <v>18</v>
      </c>
      <c r="O124" s="42">
        <v>0</v>
      </c>
      <c r="P124" s="10" t="s">
        <v>2485</v>
      </c>
    </row>
    <row r="125" spans="1:16" x14ac:dyDescent="0.25">
      <c r="A125" s="5" t="s">
        <v>2199</v>
      </c>
      <c r="B125" s="22" t="s">
        <v>716</v>
      </c>
      <c r="C125" s="22" t="s">
        <v>992</v>
      </c>
      <c r="D125" s="23" t="s">
        <v>2200</v>
      </c>
      <c r="E125" s="24" t="s">
        <v>2199</v>
      </c>
      <c r="F125" s="13">
        <v>44461</v>
      </c>
      <c r="G125" s="13">
        <v>44462</v>
      </c>
      <c r="H125" s="7">
        <v>-641</v>
      </c>
      <c r="I125" s="8"/>
      <c r="J125" s="9">
        <v>642</v>
      </c>
      <c r="K125" s="10"/>
      <c r="L125" s="10" t="s">
        <v>2457</v>
      </c>
      <c r="M125" s="11">
        <v>0</v>
      </c>
      <c r="N125" s="10" t="s">
        <v>18</v>
      </c>
      <c r="O125" s="42">
        <v>0</v>
      </c>
      <c r="P125" s="10" t="s">
        <v>2485</v>
      </c>
    </row>
    <row r="126" spans="1:16" x14ac:dyDescent="0.25">
      <c r="A126" s="5" t="s">
        <v>2201</v>
      </c>
      <c r="B126" s="22" t="s">
        <v>716</v>
      </c>
      <c r="C126" s="22" t="s">
        <v>992</v>
      </c>
      <c r="D126" s="23" t="s">
        <v>2202</v>
      </c>
      <c r="E126" s="24" t="s">
        <v>2201</v>
      </c>
      <c r="F126" s="13">
        <v>44461</v>
      </c>
      <c r="G126" s="13">
        <v>44462</v>
      </c>
      <c r="H126" s="7">
        <v>-641</v>
      </c>
      <c r="I126" s="8"/>
      <c r="J126" s="9">
        <v>642</v>
      </c>
      <c r="K126" s="10"/>
      <c r="L126" s="10" t="s">
        <v>2457</v>
      </c>
      <c r="M126" s="11">
        <v>0</v>
      </c>
      <c r="N126" s="10" t="s">
        <v>18</v>
      </c>
      <c r="O126" s="42">
        <v>0</v>
      </c>
      <c r="P126" s="10" t="s">
        <v>2485</v>
      </c>
    </row>
    <row r="127" spans="1:16" x14ac:dyDescent="0.25">
      <c r="A127" s="5" t="s">
        <v>2205</v>
      </c>
      <c r="B127" s="22" t="s">
        <v>716</v>
      </c>
      <c r="C127" s="22" t="s">
        <v>992</v>
      </c>
      <c r="D127" s="23" t="s">
        <v>2206</v>
      </c>
      <c r="E127" s="24" t="s">
        <v>2205</v>
      </c>
      <c r="F127" s="6">
        <v>44461</v>
      </c>
      <c r="G127" s="13">
        <v>44462</v>
      </c>
      <c r="H127" s="7">
        <v>-641</v>
      </c>
      <c r="I127" s="8"/>
      <c r="J127" s="9">
        <v>642</v>
      </c>
      <c r="K127" s="10"/>
      <c r="L127" s="10" t="s">
        <v>2457</v>
      </c>
      <c r="M127" s="11">
        <v>0</v>
      </c>
      <c r="N127" s="10" t="s">
        <v>18</v>
      </c>
      <c r="O127" s="42">
        <v>0</v>
      </c>
      <c r="P127" s="10" t="s">
        <v>2485</v>
      </c>
    </row>
    <row r="128" spans="1:16" x14ac:dyDescent="0.25">
      <c r="A128" s="5" t="s">
        <v>2211</v>
      </c>
      <c r="B128" s="22" t="s">
        <v>716</v>
      </c>
      <c r="C128" s="22" t="s">
        <v>992</v>
      </c>
      <c r="D128" s="23" t="s">
        <v>2212</v>
      </c>
      <c r="E128" s="24" t="s">
        <v>2211</v>
      </c>
      <c r="F128" s="13">
        <v>44461</v>
      </c>
      <c r="G128" s="13">
        <v>44462</v>
      </c>
      <c r="H128" s="7">
        <v>-641</v>
      </c>
      <c r="I128" s="8"/>
      <c r="J128" s="9">
        <v>642</v>
      </c>
      <c r="K128" s="10"/>
      <c r="L128" s="10" t="s">
        <v>2457</v>
      </c>
      <c r="M128" s="11">
        <v>0</v>
      </c>
      <c r="N128" s="10" t="s">
        <v>18</v>
      </c>
      <c r="O128" s="42">
        <v>0</v>
      </c>
      <c r="P128" s="10" t="s">
        <v>2485</v>
      </c>
    </row>
    <row r="129" spans="1:16" x14ac:dyDescent="0.25">
      <c r="A129" s="5" t="s">
        <v>2213</v>
      </c>
      <c r="B129" s="22" t="s">
        <v>716</v>
      </c>
      <c r="C129" s="22" t="s">
        <v>992</v>
      </c>
      <c r="D129" s="23" t="s">
        <v>2214</v>
      </c>
      <c r="E129" s="24" t="s">
        <v>2213</v>
      </c>
      <c r="F129" s="13">
        <v>44461</v>
      </c>
      <c r="G129" s="13">
        <v>44462</v>
      </c>
      <c r="H129" s="7">
        <v>-641</v>
      </c>
      <c r="I129" s="8"/>
      <c r="J129" s="9">
        <v>642</v>
      </c>
      <c r="K129" s="10"/>
      <c r="L129" s="10" t="s">
        <v>2457</v>
      </c>
      <c r="M129" s="11">
        <v>0</v>
      </c>
      <c r="N129" s="10" t="s">
        <v>18</v>
      </c>
      <c r="O129" s="42">
        <v>0</v>
      </c>
      <c r="P129" s="10" t="s">
        <v>2485</v>
      </c>
    </row>
    <row r="130" spans="1:16" x14ac:dyDescent="0.25">
      <c r="A130" s="5" t="s">
        <v>2215</v>
      </c>
      <c r="B130" s="22" t="s">
        <v>716</v>
      </c>
      <c r="C130" s="22" t="s">
        <v>992</v>
      </c>
      <c r="D130" s="23" t="s">
        <v>2216</v>
      </c>
      <c r="E130" s="24" t="s">
        <v>2215</v>
      </c>
      <c r="F130" s="13">
        <v>44461</v>
      </c>
      <c r="G130" s="13">
        <v>44462</v>
      </c>
      <c r="H130" s="7">
        <v>-641</v>
      </c>
      <c r="I130" s="8"/>
      <c r="J130" s="9">
        <v>642</v>
      </c>
      <c r="K130" s="10"/>
      <c r="L130" s="10" t="s">
        <v>2457</v>
      </c>
      <c r="M130" s="11">
        <v>0</v>
      </c>
      <c r="N130" s="10" t="s">
        <v>18</v>
      </c>
      <c r="O130" s="42">
        <v>0</v>
      </c>
      <c r="P130" s="10" t="s">
        <v>2485</v>
      </c>
    </row>
    <row r="131" spans="1:16" x14ac:dyDescent="0.25">
      <c r="A131" s="5" t="s">
        <v>2225</v>
      </c>
      <c r="B131" s="22" t="s">
        <v>716</v>
      </c>
      <c r="C131" s="22" t="s">
        <v>992</v>
      </c>
      <c r="D131" s="23" t="s">
        <v>2226</v>
      </c>
      <c r="E131" s="24" t="s">
        <v>2225</v>
      </c>
      <c r="F131" s="13">
        <v>44463</v>
      </c>
      <c r="G131" s="13">
        <v>44472</v>
      </c>
      <c r="H131" s="7">
        <v>-631</v>
      </c>
      <c r="I131" s="8"/>
      <c r="J131" s="9">
        <v>640</v>
      </c>
      <c r="K131" s="10"/>
      <c r="L131" s="10" t="s">
        <v>2457</v>
      </c>
      <c r="M131" s="11">
        <v>0</v>
      </c>
      <c r="N131" s="10" t="s">
        <v>18</v>
      </c>
      <c r="O131" s="42">
        <v>0</v>
      </c>
      <c r="P131" s="10" t="s">
        <v>2485</v>
      </c>
    </row>
    <row r="132" spans="1:16" x14ac:dyDescent="0.25">
      <c r="A132" s="5" t="s">
        <v>2245</v>
      </c>
      <c r="B132" s="22" t="s">
        <v>716</v>
      </c>
      <c r="C132" s="22" t="s">
        <v>1450</v>
      </c>
      <c r="D132" s="23" t="s">
        <v>2246</v>
      </c>
      <c r="E132" s="24" t="s">
        <v>2245</v>
      </c>
      <c r="F132" s="13">
        <v>44463</v>
      </c>
      <c r="G132" s="13">
        <v>44472</v>
      </c>
      <c r="H132" s="7">
        <v>-631</v>
      </c>
      <c r="I132" s="8"/>
      <c r="J132" s="9">
        <v>640</v>
      </c>
      <c r="K132" s="10"/>
      <c r="L132" s="10" t="s">
        <v>2457</v>
      </c>
      <c r="M132" s="11">
        <v>0</v>
      </c>
      <c r="N132" s="10" t="s">
        <v>18</v>
      </c>
      <c r="O132" s="42">
        <v>0</v>
      </c>
      <c r="P132" s="10" t="s">
        <v>2485</v>
      </c>
    </row>
    <row r="133" spans="1:16" x14ac:dyDescent="0.25">
      <c r="A133" s="5" t="s">
        <v>2277</v>
      </c>
      <c r="B133" s="22" t="s">
        <v>716</v>
      </c>
      <c r="C133" s="22" t="s">
        <v>2061</v>
      </c>
      <c r="D133" s="23" t="s">
        <v>2278</v>
      </c>
      <c r="E133" s="24" t="s">
        <v>2277</v>
      </c>
      <c r="F133" s="13">
        <v>44466</v>
      </c>
      <c r="G133" s="13">
        <v>44472</v>
      </c>
      <c r="H133" s="7">
        <v>-631</v>
      </c>
      <c r="I133" s="8"/>
      <c r="J133" s="9">
        <v>637</v>
      </c>
      <c r="K133" s="10"/>
      <c r="L133" s="10" t="s">
        <v>2457</v>
      </c>
      <c r="M133" s="11">
        <v>0</v>
      </c>
      <c r="N133" s="10" t="s">
        <v>18</v>
      </c>
      <c r="O133" s="42">
        <v>0</v>
      </c>
      <c r="P133" s="10" t="s">
        <v>2485</v>
      </c>
    </row>
    <row r="134" spans="1:16" x14ac:dyDescent="0.25">
      <c r="A134" s="5" t="s">
        <v>2323</v>
      </c>
      <c r="B134" s="22" t="s">
        <v>716</v>
      </c>
      <c r="C134" s="22" t="s">
        <v>787</v>
      </c>
      <c r="D134" s="23" t="s">
        <v>2324</v>
      </c>
      <c r="E134" s="24" t="s">
        <v>2323</v>
      </c>
      <c r="F134" s="13">
        <v>44470</v>
      </c>
      <c r="G134" s="13">
        <v>44472</v>
      </c>
      <c r="H134" s="7">
        <v>-631</v>
      </c>
      <c r="I134" s="8"/>
      <c r="J134" s="9">
        <v>633</v>
      </c>
      <c r="K134" s="10"/>
      <c r="L134" s="10" t="s">
        <v>2457</v>
      </c>
      <c r="M134" s="11">
        <v>0</v>
      </c>
      <c r="N134" s="10" t="s">
        <v>18</v>
      </c>
      <c r="O134" s="42">
        <v>0</v>
      </c>
      <c r="P134" s="10" t="s">
        <v>2485</v>
      </c>
    </row>
    <row r="135" spans="1:16" x14ac:dyDescent="0.25">
      <c r="A135" s="5" t="s">
        <v>2325</v>
      </c>
      <c r="B135" s="22" t="s">
        <v>716</v>
      </c>
      <c r="C135" s="22" t="s">
        <v>787</v>
      </c>
      <c r="D135" s="23" t="s">
        <v>2326</v>
      </c>
      <c r="E135" s="24" t="s">
        <v>2325</v>
      </c>
      <c r="F135" s="13">
        <v>44470</v>
      </c>
      <c r="G135" s="13">
        <v>44472</v>
      </c>
      <c r="H135" s="7">
        <v>-631</v>
      </c>
      <c r="I135" s="8"/>
      <c r="J135" s="9">
        <v>633</v>
      </c>
      <c r="K135" s="10"/>
      <c r="L135" s="10" t="s">
        <v>2457</v>
      </c>
      <c r="M135" s="11">
        <v>0</v>
      </c>
      <c r="N135" s="10" t="s">
        <v>18</v>
      </c>
      <c r="O135" s="42">
        <v>0</v>
      </c>
      <c r="P135" s="10" t="s">
        <v>2485</v>
      </c>
    </row>
    <row r="136" spans="1:16" x14ac:dyDescent="0.25">
      <c r="A136" s="5" t="s">
        <v>2331</v>
      </c>
      <c r="B136" s="22" t="s">
        <v>716</v>
      </c>
      <c r="C136" s="22" t="s">
        <v>787</v>
      </c>
      <c r="D136" s="23" t="s">
        <v>2332</v>
      </c>
      <c r="E136" s="24" t="s">
        <v>2331</v>
      </c>
      <c r="F136" s="13">
        <v>44470</v>
      </c>
      <c r="G136" s="13">
        <v>44472</v>
      </c>
      <c r="H136" s="7">
        <v>-631</v>
      </c>
      <c r="I136" s="8"/>
      <c r="J136" s="9">
        <v>633</v>
      </c>
      <c r="K136" s="10"/>
      <c r="L136" s="10" t="s">
        <v>2457</v>
      </c>
      <c r="M136" s="11">
        <v>0</v>
      </c>
      <c r="N136" s="10" t="s">
        <v>18</v>
      </c>
      <c r="O136" s="42">
        <v>0</v>
      </c>
      <c r="P136" s="10" t="s">
        <v>2485</v>
      </c>
    </row>
    <row r="137" spans="1:16" x14ac:dyDescent="0.25">
      <c r="A137" s="5" t="s">
        <v>2335</v>
      </c>
      <c r="B137" s="22" t="s">
        <v>716</v>
      </c>
      <c r="C137" s="22" t="s">
        <v>932</v>
      </c>
      <c r="D137" s="23" t="s">
        <v>2336</v>
      </c>
      <c r="E137" s="24" t="s">
        <v>2335</v>
      </c>
      <c r="F137" s="13">
        <v>44470</v>
      </c>
      <c r="G137" s="13">
        <v>44472</v>
      </c>
      <c r="H137" s="7">
        <v>-631</v>
      </c>
      <c r="I137" s="8"/>
      <c r="J137" s="9">
        <v>633</v>
      </c>
      <c r="K137" s="10"/>
      <c r="L137" s="10" t="s">
        <v>2457</v>
      </c>
      <c r="M137" s="11">
        <v>0</v>
      </c>
      <c r="N137" s="10" t="s">
        <v>18</v>
      </c>
      <c r="O137" s="42">
        <v>0</v>
      </c>
      <c r="P137" s="10" t="s">
        <v>2485</v>
      </c>
    </row>
    <row r="138" spans="1:16" x14ac:dyDescent="0.25">
      <c r="A138" s="5" t="s">
        <v>2337</v>
      </c>
      <c r="B138" s="22" t="s">
        <v>716</v>
      </c>
      <c r="C138" s="22" t="s">
        <v>2505</v>
      </c>
      <c r="D138" s="23" t="s">
        <v>2338</v>
      </c>
      <c r="E138" s="24" t="s">
        <v>2337</v>
      </c>
      <c r="F138" s="13">
        <v>44470</v>
      </c>
      <c r="G138" s="13">
        <v>44472</v>
      </c>
      <c r="H138" s="7">
        <v>-631</v>
      </c>
      <c r="I138" s="8"/>
      <c r="J138" s="9">
        <v>633</v>
      </c>
      <c r="K138" s="10"/>
      <c r="L138" s="10" t="s">
        <v>2457</v>
      </c>
      <c r="M138" s="11">
        <v>0</v>
      </c>
      <c r="N138" s="10" t="s">
        <v>18</v>
      </c>
      <c r="O138" s="42">
        <v>0</v>
      </c>
      <c r="P138" s="10" t="s">
        <v>2485</v>
      </c>
    </row>
    <row r="139" spans="1:16" x14ac:dyDescent="0.25">
      <c r="A139" s="5" t="s">
        <v>2339</v>
      </c>
      <c r="B139" s="22" t="s">
        <v>716</v>
      </c>
      <c r="C139" s="22" t="s">
        <v>932</v>
      </c>
      <c r="D139" s="23" t="s">
        <v>2340</v>
      </c>
      <c r="E139" s="24" t="s">
        <v>2339</v>
      </c>
      <c r="F139" s="13">
        <v>44470</v>
      </c>
      <c r="G139" s="13">
        <v>44472</v>
      </c>
      <c r="H139" s="7">
        <v>-631</v>
      </c>
      <c r="I139" s="8"/>
      <c r="J139" s="9">
        <v>633</v>
      </c>
      <c r="K139" s="10"/>
      <c r="L139" s="10" t="s">
        <v>2457</v>
      </c>
      <c r="M139" s="11">
        <v>0</v>
      </c>
      <c r="N139" s="10" t="s">
        <v>18</v>
      </c>
      <c r="O139" s="42">
        <v>0</v>
      </c>
      <c r="P139" s="10" t="s">
        <v>2485</v>
      </c>
    </row>
    <row r="140" spans="1:16" x14ac:dyDescent="0.25">
      <c r="A140" s="5" t="s">
        <v>2343</v>
      </c>
      <c r="B140" s="22" t="s">
        <v>716</v>
      </c>
      <c r="C140" s="22" t="s">
        <v>787</v>
      </c>
      <c r="D140" s="23" t="s">
        <v>2344</v>
      </c>
      <c r="E140" s="24" t="s">
        <v>2343</v>
      </c>
      <c r="F140" s="13">
        <v>44470</v>
      </c>
      <c r="G140" s="13">
        <v>44472</v>
      </c>
      <c r="H140" s="7">
        <v>-631</v>
      </c>
      <c r="I140" s="8"/>
      <c r="J140" s="9">
        <v>633</v>
      </c>
      <c r="K140" s="10"/>
      <c r="L140" s="10" t="s">
        <v>2457</v>
      </c>
      <c r="M140" s="11">
        <v>0</v>
      </c>
      <c r="N140" s="10" t="s">
        <v>18</v>
      </c>
      <c r="O140" s="42">
        <v>0</v>
      </c>
      <c r="P140" s="10" t="s">
        <v>2485</v>
      </c>
    </row>
    <row r="141" spans="1:16" x14ac:dyDescent="0.25">
      <c r="A141" s="5" t="s">
        <v>2345</v>
      </c>
      <c r="B141" s="22" t="s">
        <v>716</v>
      </c>
      <c r="C141" s="22" t="s">
        <v>787</v>
      </c>
      <c r="D141" s="23" t="s">
        <v>2346</v>
      </c>
      <c r="E141" s="24" t="s">
        <v>2345</v>
      </c>
      <c r="F141" s="13">
        <v>44470</v>
      </c>
      <c r="G141" s="13">
        <v>44472</v>
      </c>
      <c r="H141" s="7">
        <v>-631</v>
      </c>
      <c r="I141" s="8"/>
      <c r="J141" s="9">
        <v>633</v>
      </c>
      <c r="K141" s="10"/>
      <c r="L141" s="10" t="s">
        <v>2457</v>
      </c>
      <c r="M141" s="11">
        <v>0</v>
      </c>
      <c r="N141" s="10" t="s">
        <v>18</v>
      </c>
      <c r="O141" s="42">
        <v>0</v>
      </c>
      <c r="P141" s="10" t="s">
        <v>2485</v>
      </c>
    </row>
    <row r="142" spans="1:16" x14ac:dyDescent="0.25">
      <c r="A142" s="5" t="s">
        <v>2002</v>
      </c>
      <c r="B142" s="22" t="s">
        <v>716</v>
      </c>
      <c r="C142" s="22" t="s">
        <v>2472</v>
      </c>
      <c r="D142" s="23" t="s">
        <v>2003</v>
      </c>
      <c r="E142" s="24" t="s">
        <v>2002</v>
      </c>
      <c r="F142" s="13">
        <v>44452</v>
      </c>
      <c r="G142" s="13">
        <v>44479</v>
      </c>
      <c r="H142" s="7">
        <v>-624</v>
      </c>
      <c r="I142" s="8"/>
      <c r="J142" s="9">
        <v>651</v>
      </c>
      <c r="K142" s="10"/>
      <c r="L142" s="10" t="s">
        <v>2457</v>
      </c>
      <c r="M142" s="11">
        <v>0</v>
      </c>
      <c r="N142" s="10" t="s">
        <v>18</v>
      </c>
      <c r="O142" s="42">
        <v>0</v>
      </c>
      <c r="P142" s="10" t="s">
        <v>2485</v>
      </c>
    </row>
    <row r="143" spans="1:16" x14ac:dyDescent="0.25">
      <c r="A143" s="5" t="s">
        <v>2419</v>
      </c>
      <c r="B143" s="22" t="s">
        <v>716</v>
      </c>
      <c r="C143" s="22" t="s">
        <v>1043</v>
      </c>
      <c r="D143" s="23" t="s">
        <v>2420</v>
      </c>
      <c r="E143" s="24" t="s">
        <v>2419</v>
      </c>
      <c r="F143" s="13">
        <v>44480</v>
      </c>
      <c r="G143" s="13">
        <v>44486</v>
      </c>
      <c r="H143" s="7">
        <v>-617</v>
      </c>
      <c r="I143" s="8"/>
      <c r="J143" s="9">
        <v>623</v>
      </c>
      <c r="K143" s="10"/>
      <c r="L143" s="10" t="s">
        <v>2457</v>
      </c>
      <c r="M143" s="11">
        <v>0</v>
      </c>
      <c r="N143" s="10" t="s">
        <v>18</v>
      </c>
      <c r="O143" s="42">
        <v>0</v>
      </c>
      <c r="P143" s="10" t="s">
        <v>2485</v>
      </c>
    </row>
    <row r="144" spans="1:16" x14ac:dyDescent="0.25">
      <c r="A144" s="5" t="s">
        <v>2421</v>
      </c>
      <c r="B144" s="22" t="s">
        <v>716</v>
      </c>
      <c r="C144" s="22" t="s">
        <v>2473</v>
      </c>
      <c r="D144" s="23" t="s">
        <v>2422</v>
      </c>
      <c r="E144" s="24" t="s">
        <v>2421</v>
      </c>
      <c r="F144" s="13">
        <v>44480</v>
      </c>
      <c r="G144" s="13">
        <v>44486</v>
      </c>
      <c r="H144" s="7">
        <v>-617</v>
      </c>
      <c r="I144" s="8"/>
      <c r="J144" s="9">
        <v>623</v>
      </c>
      <c r="K144" s="10"/>
      <c r="L144" s="10" t="s">
        <v>2457</v>
      </c>
      <c r="M144" s="11">
        <v>0</v>
      </c>
      <c r="N144" s="10" t="s">
        <v>18</v>
      </c>
      <c r="O144" s="42">
        <v>0</v>
      </c>
      <c r="P144" s="10" t="s">
        <v>2485</v>
      </c>
    </row>
    <row r="145" spans="1:16" x14ac:dyDescent="0.25">
      <c r="A145" s="5" t="s">
        <v>2425</v>
      </c>
      <c r="B145" s="22" t="s">
        <v>716</v>
      </c>
      <c r="C145" s="22" t="s">
        <v>2470</v>
      </c>
      <c r="D145" s="23" t="s">
        <v>2426</v>
      </c>
      <c r="E145" s="24" t="s">
        <v>2425</v>
      </c>
      <c r="F145" s="13">
        <v>44480</v>
      </c>
      <c r="G145" s="13">
        <v>44486</v>
      </c>
      <c r="H145" s="7">
        <v>-617</v>
      </c>
      <c r="I145" s="8"/>
      <c r="J145" s="9">
        <v>623</v>
      </c>
      <c r="K145" s="10"/>
      <c r="L145" s="10" t="s">
        <v>2457</v>
      </c>
      <c r="M145" s="11">
        <v>0</v>
      </c>
      <c r="N145" s="10" t="s">
        <v>18</v>
      </c>
      <c r="O145" s="42">
        <v>0</v>
      </c>
      <c r="P145" s="10" t="s">
        <v>2485</v>
      </c>
    </row>
    <row r="146" spans="1:16" x14ac:dyDescent="0.25">
      <c r="A146" s="5" t="s">
        <v>2443</v>
      </c>
      <c r="B146" s="22" t="s">
        <v>716</v>
      </c>
      <c r="C146" s="22" t="s">
        <v>2470</v>
      </c>
      <c r="D146" s="23" t="s">
        <v>2444</v>
      </c>
      <c r="E146" s="24" t="s">
        <v>2443</v>
      </c>
      <c r="F146" s="13">
        <v>44480</v>
      </c>
      <c r="G146" s="13">
        <v>44486</v>
      </c>
      <c r="H146" s="7">
        <v>-617</v>
      </c>
      <c r="I146" s="8"/>
      <c r="J146" s="9">
        <v>623</v>
      </c>
      <c r="K146" s="10"/>
      <c r="L146" s="10" t="s">
        <v>2457</v>
      </c>
      <c r="M146" s="11">
        <v>0</v>
      </c>
      <c r="N146" s="10" t="s">
        <v>18</v>
      </c>
      <c r="O146" s="42">
        <v>0</v>
      </c>
      <c r="P146" s="10" t="s">
        <v>2485</v>
      </c>
    </row>
    <row r="147" spans="1:16" x14ac:dyDescent="0.25">
      <c r="A147" s="5" t="s">
        <v>2445</v>
      </c>
      <c r="B147" s="22" t="s">
        <v>716</v>
      </c>
      <c r="C147" s="22" t="s">
        <v>735</v>
      </c>
      <c r="D147" s="23" t="s">
        <v>2446</v>
      </c>
      <c r="E147" s="24" t="s">
        <v>2445</v>
      </c>
      <c r="F147" s="13">
        <v>44480</v>
      </c>
      <c r="G147" s="13">
        <v>44486</v>
      </c>
      <c r="H147" s="7">
        <v>-617</v>
      </c>
      <c r="I147" s="8"/>
      <c r="J147" s="9">
        <v>623</v>
      </c>
      <c r="K147" s="10"/>
      <c r="L147" s="10" t="s">
        <v>2457</v>
      </c>
      <c r="M147" s="11">
        <v>0</v>
      </c>
      <c r="N147" s="10" t="s">
        <v>18</v>
      </c>
      <c r="O147" s="42">
        <v>0</v>
      </c>
      <c r="P147" s="10" t="s">
        <v>2485</v>
      </c>
    </row>
    <row r="148" spans="1:16" x14ac:dyDescent="0.25">
      <c r="A148" s="5" t="s">
        <v>2447</v>
      </c>
      <c r="B148" s="22" t="s">
        <v>716</v>
      </c>
      <c r="C148" s="22" t="s">
        <v>1450</v>
      </c>
      <c r="D148" s="23" t="s">
        <v>2448</v>
      </c>
      <c r="E148" s="24" t="s">
        <v>2447</v>
      </c>
      <c r="F148" s="13">
        <v>44480</v>
      </c>
      <c r="G148" s="13">
        <v>44486</v>
      </c>
      <c r="H148" s="7">
        <v>-617</v>
      </c>
      <c r="I148" s="8"/>
      <c r="J148" s="9">
        <v>623</v>
      </c>
      <c r="K148" s="10"/>
      <c r="L148" s="10" t="s">
        <v>2457</v>
      </c>
      <c r="M148" s="11">
        <v>0</v>
      </c>
      <c r="N148" s="10" t="s">
        <v>18</v>
      </c>
      <c r="O148" s="42">
        <v>0</v>
      </c>
      <c r="P148" s="10" t="s">
        <v>2485</v>
      </c>
    </row>
    <row r="149" spans="1:16" x14ac:dyDescent="0.25">
      <c r="A149" s="5" t="s">
        <v>2449</v>
      </c>
      <c r="B149" s="22" t="s">
        <v>716</v>
      </c>
      <c r="C149" s="22" t="s">
        <v>735</v>
      </c>
      <c r="D149" s="23" t="s">
        <v>2450</v>
      </c>
      <c r="E149" s="24" t="s">
        <v>2449</v>
      </c>
      <c r="F149" s="13">
        <v>44480</v>
      </c>
      <c r="G149" s="13">
        <v>44486</v>
      </c>
      <c r="H149" s="7">
        <v>-617</v>
      </c>
      <c r="I149" s="8"/>
      <c r="J149" s="9">
        <v>623</v>
      </c>
      <c r="K149" s="10"/>
      <c r="L149" s="10" t="s">
        <v>2457</v>
      </c>
      <c r="M149" s="11">
        <v>0</v>
      </c>
      <c r="N149" s="10" t="s">
        <v>18</v>
      </c>
      <c r="O149" s="42">
        <v>0</v>
      </c>
      <c r="P149" s="10" t="s">
        <v>2485</v>
      </c>
    </row>
    <row r="150" spans="1:16" x14ac:dyDescent="0.25">
      <c r="A150" s="5"/>
      <c r="B150" s="22"/>
      <c r="C150" s="22"/>
      <c r="D150" s="23"/>
      <c r="E150" s="24"/>
      <c r="F150" s="13"/>
      <c r="G150" s="13"/>
      <c r="H150" s="7"/>
      <c r="I150" s="8"/>
      <c r="J150" s="9"/>
      <c r="K150" s="10"/>
      <c r="L150" s="10"/>
      <c r="M150" s="11"/>
      <c r="N150" s="10"/>
      <c r="O150" s="42"/>
      <c r="P150" s="10"/>
    </row>
    <row r="151" spans="1:16" x14ac:dyDescent="0.25">
      <c r="A151" s="5"/>
      <c r="B151" s="22"/>
      <c r="C151" s="22"/>
      <c r="D151" s="23"/>
      <c r="E151" s="24"/>
      <c r="F151" s="13"/>
      <c r="G151" s="13"/>
      <c r="H151" s="7"/>
      <c r="I151" s="8"/>
      <c r="J151" s="9"/>
      <c r="K151" s="10"/>
      <c r="L151" s="10"/>
      <c r="M151" s="11"/>
      <c r="N151" s="10"/>
      <c r="O151" s="42"/>
      <c r="P151" s="10"/>
    </row>
    <row r="152" spans="1:16" x14ac:dyDescent="0.25">
      <c r="A152" s="5"/>
      <c r="B152" s="22"/>
      <c r="C152" s="22"/>
      <c r="D152" s="23"/>
      <c r="E152" s="24"/>
      <c r="F152" s="13"/>
      <c r="G152" s="13"/>
      <c r="H152" s="7"/>
      <c r="I152" s="8"/>
      <c r="J152" s="9"/>
      <c r="K152" s="17"/>
      <c r="L152" s="10"/>
      <c r="M152" s="11"/>
      <c r="N152" s="10"/>
      <c r="O152" s="42"/>
      <c r="P152" s="10"/>
    </row>
    <row r="153" spans="1:16" x14ac:dyDescent="0.25">
      <c r="A153" s="5"/>
      <c r="B153" s="22"/>
      <c r="C153" s="22"/>
      <c r="D153" s="23"/>
      <c r="E153" s="24"/>
      <c r="F153" s="13"/>
      <c r="G153" s="13"/>
      <c r="H153" s="7"/>
      <c r="I153" s="8"/>
      <c r="J153" s="9"/>
      <c r="K153" s="10"/>
      <c r="L153" s="10"/>
      <c r="M153" s="11"/>
      <c r="N153" s="10"/>
      <c r="O153" s="42"/>
      <c r="P153" s="10"/>
    </row>
    <row r="154" spans="1:16" x14ac:dyDescent="0.25">
      <c r="A154" s="5"/>
      <c r="B154" s="22"/>
      <c r="C154" s="22"/>
      <c r="D154" s="23"/>
      <c r="E154" s="24"/>
      <c r="F154" s="13"/>
      <c r="G154" s="13"/>
      <c r="H154" s="7"/>
      <c r="I154" s="8"/>
      <c r="J154" s="9"/>
      <c r="K154" s="10"/>
      <c r="L154" s="10"/>
      <c r="M154" s="11"/>
      <c r="N154" s="10"/>
      <c r="O154" s="42"/>
      <c r="P154" s="10"/>
    </row>
    <row r="155" spans="1:16" x14ac:dyDescent="0.25">
      <c r="A155" s="5"/>
      <c r="B155" s="22"/>
      <c r="C155" s="22"/>
      <c r="D155" s="23"/>
      <c r="E155" s="24"/>
      <c r="F155" s="13"/>
      <c r="G155" s="13"/>
      <c r="H155" s="7"/>
      <c r="I155" s="8"/>
      <c r="J155" s="9"/>
      <c r="K155" s="10"/>
      <c r="L155" s="10"/>
      <c r="M155" s="11"/>
      <c r="N155" s="10"/>
      <c r="O155" s="42"/>
      <c r="P155" s="10"/>
    </row>
    <row r="156" spans="1:16" x14ac:dyDescent="0.25">
      <c r="A156" s="5"/>
      <c r="B156" s="22"/>
      <c r="C156" s="22"/>
      <c r="D156" s="23"/>
      <c r="E156" s="24"/>
      <c r="F156" s="13"/>
      <c r="G156" s="13"/>
      <c r="H156" s="7"/>
      <c r="I156" s="8"/>
      <c r="J156" s="9"/>
      <c r="K156" s="10"/>
      <c r="L156" s="10"/>
      <c r="M156" s="11"/>
      <c r="N156" s="10"/>
      <c r="O156" s="42"/>
      <c r="P156" s="10"/>
    </row>
    <row r="157" spans="1:16" x14ac:dyDescent="0.25">
      <c r="A157" s="5"/>
      <c r="B157" s="22"/>
      <c r="C157" s="22"/>
      <c r="D157" s="23"/>
      <c r="E157" s="24"/>
      <c r="F157" s="13"/>
      <c r="G157" s="13"/>
      <c r="H157" s="7"/>
      <c r="I157" s="8"/>
      <c r="J157" s="9"/>
      <c r="K157" s="10"/>
      <c r="L157" s="10"/>
      <c r="M157" s="11"/>
      <c r="N157" s="10"/>
      <c r="O157" s="42"/>
      <c r="P157" s="10"/>
    </row>
    <row r="158" spans="1:16" x14ac:dyDescent="0.25">
      <c r="A158" s="5"/>
      <c r="B158" s="22"/>
      <c r="C158" s="22"/>
      <c r="D158" s="23"/>
      <c r="E158" s="24"/>
      <c r="F158" s="13"/>
      <c r="G158" s="13"/>
      <c r="H158" s="7"/>
      <c r="I158" s="8"/>
      <c r="J158" s="9"/>
      <c r="K158" s="10"/>
      <c r="L158" s="10"/>
      <c r="M158" s="11"/>
      <c r="N158" s="10"/>
      <c r="O158" s="42"/>
      <c r="P158" s="10"/>
    </row>
    <row r="159" spans="1:16" x14ac:dyDescent="0.25">
      <c r="A159" s="5"/>
      <c r="B159" s="22"/>
      <c r="C159" s="22"/>
      <c r="D159" s="23"/>
      <c r="E159" s="24"/>
      <c r="F159" s="13"/>
      <c r="G159" s="13"/>
      <c r="H159" s="7"/>
      <c r="I159" s="8"/>
      <c r="J159" s="9"/>
      <c r="K159" s="10"/>
      <c r="L159" s="10"/>
      <c r="M159" s="11"/>
      <c r="N159" s="10"/>
      <c r="O159" s="42"/>
      <c r="P159" s="10"/>
    </row>
    <row r="160" spans="1:16" x14ac:dyDescent="0.25">
      <c r="A160" s="5"/>
      <c r="B160" s="22"/>
      <c r="C160" s="22"/>
      <c r="D160" s="23"/>
      <c r="E160" s="24"/>
      <c r="F160" s="13"/>
      <c r="G160" s="13"/>
      <c r="H160" s="7"/>
      <c r="I160" s="8"/>
      <c r="J160" s="9"/>
      <c r="K160" s="10"/>
      <c r="L160" s="10"/>
      <c r="M160" s="11"/>
      <c r="N160" s="10"/>
      <c r="O160" s="42"/>
      <c r="P160" s="10"/>
    </row>
    <row r="161" spans="1:16" x14ac:dyDescent="0.25">
      <c r="A161" s="5"/>
      <c r="B161" s="22"/>
      <c r="C161" s="22"/>
      <c r="D161" s="23"/>
      <c r="E161" s="24"/>
      <c r="F161" s="13"/>
      <c r="G161" s="13"/>
      <c r="H161" s="7"/>
      <c r="I161" s="8"/>
      <c r="J161" s="9"/>
      <c r="K161" s="10"/>
      <c r="L161" s="10"/>
      <c r="M161" s="11"/>
      <c r="N161" s="10"/>
      <c r="O161" s="42"/>
      <c r="P161" s="10"/>
    </row>
    <row r="162" spans="1:16" x14ac:dyDescent="0.25">
      <c r="A162" s="5"/>
      <c r="B162" s="22"/>
      <c r="C162" s="22"/>
      <c r="D162" s="23"/>
      <c r="E162" s="24"/>
      <c r="F162" s="13"/>
      <c r="G162" s="13"/>
      <c r="H162" s="7"/>
      <c r="I162" s="8"/>
      <c r="J162" s="9"/>
      <c r="K162" s="10"/>
      <c r="L162" s="10"/>
      <c r="M162" s="11"/>
      <c r="N162" s="10"/>
      <c r="O162" s="42"/>
      <c r="P162" s="10"/>
    </row>
    <row r="163" spans="1:16" x14ac:dyDescent="0.25">
      <c r="A163" s="16"/>
      <c r="B163" s="22"/>
      <c r="C163" s="22"/>
      <c r="D163" s="23"/>
      <c r="E163" s="24"/>
      <c r="F163" s="13"/>
      <c r="G163" s="13"/>
      <c r="H163" s="7"/>
      <c r="I163" s="8"/>
      <c r="J163" s="9"/>
      <c r="K163" s="10"/>
      <c r="L163" s="10"/>
      <c r="M163" s="11"/>
      <c r="N163" s="10"/>
      <c r="O163" s="42"/>
      <c r="P163" s="10"/>
    </row>
    <row r="164" spans="1:16" x14ac:dyDescent="0.25">
      <c r="A164" s="16"/>
      <c r="B164" s="22"/>
      <c r="C164" s="22"/>
      <c r="D164" s="23"/>
      <c r="E164" s="24"/>
      <c r="F164" s="13"/>
      <c r="G164" s="13"/>
      <c r="H164" s="7"/>
      <c r="I164" s="8"/>
      <c r="J164" s="9"/>
      <c r="K164" s="10"/>
      <c r="L164" s="10"/>
      <c r="M164" s="11"/>
      <c r="N164" s="10"/>
      <c r="O164" s="42"/>
      <c r="P164" s="10"/>
    </row>
    <row r="165" spans="1:16" x14ac:dyDescent="0.25">
      <c r="A165" s="16"/>
      <c r="B165" s="22"/>
      <c r="C165" s="22"/>
      <c r="D165" s="23"/>
      <c r="E165" s="24"/>
      <c r="F165" s="13"/>
      <c r="G165" s="13"/>
      <c r="H165" s="7"/>
      <c r="I165" s="8"/>
      <c r="J165" s="9"/>
      <c r="K165" s="10"/>
      <c r="L165" s="10"/>
      <c r="M165" s="11"/>
      <c r="N165" s="10"/>
      <c r="O165" s="42"/>
      <c r="P165" s="10"/>
    </row>
    <row r="166" spans="1:16" x14ac:dyDescent="0.25">
      <c r="A166" s="16"/>
      <c r="B166" s="22"/>
      <c r="C166" s="22"/>
      <c r="D166" s="23"/>
      <c r="E166" s="24"/>
      <c r="F166" s="13"/>
      <c r="G166" s="13"/>
      <c r="H166" s="7"/>
      <c r="I166" s="8"/>
      <c r="J166" s="9"/>
      <c r="K166" s="10"/>
      <c r="L166" s="10"/>
      <c r="M166" s="11"/>
      <c r="N166" s="10"/>
      <c r="O166" s="42"/>
      <c r="P166" s="10"/>
    </row>
    <row r="167" spans="1:16" x14ac:dyDescent="0.25">
      <c r="A167" s="16"/>
      <c r="B167" s="22"/>
      <c r="C167" s="22"/>
      <c r="D167" s="23"/>
      <c r="E167" s="24"/>
      <c r="F167" s="13"/>
      <c r="G167" s="13"/>
      <c r="H167" s="7"/>
      <c r="I167" s="8"/>
      <c r="J167" s="9"/>
      <c r="K167" s="10"/>
      <c r="L167" s="10"/>
      <c r="M167" s="11"/>
      <c r="N167" s="10"/>
      <c r="O167" s="42"/>
      <c r="P167" s="10"/>
    </row>
    <row r="168" spans="1:16" x14ac:dyDescent="0.25">
      <c r="A168" s="5"/>
      <c r="B168" s="22"/>
      <c r="C168" s="22"/>
      <c r="D168" s="23"/>
      <c r="E168" s="24"/>
      <c r="F168" s="13"/>
      <c r="G168" s="13"/>
      <c r="H168" s="7"/>
      <c r="I168" s="8"/>
      <c r="J168" s="9"/>
      <c r="K168" s="10"/>
      <c r="L168" s="10"/>
      <c r="M168" s="11"/>
      <c r="N168" s="10"/>
      <c r="O168" s="42"/>
      <c r="P168" s="10"/>
    </row>
    <row r="169" spans="1:16" x14ac:dyDescent="0.25">
      <c r="A169" s="5"/>
      <c r="B169" s="22"/>
      <c r="C169" s="22"/>
      <c r="D169" s="23"/>
      <c r="E169" s="24"/>
      <c r="F169" s="13"/>
      <c r="G169" s="13"/>
      <c r="H169" s="7"/>
      <c r="I169" s="8"/>
      <c r="J169" s="9"/>
      <c r="K169" s="10"/>
      <c r="L169" s="10"/>
      <c r="M169" s="11"/>
      <c r="N169" s="10"/>
      <c r="O169" s="42"/>
      <c r="P169" s="10"/>
    </row>
    <row r="170" spans="1:16" x14ac:dyDescent="0.25">
      <c r="A170" s="5"/>
      <c r="B170" s="22"/>
      <c r="C170" s="22"/>
      <c r="D170" s="23"/>
      <c r="E170" s="24"/>
      <c r="F170" s="13"/>
      <c r="G170" s="13"/>
      <c r="H170" s="7"/>
      <c r="I170" s="8"/>
      <c r="J170" s="9"/>
      <c r="K170" s="10"/>
      <c r="L170" s="10"/>
      <c r="M170" s="11"/>
      <c r="N170" s="10"/>
      <c r="O170" s="42"/>
      <c r="P170" s="10"/>
    </row>
    <row r="171" spans="1:16" x14ac:dyDescent="0.25">
      <c r="A171" s="5"/>
      <c r="B171" s="22"/>
      <c r="C171" s="22"/>
      <c r="D171" s="23"/>
      <c r="E171" s="24"/>
      <c r="F171" s="13"/>
      <c r="G171" s="13"/>
      <c r="H171" s="7"/>
      <c r="I171" s="8"/>
      <c r="J171" s="9"/>
      <c r="K171" s="10"/>
      <c r="L171" s="10"/>
      <c r="M171" s="11"/>
      <c r="N171" s="10"/>
      <c r="O171" s="42"/>
      <c r="P171" s="10"/>
    </row>
    <row r="172" spans="1:16" x14ac:dyDescent="0.25">
      <c r="A172" s="5"/>
      <c r="B172" s="22"/>
      <c r="C172" s="22"/>
      <c r="D172" s="23"/>
      <c r="E172" s="24"/>
      <c r="F172" s="13"/>
      <c r="G172" s="13"/>
      <c r="H172" s="7"/>
      <c r="I172" s="8"/>
      <c r="J172" s="9"/>
      <c r="K172" s="10"/>
      <c r="L172" s="10"/>
      <c r="M172" s="11"/>
      <c r="N172" s="10"/>
      <c r="O172" s="42"/>
      <c r="P172" s="10"/>
    </row>
    <row r="173" spans="1:16" x14ac:dyDescent="0.25">
      <c r="A173" s="5"/>
      <c r="B173" s="22"/>
      <c r="C173" s="22"/>
      <c r="D173" s="23"/>
      <c r="E173" s="24"/>
      <c r="F173" s="13"/>
      <c r="G173" s="13"/>
      <c r="H173" s="7"/>
      <c r="I173" s="8"/>
      <c r="J173" s="9"/>
      <c r="K173" s="10"/>
      <c r="L173" s="10"/>
      <c r="M173" s="11"/>
      <c r="N173" s="10"/>
      <c r="O173" s="42"/>
      <c r="P173" s="10"/>
    </row>
    <row r="174" spans="1:16" x14ac:dyDescent="0.25">
      <c r="A174" s="5"/>
      <c r="B174" s="22"/>
      <c r="C174" s="22"/>
      <c r="D174" s="23"/>
      <c r="E174" s="24"/>
      <c r="F174" s="13"/>
      <c r="G174" s="13"/>
      <c r="H174" s="7"/>
      <c r="I174" s="8"/>
      <c r="J174" s="9"/>
      <c r="K174" s="10"/>
      <c r="L174" s="10"/>
      <c r="M174" s="11"/>
      <c r="N174" s="10"/>
      <c r="O174" s="42"/>
      <c r="P174" s="10"/>
    </row>
    <row r="175" spans="1:16" x14ac:dyDescent="0.25">
      <c r="A175" s="5"/>
      <c r="B175" s="22"/>
      <c r="C175" s="22"/>
      <c r="D175" s="23"/>
      <c r="E175" s="24"/>
      <c r="F175" s="13"/>
      <c r="G175" s="13"/>
      <c r="H175" s="7"/>
      <c r="I175" s="8"/>
      <c r="J175" s="9"/>
      <c r="K175" s="10"/>
      <c r="L175" s="10"/>
      <c r="M175" s="11"/>
      <c r="N175" s="10"/>
      <c r="O175" s="42"/>
      <c r="P175" s="10"/>
    </row>
    <row r="176" spans="1:16" x14ac:dyDescent="0.25">
      <c r="A176" s="5"/>
      <c r="B176" s="22"/>
      <c r="C176" s="22"/>
      <c r="D176" s="23"/>
      <c r="E176" s="24"/>
      <c r="F176" s="13"/>
      <c r="G176" s="13"/>
      <c r="H176" s="7"/>
      <c r="I176" s="8"/>
      <c r="J176" s="9"/>
      <c r="K176" s="10"/>
      <c r="L176" s="10"/>
      <c r="M176" s="11"/>
      <c r="N176" s="10"/>
      <c r="O176" s="42"/>
      <c r="P176" s="10"/>
    </row>
    <row r="177" spans="1:16" x14ac:dyDescent="0.25">
      <c r="A177" s="5"/>
      <c r="B177" s="22"/>
      <c r="C177" s="22"/>
      <c r="D177" s="23"/>
      <c r="E177" s="24"/>
      <c r="F177" s="13"/>
      <c r="G177" s="13"/>
      <c r="H177" s="7"/>
      <c r="I177" s="8"/>
      <c r="J177" s="9"/>
      <c r="K177" s="10"/>
      <c r="L177" s="10"/>
      <c r="M177" s="11"/>
      <c r="N177" s="10"/>
      <c r="O177" s="42"/>
      <c r="P177" s="10"/>
    </row>
    <row r="178" spans="1:16" x14ac:dyDescent="0.25">
      <c r="A178" s="5"/>
      <c r="B178" s="22"/>
      <c r="C178" s="22"/>
      <c r="D178" s="23"/>
      <c r="E178" s="24"/>
      <c r="F178" s="13"/>
      <c r="G178" s="13"/>
      <c r="H178" s="7"/>
      <c r="I178" s="8"/>
      <c r="J178" s="9"/>
      <c r="K178" s="10"/>
      <c r="L178" s="10"/>
      <c r="M178" s="11"/>
      <c r="N178" s="10"/>
      <c r="O178" s="42"/>
      <c r="P178" s="10"/>
    </row>
    <row r="179" spans="1:16" x14ac:dyDescent="0.25">
      <c r="A179" s="5"/>
      <c r="B179" s="22"/>
      <c r="C179" s="22"/>
      <c r="D179" s="23"/>
      <c r="E179" s="24"/>
      <c r="F179" s="13"/>
      <c r="G179" s="13"/>
      <c r="H179" s="7"/>
      <c r="I179" s="8"/>
      <c r="J179" s="9"/>
      <c r="K179" s="10"/>
      <c r="L179" s="10"/>
      <c r="M179" s="11"/>
      <c r="N179" s="10"/>
      <c r="O179" s="42"/>
      <c r="P179" s="10"/>
    </row>
    <row r="180" spans="1:16" x14ac:dyDescent="0.25">
      <c r="A180" s="5"/>
      <c r="B180" s="22"/>
      <c r="C180" s="22"/>
      <c r="D180" s="23"/>
      <c r="E180" s="24"/>
      <c r="F180" s="13"/>
      <c r="G180" s="13"/>
      <c r="H180" s="7"/>
      <c r="I180" s="8"/>
      <c r="J180" s="9"/>
      <c r="K180" s="10"/>
      <c r="L180" s="10"/>
      <c r="M180" s="11"/>
      <c r="N180" s="10"/>
      <c r="O180" s="42"/>
      <c r="P180" s="10"/>
    </row>
    <row r="181" spans="1:16" x14ac:dyDescent="0.25">
      <c r="A181" s="5"/>
      <c r="B181" s="22"/>
      <c r="C181" s="22"/>
      <c r="D181" s="23"/>
      <c r="E181" s="24"/>
      <c r="F181" s="13"/>
      <c r="G181" s="13"/>
      <c r="H181" s="7"/>
      <c r="I181" s="8"/>
      <c r="J181" s="9"/>
      <c r="K181" s="10"/>
      <c r="L181" s="10"/>
      <c r="M181" s="11"/>
      <c r="N181" s="10"/>
      <c r="O181" s="42"/>
      <c r="P181" s="10"/>
    </row>
    <row r="182" spans="1:16" x14ac:dyDescent="0.25">
      <c r="A182" s="5"/>
      <c r="B182" s="22"/>
      <c r="C182" s="22"/>
      <c r="D182" s="23"/>
      <c r="E182" s="24"/>
      <c r="F182" s="13"/>
      <c r="G182" s="13"/>
      <c r="H182" s="7"/>
      <c r="I182" s="8"/>
      <c r="J182" s="9"/>
      <c r="K182" s="10"/>
      <c r="L182" s="10"/>
      <c r="M182" s="11"/>
      <c r="N182" s="10"/>
      <c r="O182" s="42"/>
      <c r="P182" s="10"/>
    </row>
    <row r="183" spans="1:16" x14ac:dyDescent="0.25">
      <c r="A183" s="5"/>
      <c r="B183" s="22"/>
      <c r="C183" s="22"/>
      <c r="D183" s="23"/>
      <c r="E183" s="24"/>
      <c r="F183" s="13"/>
      <c r="G183" s="13"/>
      <c r="H183" s="7"/>
      <c r="I183" s="8"/>
      <c r="J183" s="9"/>
      <c r="K183" s="10"/>
      <c r="L183" s="10"/>
      <c r="M183" s="11"/>
      <c r="N183" s="10"/>
      <c r="O183" s="42"/>
      <c r="P183" s="10"/>
    </row>
    <row r="184" spans="1:16" x14ac:dyDescent="0.25">
      <c r="A184" s="5"/>
      <c r="B184" s="22"/>
      <c r="C184" s="22"/>
      <c r="D184" s="23"/>
      <c r="E184" s="24"/>
      <c r="F184" s="13"/>
      <c r="G184" s="13"/>
      <c r="H184" s="7"/>
      <c r="I184" s="8"/>
      <c r="J184" s="9"/>
      <c r="K184" s="10"/>
      <c r="L184" s="10"/>
      <c r="M184" s="11"/>
      <c r="N184" s="10"/>
      <c r="O184" s="42"/>
      <c r="P184" s="10"/>
    </row>
    <row r="185" spans="1:16" x14ac:dyDescent="0.25">
      <c r="A185" s="5"/>
      <c r="B185" s="22"/>
      <c r="C185" s="22"/>
      <c r="D185" s="23"/>
      <c r="E185" s="24"/>
      <c r="F185" s="13"/>
      <c r="G185" s="13"/>
      <c r="H185" s="7"/>
      <c r="I185" s="8"/>
      <c r="J185" s="9"/>
      <c r="K185" s="10"/>
      <c r="L185" s="10"/>
      <c r="M185" s="11"/>
      <c r="N185" s="10"/>
      <c r="O185" s="42"/>
      <c r="P185" s="10"/>
    </row>
    <row r="186" spans="1:16" x14ac:dyDescent="0.25">
      <c r="A186" s="5"/>
      <c r="B186" s="22"/>
      <c r="C186" s="22"/>
      <c r="D186" s="23"/>
      <c r="E186" s="24"/>
      <c r="F186" s="13"/>
      <c r="G186" s="13"/>
      <c r="H186" s="7"/>
      <c r="I186" s="8"/>
      <c r="J186" s="9"/>
      <c r="K186" s="10"/>
      <c r="L186" s="10"/>
      <c r="M186" s="11"/>
      <c r="N186" s="10"/>
      <c r="O186" s="42"/>
      <c r="P186" s="10"/>
    </row>
    <row r="187" spans="1:16" x14ac:dyDescent="0.25">
      <c r="A187" s="5"/>
      <c r="B187" s="22"/>
      <c r="C187" s="22"/>
      <c r="D187" s="23"/>
      <c r="E187" s="24"/>
      <c r="F187" s="13"/>
      <c r="G187" s="13"/>
      <c r="H187" s="7"/>
      <c r="I187" s="8"/>
      <c r="J187" s="9"/>
      <c r="K187" s="10"/>
      <c r="L187" s="10"/>
      <c r="M187" s="11"/>
      <c r="N187" s="10"/>
      <c r="O187" s="42"/>
      <c r="P187" s="10"/>
    </row>
    <row r="188" spans="1:16" x14ac:dyDescent="0.25">
      <c r="A188" s="5"/>
      <c r="B188" s="22"/>
      <c r="C188" s="22"/>
      <c r="D188" s="23"/>
      <c r="E188" s="24"/>
      <c r="F188" s="13"/>
      <c r="G188" s="13"/>
      <c r="H188" s="7"/>
      <c r="I188" s="8"/>
      <c r="J188" s="9"/>
      <c r="K188" s="10"/>
      <c r="L188" s="10"/>
      <c r="M188" s="11"/>
      <c r="N188" s="10"/>
      <c r="O188" s="42"/>
      <c r="P188" s="10"/>
    </row>
    <row r="189" spans="1:16" x14ac:dyDescent="0.25">
      <c r="A189" s="5"/>
      <c r="B189" s="22"/>
      <c r="C189" s="22"/>
      <c r="D189" s="23"/>
      <c r="E189" s="24"/>
      <c r="F189" s="13"/>
      <c r="G189" s="13"/>
      <c r="H189" s="7"/>
      <c r="I189" s="8"/>
      <c r="J189" s="9"/>
      <c r="K189" s="10"/>
      <c r="L189" s="10"/>
      <c r="M189" s="11"/>
      <c r="N189" s="10"/>
      <c r="O189" s="42"/>
      <c r="P189" s="10"/>
    </row>
    <row r="190" spans="1:16" x14ac:dyDescent="0.25">
      <c r="A190" s="5"/>
      <c r="B190" s="22"/>
      <c r="C190" s="22"/>
      <c r="D190" s="23"/>
      <c r="E190" s="24"/>
      <c r="F190" s="13"/>
      <c r="G190" s="13"/>
      <c r="H190" s="7"/>
      <c r="I190" s="8"/>
      <c r="J190" s="9"/>
      <c r="K190" s="10"/>
      <c r="L190" s="10"/>
      <c r="M190" s="11"/>
      <c r="N190" s="10"/>
      <c r="O190" s="42"/>
      <c r="P190" s="10"/>
    </row>
    <row r="191" spans="1:16" x14ac:dyDescent="0.25">
      <c r="A191" s="5"/>
      <c r="B191" s="22"/>
      <c r="C191" s="22"/>
      <c r="D191" s="23"/>
      <c r="E191" s="24"/>
      <c r="F191" s="13"/>
      <c r="G191" s="13"/>
      <c r="H191" s="7"/>
      <c r="I191" s="8"/>
      <c r="J191" s="9"/>
      <c r="K191" s="10"/>
      <c r="L191" s="10"/>
      <c r="M191" s="11"/>
      <c r="N191" s="10"/>
      <c r="O191" s="42"/>
      <c r="P191" s="10"/>
    </row>
    <row r="192" spans="1:16" x14ac:dyDescent="0.25">
      <c r="A192" s="5"/>
      <c r="B192" s="22"/>
      <c r="C192" s="22"/>
      <c r="D192" s="23"/>
      <c r="E192" s="24"/>
      <c r="F192" s="13"/>
      <c r="G192" s="13"/>
      <c r="H192" s="7"/>
      <c r="I192" s="8"/>
      <c r="J192" s="9"/>
      <c r="K192" s="10"/>
      <c r="L192" s="10"/>
      <c r="M192" s="11"/>
      <c r="N192" s="10"/>
      <c r="O192" s="42"/>
      <c r="P192" s="10"/>
    </row>
    <row r="193" spans="1:16" x14ac:dyDescent="0.25">
      <c r="A193" s="5"/>
      <c r="B193" s="22"/>
      <c r="C193" s="22"/>
      <c r="D193" s="23"/>
      <c r="E193" s="24"/>
      <c r="F193" s="13"/>
      <c r="G193" s="13"/>
      <c r="H193" s="7"/>
      <c r="I193" s="8"/>
      <c r="J193" s="9"/>
      <c r="K193" s="10"/>
      <c r="L193" s="10"/>
      <c r="M193" s="11"/>
      <c r="N193" s="10"/>
      <c r="O193" s="42"/>
      <c r="P193" s="10"/>
    </row>
    <row r="194" spans="1:16" x14ac:dyDescent="0.25">
      <c r="A194" s="5"/>
      <c r="B194" s="22"/>
      <c r="C194" s="22"/>
      <c r="D194" s="23"/>
      <c r="E194" s="24"/>
      <c r="F194" s="13"/>
      <c r="G194" s="13"/>
      <c r="H194" s="7"/>
      <c r="I194" s="8"/>
      <c r="J194" s="9"/>
      <c r="K194" s="10"/>
      <c r="L194" s="10"/>
      <c r="M194" s="11"/>
      <c r="N194" s="10"/>
      <c r="O194" s="42"/>
      <c r="P194" s="10"/>
    </row>
    <row r="195" spans="1:16" x14ac:dyDescent="0.25">
      <c r="A195" s="5"/>
      <c r="B195" s="22"/>
      <c r="C195" s="22"/>
      <c r="D195" s="23"/>
      <c r="E195" s="24"/>
      <c r="F195" s="13"/>
      <c r="G195" s="13"/>
      <c r="H195" s="7"/>
      <c r="I195" s="8"/>
      <c r="J195" s="9"/>
      <c r="K195" s="10"/>
      <c r="L195" s="10"/>
      <c r="M195" s="11"/>
      <c r="N195" s="10"/>
      <c r="O195" s="42"/>
      <c r="P195" s="10"/>
    </row>
    <row r="196" spans="1:16" x14ac:dyDescent="0.25">
      <c r="A196" s="5"/>
      <c r="B196" s="22"/>
      <c r="C196" s="22"/>
      <c r="D196" s="23"/>
      <c r="E196" s="24"/>
      <c r="F196" s="13"/>
      <c r="G196" s="13"/>
      <c r="H196" s="7"/>
      <c r="I196" s="8"/>
      <c r="J196" s="9"/>
      <c r="K196" s="10"/>
      <c r="L196" s="10"/>
      <c r="M196" s="11"/>
      <c r="N196" s="10"/>
      <c r="O196" s="42"/>
      <c r="P196" s="10"/>
    </row>
    <row r="197" spans="1:16" x14ac:dyDescent="0.25">
      <c r="A197" s="5"/>
      <c r="B197" s="22"/>
      <c r="C197" s="22"/>
      <c r="D197" s="23"/>
      <c r="E197" s="24"/>
      <c r="F197" s="13"/>
      <c r="G197" s="13"/>
      <c r="H197" s="7"/>
      <c r="I197" s="8"/>
      <c r="J197" s="9"/>
      <c r="K197" s="10"/>
      <c r="L197" s="10"/>
      <c r="M197" s="11"/>
      <c r="N197" s="10"/>
      <c r="O197" s="42"/>
      <c r="P197" s="10"/>
    </row>
    <row r="198" spans="1:16" x14ac:dyDescent="0.25">
      <c r="A198" s="5"/>
      <c r="B198" s="22"/>
      <c r="C198" s="22"/>
      <c r="D198" s="23"/>
      <c r="E198" s="24"/>
      <c r="F198" s="13"/>
      <c r="G198" s="13"/>
      <c r="H198" s="7"/>
      <c r="I198" s="8"/>
      <c r="J198" s="9"/>
      <c r="K198" s="10"/>
      <c r="L198" s="10"/>
      <c r="M198" s="11"/>
      <c r="N198" s="10"/>
      <c r="O198" s="42"/>
      <c r="P198" s="10"/>
    </row>
    <row r="199" spans="1:16" x14ac:dyDescent="0.25">
      <c r="A199" s="5"/>
      <c r="B199" s="22"/>
      <c r="C199" s="22"/>
      <c r="D199" s="23"/>
      <c r="E199" s="24"/>
      <c r="F199" s="13"/>
      <c r="G199" s="13"/>
      <c r="H199" s="7"/>
      <c r="I199" s="8"/>
      <c r="J199" s="9"/>
      <c r="K199" s="10"/>
      <c r="L199" s="10"/>
      <c r="M199" s="11"/>
      <c r="N199" s="10"/>
      <c r="O199" s="42"/>
      <c r="P199" s="10"/>
    </row>
    <row r="200" spans="1:16" x14ac:dyDescent="0.25">
      <c r="A200" s="5"/>
      <c r="B200" s="22"/>
      <c r="C200" s="22"/>
      <c r="D200" s="23"/>
      <c r="E200" s="24"/>
      <c r="F200" s="13"/>
      <c r="G200" s="13"/>
      <c r="H200" s="7"/>
      <c r="I200" s="8"/>
      <c r="J200" s="9"/>
      <c r="K200" s="10"/>
      <c r="L200" s="10"/>
      <c r="M200" s="11"/>
      <c r="N200" s="10"/>
      <c r="O200" s="42"/>
      <c r="P200" s="10"/>
    </row>
    <row r="201" spans="1:16" x14ac:dyDescent="0.25">
      <c r="A201" s="5"/>
      <c r="B201" s="22"/>
      <c r="C201" s="22"/>
      <c r="D201" s="23"/>
      <c r="E201" s="24"/>
      <c r="F201" s="13"/>
      <c r="G201" s="13"/>
      <c r="H201" s="7"/>
      <c r="I201" s="8"/>
      <c r="J201" s="9"/>
      <c r="K201" s="10"/>
      <c r="L201" s="10"/>
      <c r="M201" s="11"/>
      <c r="N201" s="10"/>
      <c r="O201" s="42"/>
      <c r="P201" s="10"/>
    </row>
    <row r="202" spans="1:16" x14ac:dyDescent="0.25">
      <c r="A202" s="5"/>
      <c r="B202" s="22"/>
      <c r="C202" s="22"/>
      <c r="D202" s="23"/>
      <c r="E202" s="24"/>
      <c r="F202" s="13"/>
      <c r="G202" s="13"/>
      <c r="H202" s="7"/>
      <c r="I202" s="8"/>
      <c r="J202" s="9"/>
      <c r="K202" s="10"/>
      <c r="L202" s="10"/>
      <c r="M202" s="11"/>
      <c r="N202" s="10"/>
      <c r="O202" s="42"/>
      <c r="P202" s="10"/>
    </row>
    <row r="203" spans="1:16" x14ac:dyDescent="0.25">
      <c r="A203" s="26"/>
      <c r="B203" s="22"/>
      <c r="C203" s="22"/>
      <c r="D203" s="23"/>
      <c r="E203" s="24"/>
      <c r="F203" s="6"/>
      <c r="G203" s="13"/>
      <c r="H203" s="7"/>
      <c r="I203" s="8"/>
      <c r="J203" s="9"/>
      <c r="K203" s="10"/>
      <c r="L203" s="10"/>
      <c r="M203" s="11"/>
      <c r="N203" s="10"/>
      <c r="O203" s="42"/>
      <c r="P203" s="10"/>
    </row>
    <row r="204" spans="1:16" x14ac:dyDescent="0.25">
      <c r="A204" s="5"/>
      <c r="B204" s="22"/>
      <c r="C204" s="22"/>
      <c r="D204" s="23"/>
      <c r="E204" s="24"/>
      <c r="F204" s="6"/>
      <c r="G204" s="13"/>
      <c r="H204" s="7"/>
      <c r="I204" s="8"/>
      <c r="J204" s="9"/>
      <c r="K204" s="10"/>
      <c r="L204" s="10"/>
      <c r="M204" s="11"/>
      <c r="N204" s="10"/>
      <c r="O204" s="42"/>
      <c r="P204" s="10"/>
    </row>
    <row r="205" spans="1:16" x14ac:dyDescent="0.25">
      <c r="A205" s="16"/>
      <c r="B205" s="22"/>
      <c r="C205" s="22"/>
      <c r="D205" s="23"/>
      <c r="E205" s="24"/>
      <c r="F205" s="6"/>
      <c r="G205" s="13"/>
      <c r="H205" s="7"/>
      <c r="I205" s="8"/>
      <c r="J205" s="9"/>
      <c r="K205" s="10"/>
      <c r="L205" s="10"/>
      <c r="M205" s="11"/>
      <c r="N205" s="10"/>
      <c r="O205" s="42"/>
      <c r="P205" s="10"/>
    </row>
    <row r="206" spans="1:16" x14ac:dyDescent="0.25">
      <c r="A206" s="5"/>
      <c r="B206" s="22"/>
      <c r="C206" s="22"/>
      <c r="D206" s="23"/>
      <c r="E206" s="24"/>
      <c r="F206" s="13"/>
      <c r="G206" s="13"/>
      <c r="H206" s="7"/>
      <c r="I206" s="8"/>
      <c r="J206" s="9"/>
      <c r="K206" s="10"/>
      <c r="L206" s="10"/>
      <c r="M206" s="11"/>
      <c r="N206" s="10"/>
      <c r="O206" s="42"/>
      <c r="P206" s="10"/>
    </row>
    <row r="207" spans="1:16" x14ac:dyDescent="0.25">
      <c r="A207" s="5"/>
      <c r="B207" s="22"/>
      <c r="C207" s="22"/>
      <c r="D207" s="23"/>
      <c r="E207" s="24"/>
      <c r="F207" s="13"/>
      <c r="G207" s="13"/>
      <c r="H207" s="7"/>
      <c r="I207" s="8"/>
      <c r="J207" s="9"/>
      <c r="K207" s="10"/>
      <c r="L207" s="10"/>
      <c r="M207" s="11"/>
      <c r="N207" s="10"/>
      <c r="O207" s="42"/>
      <c r="P207" s="10"/>
    </row>
    <row r="208" spans="1:16" x14ac:dyDescent="0.25">
      <c r="A208" s="5"/>
      <c r="B208" s="22"/>
      <c r="C208" s="22"/>
      <c r="D208" s="23"/>
      <c r="E208" s="24"/>
      <c r="F208" s="13"/>
      <c r="G208" s="13"/>
      <c r="H208" s="7"/>
      <c r="I208" s="8"/>
      <c r="J208" s="9"/>
      <c r="K208" s="10"/>
      <c r="L208" s="10"/>
      <c r="M208" s="11"/>
      <c r="N208" s="10"/>
      <c r="O208" s="42"/>
      <c r="P208" s="10"/>
    </row>
    <row r="209" spans="1:16" x14ac:dyDescent="0.25">
      <c r="A209" s="5"/>
      <c r="B209" s="22"/>
      <c r="C209" s="22"/>
      <c r="D209" s="23"/>
      <c r="E209" s="24"/>
      <c r="F209" s="13"/>
      <c r="G209" s="13"/>
      <c r="H209" s="7"/>
      <c r="I209" s="8"/>
      <c r="J209" s="9"/>
      <c r="K209" s="10"/>
      <c r="L209" s="10"/>
      <c r="M209" s="11"/>
      <c r="N209" s="10"/>
      <c r="O209" s="42"/>
      <c r="P209" s="10"/>
    </row>
    <row r="210" spans="1:16" x14ac:dyDescent="0.25">
      <c r="A210" s="5"/>
      <c r="B210" s="22"/>
      <c r="C210" s="22"/>
      <c r="D210" s="23"/>
      <c r="E210" s="24"/>
      <c r="F210" s="13"/>
      <c r="G210" s="13"/>
      <c r="H210" s="7"/>
      <c r="I210" s="8"/>
      <c r="J210" s="9"/>
      <c r="K210" s="10"/>
      <c r="L210" s="10"/>
      <c r="M210" s="11"/>
      <c r="N210" s="10"/>
      <c r="O210" s="42"/>
      <c r="P210" s="10"/>
    </row>
    <row r="211" spans="1:16" x14ac:dyDescent="0.25">
      <c r="A211" s="16"/>
      <c r="B211" s="22"/>
      <c r="C211" s="22"/>
      <c r="D211" s="23"/>
      <c r="E211" s="24"/>
      <c r="F211" s="6"/>
      <c r="G211" s="13"/>
      <c r="H211" s="7"/>
      <c r="I211" s="8"/>
      <c r="J211" s="9"/>
      <c r="K211" s="10"/>
      <c r="L211" s="10"/>
      <c r="M211" s="11"/>
      <c r="N211" s="10"/>
      <c r="O211" s="42"/>
      <c r="P211" s="10"/>
    </row>
    <row r="212" spans="1:16" x14ac:dyDescent="0.25">
      <c r="A212" s="16"/>
      <c r="B212" s="22"/>
      <c r="C212" s="22"/>
      <c r="D212" s="23"/>
      <c r="E212" s="24"/>
      <c r="F212" s="6"/>
      <c r="G212" s="13"/>
      <c r="H212" s="7"/>
      <c r="I212" s="8"/>
      <c r="J212" s="9"/>
      <c r="K212" s="10"/>
      <c r="L212" s="10"/>
      <c r="M212" s="11"/>
      <c r="N212" s="10"/>
      <c r="O212" s="42"/>
      <c r="P212" s="10"/>
    </row>
    <row r="213" spans="1:16" x14ac:dyDescent="0.25">
      <c r="A213" s="5"/>
      <c r="B213" s="22"/>
      <c r="C213" s="22"/>
      <c r="D213" s="23"/>
      <c r="E213" s="24"/>
      <c r="F213" s="13"/>
      <c r="G213" s="13"/>
      <c r="H213" s="7"/>
      <c r="I213" s="8"/>
      <c r="J213" s="9"/>
      <c r="K213" s="10"/>
      <c r="L213" s="10"/>
      <c r="M213" s="11"/>
      <c r="N213" s="10"/>
      <c r="O213" s="42"/>
      <c r="P213" s="10"/>
    </row>
    <row r="214" spans="1:16" x14ac:dyDescent="0.25">
      <c r="A214" s="5"/>
      <c r="B214" s="22"/>
      <c r="C214" s="22"/>
      <c r="D214" s="23"/>
      <c r="E214" s="24"/>
      <c r="F214" s="13"/>
      <c r="G214" s="13"/>
      <c r="H214" s="7"/>
      <c r="I214" s="8"/>
      <c r="J214" s="9"/>
      <c r="K214" s="10"/>
      <c r="L214" s="10"/>
      <c r="M214" s="11"/>
      <c r="N214" s="10"/>
      <c r="O214" s="42"/>
      <c r="P214" s="10"/>
    </row>
    <row r="215" spans="1:16" x14ac:dyDescent="0.25">
      <c r="A215" s="5"/>
      <c r="B215" s="22"/>
      <c r="C215" s="22"/>
      <c r="D215" s="23"/>
      <c r="E215" s="24"/>
      <c r="F215" s="13"/>
      <c r="G215" s="13"/>
      <c r="H215" s="7"/>
      <c r="I215" s="8"/>
      <c r="J215" s="9"/>
      <c r="K215" s="10"/>
      <c r="L215" s="10"/>
      <c r="M215" s="11"/>
      <c r="N215" s="10"/>
      <c r="O215" s="42"/>
      <c r="P215" s="10"/>
    </row>
    <row r="216" spans="1:16" x14ac:dyDescent="0.25">
      <c r="A216" s="5"/>
      <c r="B216" s="22"/>
      <c r="C216" s="22"/>
      <c r="D216" s="23"/>
      <c r="E216" s="24"/>
      <c r="F216" s="13"/>
      <c r="G216" s="13"/>
      <c r="H216" s="7"/>
      <c r="I216" s="8"/>
      <c r="J216" s="9"/>
      <c r="K216" s="10"/>
      <c r="L216" s="10"/>
      <c r="M216" s="11"/>
      <c r="N216" s="10"/>
      <c r="O216" s="42"/>
      <c r="P216" s="10"/>
    </row>
    <row r="217" spans="1:16" x14ac:dyDescent="0.25">
      <c r="A217" s="5"/>
      <c r="B217" s="22"/>
      <c r="C217" s="22"/>
      <c r="D217" s="23"/>
      <c r="E217" s="24"/>
      <c r="F217" s="13"/>
      <c r="G217" s="13"/>
      <c r="H217" s="7"/>
      <c r="I217" s="8"/>
      <c r="J217" s="9"/>
      <c r="K217" s="10"/>
      <c r="L217" s="10"/>
      <c r="M217" s="11"/>
      <c r="N217" s="10"/>
      <c r="O217" s="42"/>
      <c r="P217" s="10"/>
    </row>
    <row r="218" spans="1:16" x14ac:dyDescent="0.25">
      <c r="A218" s="5"/>
      <c r="B218" s="22"/>
      <c r="C218" s="22"/>
      <c r="D218" s="23"/>
      <c r="E218" s="24"/>
      <c r="F218" s="13"/>
      <c r="G218" s="13"/>
      <c r="H218" s="7"/>
      <c r="I218" s="8"/>
      <c r="J218" s="9"/>
      <c r="K218" s="10"/>
      <c r="L218" s="10"/>
      <c r="M218" s="11"/>
      <c r="N218" s="10"/>
      <c r="O218" s="42"/>
      <c r="P218" s="10"/>
    </row>
    <row r="219" spans="1:16" x14ac:dyDescent="0.25">
      <c r="A219" s="5"/>
      <c r="B219" s="22"/>
      <c r="C219" s="22"/>
      <c r="D219" s="23"/>
      <c r="E219" s="24"/>
      <c r="F219" s="13"/>
      <c r="G219" s="13"/>
      <c r="H219" s="7"/>
      <c r="I219" s="8"/>
      <c r="J219" s="9"/>
      <c r="K219" s="10"/>
      <c r="L219" s="10"/>
      <c r="M219" s="11"/>
      <c r="N219" s="10"/>
      <c r="O219" s="42"/>
      <c r="P219" s="10"/>
    </row>
    <row r="220" spans="1:16" x14ac:dyDescent="0.25">
      <c r="A220" s="5"/>
      <c r="B220" s="22"/>
      <c r="C220" s="22"/>
      <c r="D220" s="23"/>
      <c r="E220" s="24"/>
      <c r="F220" s="13"/>
      <c r="G220" s="13"/>
      <c r="H220" s="7"/>
      <c r="I220" s="8"/>
      <c r="J220" s="9"/>
      <c r="K220" s="10"/>
      <c r="L220" s="10"/>
      <c r="M220" s="11"/>
      <c r="N220" s="10"/>
      <c r="O220" s="42"/>
      <c r="P220" s="10"/>
    </row>
    <row r="221" spans="1:16" x14ac:dyDescent="0.25">
      <c r="A221" s="5"/>
      <c r="B221" s="22"/>
      <c r="C221" s="22"/>
      <c r="D221" s="23"/>
      <c r="E221" s="24"/>
      <c r="F221" s="13"/>
      <c r="G221" s="13"/>
      <c r="H221" s="7"/>
      <c r="I221" s="8"/>
      <c r="J221" s="9"/>
      <c r="K221" s="10"/>
      <c r="L221" s="10"/>
      <c r="M221" s="11"/>
      <c r="N221" s="10"/>
      <c r="O221" s="42"/>
      <c r="P221" s="10"/>
    </row>
    <row r="222" spans="1:16" x14ac:dyDescent="0.25">
      <c r="A222" s="5"/>
      <c r="B222" s="22"/>
      <c r="C222" s="22"/>
      <c r="D222" s="23"/>
      <c r="E222" s="24"/>
      <c r="F222" s="13"/>
      <c r="G222" s="13"/>
      <c r="H222" s="7"/>
      <c r="I222" s="8"/>
      <c r="J222" s="9"/>
      <c r="K222" s="10"/>
      <c r="L222" s="10"/>
      <c r="M222" s="11"/>
      <c r="N222" s="10"/>
      <c r="O222" s="42"/>
      <c r="P222" s="10"/>
    </row>
    <row r="223" spans="1:16" x14ac:dyDescent="0.25">
      <c r="A223" s="16"/>
      <c r="B223" s="22"/>
      <c r="C223" s="22"/>
      <c r="D223" s="23"/>
      <c r="E223" s="24"/>
      <c r="F223" s="13"/>
      <c r="G223" s="13"/>
      <c r="H223" s="7"/>
      <c r="I223" s="8"/>
      <c r="J223" s="9"/>
      <c r="K223" s="10"/>
      <c r="L223" s="10"/>
      <c r="M223" s="11"/>
      <c r="N223" s="10"/>
      <c r="O223" s="42"/>
      <c r="P223" s="10"/>
    </row>
    <row r="224" spans="1:16" x14ac:dyDescent="0.25">
      <c r="A224" s="16"/>
      <c r="B224" s="22"/>
      <c r="C224" s="22"/>
      <c r="D224" s="23"/>
      <c r="E224" s="24"/>
      <c r="F224" s="13"/>
      <c r="G224" s="13"/>
      <c r="H224" s="7"/>
      <c r="I224" s="8"/>
      <c r="J224" s="9"/>
      <c r="K224" s="10"/>
      <c r="L224" s="10"/>
      <c r="M224" s="11"/>
      <c r="N224" s="10"/>
      <c r="O224" s="42"/>
      <c r="P224" s="10"/>
    </row>
    <row r="225" spans="1:16" x14ac:dyDescent="0.25">
      <c r="A225" s="16"/>
      <c r="B225" s="22"/>
      <c r="C225" s="22"/>
      <c r="D225" s="23"/>
      <c r="E225" s="24"/>
      <c r="F225" s="13"/>
      <c r="G225" s="13"/>
      <c r="H225" s="7"/>
      <c r="I225" s="8"/>
      <c r="J225" s="9"/>
      <c r="K225" s="10"/>
      <c r="L225" s="10"/>
      <c r="M225" s="11"/>
      <c r="N225" s="10"/>
      <c r="O225" s="42"/>
      <c r="P225" s="10"/>
    </row>
    <row r="226" spans="1:16" x14ac:dyDescent="0.25">
      <c r="A226" s="16"/>
      <c r="B226" s="22"/>
      <c r="C226" s="22"/>
      <c r="D226" s="23"/>
      <c r="E226" s="24"/>
      <c r="F226" s="13"/>
      <c r="G226" s="13"/>
      <c r="H226" s="7"/>
      <c r="I226" s="8"/>
      <c r="J226" s="9"/>
      <c r="K226" s="10"/>
      <c r="L226" s="10"/>
      <c r="M226" s="11"/>
      <c r="N226" s="10"/>
      <c r="O226" s="42"/>
      <c r="P226" s="10"/>
    </row>
    <row r="227" spans="1:16" x14ac:dyDescent="0.25">
      <c r="A227" s="5"/>
      <c r="B227" s="22"/>
      <c r="C227" s="22"/>
      <c r="D227" s="23"/>
      <c r="E227" s="24"/>
      <c r="F227" s="13"/>
      <c r="G227" s="13"/>
      <c r="H227" s="7"/>
      <c r="I227" s="8"/>
      <c r="J227" s="9"/>
      <c r="K227" s="10"/>
      <c r="L227" s="10"/>
      <c r="M227" s="11"/>
      <c r="N227" s="10"/>
      <c r="O227" s="42"/>
      <c r="P227" s="10"/>
    </row>
    <row r="228" spans="1:16" x14ac:dyDescent="0.25">
      <c r="A228" s="16"/>
      <c r="B228" s="22"/>
      <c r="C228" s="22"/>
      <c r="D228" s="23"/>
      <c r="E228" s="24"/>
      <c r="F228" s="13"/>
      <c r="G228" s="13"/>
      <c r="H228" s="7"/>
      <c r="I228" s="8"/>
      <c r="J228" s="9"/>
      <c r="K228" s="10"/>
      <c r="L228" s="10"/>
      <c r="M228" s="11"/>
      <c r="N228" s="10"/>
      <c r="O228" s="42"/>
      <c r="P228" s="10"/>
    </row>
    <row r="229" spans="1:16" x14ac:dyDescent="0.25">
      <c r="A229" s="16"/>
      <c r="B229" s="22"/>
      <c r="C229" s="22"/>
      <c r="D229" s="23"/>
      <c r="E229" s="24"/>
      <c r="F229" s="13"/>
      <c r="G229" s="13"/>
      <c r="H229" s="7"/>
      <c r="I229" s="8"/>
      <c r="J229" s="9"/>
      <c r="K229" s="10"/>
      <c r="L229" s="10"/>
      <c r="M229" s="11"/>
      <c r="N229" s="10"/>
      <c r="O229" s="42"/>
      <c r="P229" s="10"/>
    </row>
    <row r="230" spans="1:16" x14ac:dyDescent="0.25">
      <c r="A230" s="16"/>
      <c r="B230" s="22"/>
      <c r="C230" s="22"/>
      <c r="D230" s="23"/>
      <c r="E230" s="24"/>
      <c r="F230" s="13"/>
      <c r="G230" s="13"/>
      <c r="H230" s="7"/>
      <c r="I230" s="8"/>
      <c r="J230" s="9"/>
      <c r="K230" s="10"/>
      <c r="L230" s="10"/>
      <c r="M230" s="11"/>
      <c r="N230" s="10"/>
      <c r="O230" s="42"/>
      <c r="P230" s="10"/>
    </row>
    <row r="231" spans="1:16" x14ac:dyDescent="0.25">
      <c r="A231" s="5"/>
      <c r="B231" s="22"/>
      <c r="C231" s="22"/>
      <c r="D231" s="23"/>
      <c r="E231" s="24"/>
      <c r="F231" s="13"/>
      <c r="G231" s="13"/>
      <c r="H231" s="7"/>
      <c r="I231" s="8"/>
      <c r="J231" s="9"/>
      <c r="K231" s="10"/>
      <c r="L231" s="10"/>
      <c r="M231" s="11"/>
      <c r="N231" s="10"/>
      <c r="O231" s="42"/>
      <c r="P231" s="10"/>
    </row>
    <row r="232" spans="1:16" x14ac:dyDescent="0.25">
      <c r="A232" s="16"/>
      <c r="B232" s="22"/>
      <c r="C232" s="22"/>
      <c r="D232" s="23"/>
      <c r="E232" s="24"/>
      <c r="F232" s="13"/>
      <c r="G232" s="13"/>
      <c r="H232" s="7"/>
      <c r="I232" s="8"/>
      <c r="J232" s="9"/>
      <c r="K232" s="10"/>
      <c r="L232" s="10"/>
      <c r="M232" s="11"/>
      <c r="N232" s="10"/>
      <c r="O232" s="42"/>
      <c r="P232" s="10"/>
    </row>
    <row r="233" spans="1:16" x14ac:dyDescent="0.25">
      <c r="A233" s="5"/>
      <c r="B233" s="22"/>
      <c r="C233" s="22"/>
      <c r="D233" s="23"/>
      <c r="E233" s="24"/>
      <c r="F233" s="13"/>
      <c r="G233" s="13"/>
      <c r="H233" s="7"/>
      <c r="I233" s="8"/>
      <c r="J233" s="9"/>
      <c r="K233" s="10"/>
      <c r="L233" s="10"/>
      <c r="M233" s="11"/>
      <c r="N233" s="10"/>
      <c r="O233" s="42"/>
      <c r="P233" s="10"/>
    </row>
    <row r="234" spans="1:16" x14ac:dyDescent="0.25">
      <c r="A234" s="5"/>
      <c r="B234" s="22"/>
      <c r="C234" s="22"/>
      <c r="D234" s="23"/>
      <c r="E234" s="24"/>
      <c r="F234" s="13"/>
      <c r="G234" s="13"/>
      <c r="H234" s="7"/>
      <c r="I234" s="8"/>
      <c r="J234" s="9"/>
      <c r="K234" s="10"/>
      <c r="L234" s="10"/>
      <c r="M234" s="11"/>
      <c r="N234" s="10"/>
      <c r="O234" s="42"/>
      <c r="P234" s="10"/>
    </row>
    <row r="235" spans="1:16" x14ac:dyDescent="0.25">
      <c r="A235" s="5"/>
      <c r="B235" s="22"/>
      <c r="C235" s="22"/>
      <c r="D235" s="23"/>
      <c r="E235" s="24"/>
      <c r="F235" s="13"/>
      <c r="G235" s="13"/>
      <c r="H235" s="7"/>
      <c r="I235" s="8"/>
      <c r="J235" s="9"/>
      <c r="K235" s="10"/>
      <c r="L235" s="10"/>
      <c r="M235" s="11"/>
      <c r="N235" s="10"/>
      <c r="O235" s="42"/>
      <c r="P235" s="10"/>
    </row>
    <row r="236" spans="1:16" x14ac:dyDescent="0.25">
      <c r="A236" s="5"/>
      <c r="B236" s="22"/>
      <c r="C236" s="22"/>
      <c r="D236" s="23"/>
      <c r="E236" s="24"/>
      <c r="F236" s="13"/>
      <c r="G236" s="13"/>
      <c r="H236" s="7"/>
      <c r="I236" s="8"/>
      <c r="J236" s="9"/>
      <c r="K236" s="10"/>
      <c r="L236" s="10"/>
      <c r="M236" s="11"/>
      <c r="N236" s="10"/>
      <c r="O236" s="42"/>
      <c r="P236" s="10"/>
    </row>
    <row r="237" spans="1:16" x14ac:dyDescent="0.25">
      <c r="A237" s="5"/>
      <c r="B237" s="22"/>
      <c r="C237" s="22"/>
      <c r="D237" s="23"/>
      <c r="E237" s="24"/>
      <c r="F237" s="13"/>
      <c r="G237" s="13"/>
      <c r="H237" s="7"/>
      <c r="I237" s="8"/>
      <c r="J237" s="9"/>
      <c r="K237" s="10"/>
      <c r="L237" s="10"/>
      <c r="M237" s="11"/>
      <c r="N237" s="10"/>
      <c r="O237" s="42"/>
      <c r="P237" s="10"/>
    </row>
    <row r="238" spans="1:16" x14ac:dyDescent="0.25">
      <c r="A238" s="5"/>
      <c r="B238" s="22"/>
      <c r="C238" s="22"/>
      <c r="D238" s="23"/>
      <c r="E238" s="24"/>
      <c r="F238" s="13"/>
      <c r="G238" s="13"/>
      <c r="H238" s="7"/>
      <c r="I238" s="8"/>
      <c r="J238" s="9"/>
      <c r="K238" s="10"/>
      <c r="L238" s="10"/>
      <c r="M238" s="11"/>
      <c r="N238" s="10"/>
      <c r="O238" s="42"/>
      <c r="P238" s="10"/>
    </row>
    <row r="239" spans="1:16" x14ac:dyDescent="0.25">
      <c r="A239" s="5"/>
      <c r="B239" s="22"/>
      <c r="C239" s="22"/>
      <c r="D239" s="23"/>
      <c r="E239" s="24"/>
      <c r="F239" s="13"/>
      <c r="G239" s="13"/>
      <c r="H239" s="7"/>
      <c r="I239" s="8"/>
      <c r="J239" s="9"/>
      <c r="K239" s="10"/>
      <c r="L239" s="10"/>
      <c r="M239" s="11"/>
      <c r="N239" s="10"/>
      <c r="O239" s="42"/>
      <c r="P239" s="10"/>
    </row>
    <row r="240" spans="1:16" x14ac:dyDescent="0.25">
      <c r="A240" s="5"/>
      <c r="B240" s="22"/>
      <c r="C240" s="22"/>
      <c r="D240" s="23"/>
      <c r="E240" s="24"/>
      <c r="F240" s="13"/>
      <c r="G240" s="13"/>
      <c r="H240" s="7"/>
      <c r="I240" s="8"/>
      <c r="J240" s="9"/>
      <c r="K240" s="10"/>
      <c r="L240" s="10"/>
      <c r="M240" s="11"/>
      <c r="N240" s="10"/>
      <c r="O240" s="42"/>
      <c r="P240" s="10"/>
    </row>
    <row r="241" spans="1:16" x14ac:dyDescent="0.25">
      <c r="A241" s="5"/>
      <c r="B241" s="22"/>
      <c r="C241" s="22"/>
      <c r="D241" s="23"/>
      <c r="E241" s="24"/>
      <c r="F241" s="13"/>
      <c r="G241" s="13"/>
      <c r="H241" s="7"/>
      <c r="I241" s="8"/>
      <c r="J241" s="9"/>
      <c r="K241" s="10"/>
      <c r="L241" s="10"/>
      <c r="M241" s="11"/>
      <c r="N241" s="10"/>
      <c r="O241" s="42"/>
      <c r="P241" s="10"/>
    </row>
    <row r="242" spans="1:16" x14ac:dyDescent="0.25">
      <c r="A242" s="5"/>
      <c r="B242" s="22"/>
      <c r="C242" s="22"/>
      <c r="D242" s="23"/>
      <c r="E242" s="24"/>
      <c r="F242" s="13"/>
      <c r="G242" s="13"/>
      <c r="H242" s="7"/>
      <c r="I242" s="8"/>
      <c r="J242" s="9"/>
      <c r="K242" s="10"/>
      <c r="L242" s="10"/>
      <c r="M242" s="11"/>
      <c r="N242" s="10"/>
      <c r="O242" s="42"/>
      <c r="P242" s="10"/>
    </row>
    <row r="243" spans="1:16" x14ac:dyDescent="0.25">
      <c r="A243" s="5"/>
      <c r="B243" s="22"/>
      <c r="C243" s="22"/>
      <c r="D243" s="23"/>
      <c r="E243" s="24"/>
      <c r="F243" s="13"/>
      <c r="G243" s="13"/>
      <c r="H243" s="7"/>
      <c r="I243" s="8"/>
      <c r="J243" s="9"/>
      <c r="K243" s="10"/>
      <c r="L243" s="10"/>
      <c r="M243" s="11"/>
      <c r="N243" s="10"/>
      <c r="O243" s="42"/>
      <c r="P243" s="10"/>
    </row>
    <row r="244" spans="1:16" x14ac:dyDescent="0.25">
      <c r="A244" s="16"/>
      <c r="B244" s="22"/>
      <c r="C244" s="22"/>
      <c r="D244" s="23"/>
      <c r="E244" s="24"/>
      <c r="F244" s="13"/>
      <c r="G244" s="13"/>
      <c r="H244" s="7"/>
      <c r="I244" s="8"/>
      <c r="J244" s="9"/>
      <c r="K244" s="10"/>
      <c r="L244" s="10"/>
      <c r="M244" s="11"/>
      <c r="N244" s="10"/>
      <c r="O244" s="42"/>
      <c r="P244" s="10"/>
    </row>
    <row r="245" spans="1:16" x14ac:dyDescent="0.25">
      <c r="A245" s="16"/>
      <c r="B245" s="22"/>
      <c r="C245" s="22"/>
      <c r="D245" s="23"/>
      <c r="E245" s="24"/>
      <c r="F245" s="13"/>
      <c r="G245" s="13"/>
      <c r="H245" s="7"/>
      <c r="I245" s="8"/>
      <c r="J245" s="9"/>
      <c r="K245" s="10"/>
      <c r="L245" s="10"/>
      <c r="M245" s="11"/>
      <c r="N245" s="10"/>
      <c r="O245" s="42"/>
      <c r="P245" s="10"/>
    </row>
    <row r="246" spans="1:16" x14ac:dyDescent="0.25">
      <c r="A246" s="16"/>
      <c r="B246" s="22"/>
      <c r="C246" s="22"/>
      <c r="D246" s="23"/>
      <c r="E246" s="24"/>
      <c r="F246" s="13"/>
      <c r="G246" s="13"/>
      <c r="H246" s="7"/>
      <c r="I246" s="8"/>
      <c r="J246" s="9"/>
      <c r="K246" s="10"/>
      <c r="L246" s="10"/>
      <c r="M246" s="11"/>
      <c r="N246" s="10"/>
      <c r="O246" s="42"/>
      <c r="P246" s="10"/>
    </row>
    <row r="247" spans="1:16" x14ac:dyDescent="0.25">
      <c r="A247" s="16"/>
      <c r="B247" s="22"/>
      <c r="C247" s="22"/>
      <c r="D247" s="23"/>
      <c r="E247" s="24"/>
      <c r="F247" s="13"/>
      <c r="G247" s="13"/>
      <c r="H247" s="7"/>
      <c r="I247" s="8"/>
      <c r="J247" s="9"/>
      <c r="K247" s="10"/>
      <c r="L247" s="10"/>
      <c r="M247" s="11"/>
      <c r="N247" s="10"/>
      <c r="O247" s="42"/>
      <c r="P247" s="10"/>
    </row>
    <row r="248" spans="1:16" x14ac:dyDescent="0.25">
      <c r="A248" s="16"/>
      <c r="B248" s="22"/>
      <c r="C248" s="22"/>
      <c r="D248" s="23"/>
      <c r="E248" s="24"/>
      <c r="F248" s="13"/>
      <c r="G248" s="13"/>
      <c r="H248" s="7"/>
      <c r="I248" s="8"/>
      <c r="J248" s="9"/>
      <c r="K248" s="10"/>
      <c r="L248" s="10"/>
      <c r="M248" s="11"/>
      <c r="N248" s="10"/>
      <c r="O248" s="42"/>
      <c r="P248" s="10"/>
    </row>
    <row r="249" spans="1:16" x14ac:dyDescent="0.25">
      <c r="A249" s="16"/>
      <c r="B249" s="22"/>
      <c r="C249" s="22"/>
      <c r="D249" s="23"/>
      <c r="E249" s="24"/>
      <c r="F249" s="13"/>
      <c r="G249" s="13"/>
      <c r="H249" s="7"/>
      <c r="I249" s="8"/>
      <c r="J249" s="9"/>
      <c r="K249" s="10"/>
      <c r="L249" s="10"/>
      <c r="M249" s="11"/>
      <c r="N249" s="10"/>
      <c r="O249" s="42"/>
      <c r="P249" s="10"/>
    </row>
    <row r="250" spans="1:16" x14ac:dyDescent="0.25">
      <c r="A250" s="16"/>
      <c r="B250" s="22"/>
      <c r="C250" s="22"/>
      <c r="D250" s="23"/>
      <c r="E250" s="24"/>
      <c r="F250" s="13"/>
      <c r="G250" s="13"/>
      <c r="H250" s="7"/>
      <c r="I250" s="8"/>
      <c r="J250" s="9"/>
      <c r="K250" s="10"/>
      <c r="L250" s="10"/>
      <c r="M250" s="11"/>
      <c r="N250" s="10"/>
      <c r="O250" s="42"/>
      <c r="P250" s="10"/>
    </row>
    <row r="251" spans="1:16" x14ac:dyDescent="0.25">
      <c r="A251" s="16"/>
      <c r="B251" s="22"/>
      <c r="C251" s="22"/>
      <c r="D251" s="23"/>
      <c r="E251" s="24"/>
      <c r="F251" s="13"/>
      <c r="G251" s="13"/>
      <c r="H251" s="7"/>
      <c r="I251" s="8"/>
      <c r="J251" s="9"/>
      <c r="K251" s="10"/>
      <c r="L251" s="10"/>
      <c r="M251" s="11"/>
      <c r="N251" s="10"/>
      <c r="O251" s="42"/>
      <c r="P251" s="10"/>
    </row>
    <row r="252" spans="1:16" x14ac:dyDescent="0.25">
      <c r="A252" s="5"/>
      <c r="B252" s="22"/>
      <c r="C252" s="22"/>
      <c r="D252" s="23"/>
      <c r="E252" s="24"/>
      <c r="F252" s="13"/>
      <c r="G252" s="13"/>
      <c r="H252" s="7"/>
      <c r="I252" s="8"/>
      <c r="J252" s="9"/>
      <c r="K252" s="10"/>
      <c r="L252" s="10"/>
      <c r="M252" s="11"/>
      <c r="N252" s="10"/>
      <c r="O252" s="42"/>
      <c r="P252" s="10"/>
    </row>
    <row r="253" spans="1:16" x14ac:dyDescent="0.25">
      <c r="A253" s="5"/>
      <c r="B253" s="22"/>
      <c r="C253" s="22"/>
      <c r="D253" s="23"/>
      <c r="E253" s="24"/>
      <c r="F253" s="13"/>
      <c r="G253" s="13"/>
      <c r="H253" s="7"/>
      <c r="I253" s="8"/>
      <c r="J253" s="9"/>
      <c r="K253" s="10"/>
      <c r="L253" s="10"/>
      <c r="M253" s="11"/>
      <c r="N253" s="10"/>
      <c r="O253" s="42"/>
      <c r="P253" s="10"/>
    </row>
    <row r="254" spans="1:16" x14ac:dyDescent="0.25">
      <c r="A254" s="5"/>
      <c r="B254" s="22"/>
      <c r="C254" s="22"/>
      <c r="D254" s="23"/>
      <c r="E254" s="24"/>
      <c r="F254" s="13"/>
      <c r="G254" s="13"/>
      <c r="H254" s="7"/>
      <c r="I254" s="8"/>
      <c r="J254" s="9"/>
      <c r="K254" s="10"/>
      <c r="L254" s="10"/>
      <c r="M254" s="11"/>
      <c r="N254" s="10"/>
      <c r="O254" s="42"/>
      <c r="P254" s="10"/>
    </row>
    <row r="255" spans="1:16" x14ac:dyDescent="0.25">
      <c r="A255" s="5"/>
      <c r="B255" s="22"/>
      <c r="C255" s="22"/>
      <c r="D255" s="23"/>
      <c r="E255" s="24"/>
      <c r="F255" s="13"/>
      <c r="G255" s="13"/>
      <c r="H255" s="7"/>
      <c r="I255" s="8"/>
      <c r="J255" s="9"/>
      <c r="K255" s="10"/>
      <c r="L255" s="10"/>
      <c r="M255" s="11"/>
      <c r="N255" s="10"/>
      <c r="O255" s="42"/>
      <c r="P255" s="10"/>
    </row>
    <row r="256" spans="1:16" x14ac:dyDescent="0.25">
      <c r="A256" s="16"/>
      <c r="B256" s="22"/>
      <c r="C256" s="22"/>
      <c r="D256" s="23"/>
      <c r="E256" s="24"/>
      <c r="F256" s="13"/>
      <c r="G256" s="13"/>
      <c r="H256" s="7"/>
      <c r="I256" s="8"/>
      <c r="J256" s="9"/>
      <c r="K256" s="10"/>
      <c r="L256" s="10"/>
      <c r="M256" s="11"/>
      <c r="N256" s="10"/>
      <c r="O256" s="42"/>
      <c r="P256" s="10"/>
    </row>
    <row r="257" spans="1:16" x14ac:dyDescent="0.25">
      <c r="A257" s="16"/>
      <c r="B257" s="22"/>
      <c r="C257" s="22"/>
      <c r="D257" s="23"/>
      <c r="E257" s="24"/>
      <c r="F257" s="13"/>
      <c r="G257" s="13"/>
      <c r="H257" s="7"/>
      <c r="I257" s="8"/>
      <c r="J257" s="9"/>
      <c r="K257" s="10"/>
      <c r="L257" s="10"/>
      <c r="M257" s="11"/>
      <c r="N257" s="10"/>
      <c r="O257" s="42"/>
      <c r="P257" s="10"/>
    </row>
    <row r="258" spans="1:16" x14ac:dyDescent="0.25">
      <c r="A258" s="16"/>
      <c r="B258" s="22"/>
      <c r="C258" s="22"/>
      <c r="D258" s="23"/>
      <c r="E258" s="24"/>
      <c r="F258" s="13"/>
      <c r="G258" s="13"/>
      <c r="H258" s="7"/>
      <c r="I258" s="8"/>
      <c r="J258" s="9"/>
      <c r="K258" s="10"/>
      <c r="L258" s="10"/>
      <c r="M258" s="11"/>
      <c r="N258" s="10"/>
      <c r="O258" s="42"/>
      <c r="P258" s="10"/>
    </row>
    <row r="259" spans="1:16" x14ac:dyDescent="0.25">
      <c r="A259" s="16"/>
      <c r="B259" s="22"/>
      <c r="C259" s="22"/>
      <c r="D259" s="23"/>
      <c r="E259" s="24"/>
      <c r="F259" s="13"/>
      <c r="G259" s="13"/>
      <c r="H259" s="7"/>
      <c r="I259" s="8"/>
      <c r="J259" s="9"/>
      <c r="K259" s="10"/>
      <c r="L259" s="10"/>
      <c r="M259" s="11"/>
      <c r="N259" s="10"/>
      <c r="O259" s="42"/>
      <c r="P259" s="10"/>
    </row>
    <row r="260" spans="1:16" x14ac:dyDescent="0.25">
      <c r="A260" s="5"/>
      <c r="B260" s="22"/>
      <c r="C260" s="22"/>
      <c r="D260" s="23"/>
      <c r="E260" s="24"/>
      <c r="F260" s="13"/>
      <c r="G260" s="13"/>
      <c r="H260" s="7"/>
      <c r="I260" s="8"/>
      <c r="J260" s="9"/>
      <c r="K260" s="10"/>
      <c r="L260" s="10"/>
      <c r="M260" s="11"/>
      <c r="N260" s="10"/>
      <c r="O260" s="42"/>
      <c r="P260" s="10"/>
    </row>
    <row r="261" spans="1:16" x14ac:dyDescent="0.25">
      <c r="A261" s="5"/>
      <c r="B261" s="22"/>
      <c r="C261" s="22"/>
      <c r="D261" s="23"/>
      <c r="E261" s="24"/>
      <c r="F261" s="13"/>
      <c r="G261" s="13"/>
      <c r="H261" s="7"/>
      <c r="I261" s="8"/>
      <c r="J261" s="9"/>
      <c r="K261" s="10"/>
      <c r="L261" s="10"/>
      <c r="M261" s="11"/>
      <c r="N261" s="10"/>
      <c r="O261" s="42"/>
      <c r="P261" s="10"/>
    </row>
    <row r="262" spans="1:16" x14ac:dyDescent="0.25">
      <c r="A262" s="5"/>
      <c r="B262" s="22"/>
      <c r="C262" s="22"/>
      <c r="D262" s="23"/>
      <c r="E262" s="24"/>
      <c r="F262" s="13"/>
      <c r="G262" s="13"/>
      <c r="H262" s="7"/>
      <c r="I262" s="8"/>
      <c r="J262" s="9"/>
      <c r="K262" s="10"/>
      <c r="L262" s="10"/>
      <c r="M262" s="11"/>
      <c r="N262" s="10"/>
      <c r="O262" s="42"/>
      <c r="P262" s="10"/>
    </row>
    <row r="263" spans="1:16" x14ac:dyDescent="0.25">
      <c r="A263" s="5"/>
      <c r="B263" s="22"/>
      <c r="C263" s="22"/>
      <c r="D263" s="23"/>
      <c r="E263" s="24"/>
      <c r="F263" s="13"/>
      <c r="G263" s="13"/>
      <c r="H263" s="7"/>
      <c r="I263" s="8"/>
      <c r="J263" s="9"/>
      <c r="K263" s="10"/>
      <c r="L263" s="10"/>
      <c r="M263" s="11"/>
      <c r="N263" s="10"/>
      <c r="O263" s="42"/>
      <c r="P263" s="10"/>
    </row>
    <row r="264" spans="1:16" x14ac:dyDescent="0.25">
      <c r="A264" s="5"/>
      <c r="B264" s="22"/>
      <c r="C264" s="22"/>
      <c r="D264" s="23"/>
      <c r="E264" s="24"/>
      <c r="F264" s="13"/>
      <c r="G264" s="13"/>
      <c r="H264" s="7"/>
      <c r="I264" s="8"/>
      <c r="J264" s="9"/>
      <c r="K264" s="10"/>
      <c r="L264" s="10"/>
      <c r="M264" s="11"/>
      <c r="N264" s="10"/>
      <c r="O264" s="42"/>
      <c r="P264" s="10"/>
    </row>
    <row r="265" spans="1:16" x14ac:dyDescent="0.25">
      <c r="A265" s="5"/>
      <c r="B265" s="22"/>
      <c r="C265" s="22"/>
      <c r="D265" s="23"/>
      <c r="E265" s="24"/>
      <c r="F265" s="13"/>
      <c r="G265" s="13"/>
      <c r="H265" s="7"/>
      <c r="I265" s="8"/>
      <c r="J265" s="9"/>
      <c r="K265" s="10"/>
      <c r="L265" s="10"/>
      <c r="M265" s="11"/>
      <c r="N265" s="10"/>
      <c r="O265" s="42"/>
      <c r="P265" s="10"/>
    </row>
    <row r="266" spans="1:16" x14ac:dyDescent="0.25">
      <c r="A266" s="5"/>
      <c r="B266" s="22"/>
      <c r="C266" s="22"/>
      <c r="D266" s="23"/>
      <c r="E266" s="24"/>
      <c r="F266" s="13"/>
      <c r="G266" s="13"/>
      <c r="H266" s="7"/>
      <c r="I266" s="8"/>
      <c r="J266" s="9"/>
      <c r="K266" s="10"/>
      <c r="L266" s="10"/>
      <c r="M266" s="11"/>
      <c r="N266" s="10"/>
      <c r="O266" s="42"/>
      <c r="P266" s="10"/>
    </row>
    <row r="267" spans="1:16" x14ac:dyDescent="0.25">
      <c r="A267" s="5"/>
      <c r="B267" s="22"/>
      <c r="C267" s="22"/>
      <c r="D267" s="23"/>
      <c r="E267" s="24"/>
      <c r="F267" s="13"/>
      <c r="G267" s="13"/>
      <c r="H267" s="7"/>
      <c r="I267" s="8"/>
      <c r="J267" s="9"/>
      <c r="K267" s="10"/>
      <c r="L267" s="10"/>
      <c r="M267" s="11"/>
      <c r="N267" s="10"/>
      <c r="O267" s="42"/>
      <c r="P267" s="10"/>
    </row>
    <row r="268" spans="1:16" x14ac:dyDescent="0.25">
      <c r="A268" s="5"/>
      <c r="B268" s="22"/>
      <c r="C268" s="22"/>
      <c r="D268" s="23"/>
      <c r="E268" s="24"/>
      <c r="F268" s="13"/>
      <c r="G268" s="13"/>
      <c r="H268" s="7"/>
      <c r="I268" s="8"/>
      <c r="J268" s="9"/>
      <c r="K268" s="10"/>
      <c r="L268" s="10"/>
      <c r="M268" s="11"/>
      <c r="N268" s="10"/>
      <c r="O268" s="42"/>
      <c r="P268" s="10"/>
    </row>
    <row r="269" spans="1:16" x14ac:dyDescent="0.25">
      <c r="A269" s="5"/>
      <c r="B269" s="22"/>
      <c r="C269" s="22"/>
      <c r="D269" s="23"/>
      <c r="E269" s="24"/>
      <c r="F269" s="13"/>
      <c r="G269" s="13"/>
      <c r="H269" s="7"/>
      <c r="I269" s="8"/>
      <c r="J269" s="9"/>
      <c r="K269" s="10"/>
      <c r="L269" s="10"/>
      <c r="M269" s="11"/>
      <c r="N269" s="10"/>
      <c r="O269" s="42"/>
      <c r="P269" s="10"/>
    </row>
    <row r="270" spans="1:16" x14ac:dyDescent="0.25">
      <c r="A270" s="5"/>
      <c r="B270" s="22"/>
      <c r="C270" s="22"/>
      <c r="D270" s="23"/>
      <c r="E270" s="24"/>
      <c r="F270" s="13"/>
      <c r="G270" s="13"/>
      <c r="H270" s="7"/>
      <c r="I270" s="8"/>
      <c r="J270" s="9"/>
      <c r="K270" s="10"/>
      <c r="L270" s="10"/>
      <c r="M270" s="11"/>
      <c r="N270" s="10"/>
      <c r="O270" s="42"/>
      <c r="P270" s="10"/>
    </row>
    <row r="271" spans="1:16" x14ac:dyDescent="0.25">
      <c r="A271" s="5"/>
      <c r="B271" s="22"/>
      <c r="C271" s="22"/>
      <c r="D271" s="23"/>
      <c r="E271" s="24"/>
      <c r="F271" s="13"/>
      <c r="G271" s="13"/>
      <c r="H271" s="7"/>
      <c r="I271" s="8"/>
      <c r="J271" s="9"/>
      <c r="K271" s="10"/>
      <c r="L271" s="10"/>
      <c r="M271" s="11"/>
      <c r="N271" s="10"/>
      <c r="O271" s="42"/>
      <c r="P271" s="10"/>
    </row>
    <row r="272" spans="1:16" x14ac:dyDescent="0.25">
      <c r="A272" s="16"/>
      <c r="B272" s="22"/>
      <c r="C272" s="22"/>
      <c r="D272" s="23"/>
      <c r="E272" s="24"/>
      <c r="F272" s="13"/>
      <c r="G272" s="13"/>
      <c r="H272" s="7"/>
      <c r="I272" s="8"/>
      <c r="J272" s="9"/>
      <c r="K272" s="10"/>
      <c r="L272" s="10"/>
      <c r="M272" s="11"/>
      <c r="N272" s="10"/>
      <c r="O272" s="42"/>
      <c r="P272" s="10"/>
    </row>
    <row r="273" spans="1:16" x14ac:dyDescent="0.25">
      <c r="A273" s="5"/>
      <c r="B273" s="22"/>
      <c r="C273" s="22"/>
      <c r="D273" s="23"/>
      <c r="E273" s="24"/>
      <c r="F273" s="13"/>
      <c r="G273" s="13"/>
      <c r="H273" s="7"/>
      <c r="I273" s="8"/>
      <c r="J273" s="9"/>
      <c r="K273" s="10"/>
      <c r="L273" s="10"/>
      <c r="M273" s="11"/>
      <c r="N273" s="10"/>
      <c r="O273" s="42"/>
      <c r="P273" s="10"/>
    </row>
    <row r="274" spans="1:16" x14ac:dyDescent="0.25">
      <c r="A274" s="5"/>
      <c r="B274" s="22"/>
      <c r="C274" s="22"/>
      <c r="D274" s="23"/>
      <c r="E274" s="24"/>
      <c r="F274" s="13"/>
      <c r="G274" s="13"/>
      <c r="H274" s="7"/>
      <c r="I274" s="8"/>
      <c r="J274" s="9"/>
      <c r="K274" s="10"/>
      <c r="L274" s="10"/>
      <c r="M274" s="11"/>
      <c r="N274" s="10"/>
      <c r="O274" s="42"/>
      <c r="P274" s="10"/>
    </row>
    <row r="275" spans="1:16" x14ac:dyDescent="0.25">
      <c r="A275" s="5"/>
      <c r="B275" s="22"/>
      <c r="C275" s="22"/>
      <c r="D275" s="23"/>
      <c r="E275" s="24"/>
      <c r="F275" s="13"/>
      <c r="G275" s="13"/>
      <c r="H275" s="7"/>
      <c r="I275" s="8"/>
      <c r="J275" s="9"/>
      <c r="K275" s="10"/>
      <c r="L275" s="10"/>
      <c r="M275" s="11"/>
      <c r="N275" s="10"/>
      <c r="O275" s="42"/>
      <c r="P275" s="10"/>
    </row>
    <row r="276" spans="1:16" x14ac:dyDescent="0.25">
      <c r="A276" s="5"/>
      <c r="B276" s="22"/>
      <c r="C276" s="22"/>
      <c r="D276" s="23"/>
      <c r="E276" s="24"/>
      <c r="F276" s="13"/>
      <c r="G276" s="13"/>
      <c r="H276" s="7"/>
      <c r="I276" s="8"/>
      <c r="J276" s="9"/>
      <c r="K276" s="10"/>
      <c r="L276" s="10"/>
      <c r="M276" s="11"/>
      <c r="N276" s="10"/>
      <c r="O276" s="42"/>
      <c r="P276" s="10"/>
    </row>
    <row r="277" spans="1:16" x14ac:dyDescent="0.25">
      <c r="A277" s="5"/>
      <c r="B277" s="22"/>
      <c r="C277" s="22"/>
      <c r="D277" s="23"/>
      <c r="E277" s="24"/>
      <c r="F277" s="13"/>
      <c r="G277" s="13"/>
      <c r="H277" s="7"/>
      <c r="I277" s="8"/>
      <c r="J277" s="9"/>
      <c r="K277" s="10"/>
      <c r="L277" s="10"/>
      <c r="M277" s="11"/>
      <c r="N277" s="10"/>
      <c r="O277" s="42"/>
      <c r="P277" s="10"/>
    </row>
    <row r="278" spans="1:16" x14ac:dyDescent="0.25">
      <c r="A278" s="5"/>
      <c r="B278" s="22"/>
      <c r="C278" s="22"/>
      <c r="D278" s="23"/>
      <c r="E278" s="24"/>
      <c r="F278" s="13"/>
      <c r="G278" s="13"/>
      <c r="H278" s="7"/>
      <c r="I278" s="8"/>
      <c r="J278" s="9"/>
      <c r="K278" s="10"/>
      <c r="L278" s="10"/>
      <c r="M278" s="11"/>
      <c r="N278" s="10"/>
      <c r="O278" s="42"/>
      <c r="P278" s="10"/>
    </row>
    <row r="279" spans="1:16" x14ac:dyDescent="0.25">
      <c r="A279" s="5"/>
      <c r="B279" s="22"/>
      <c r="C279" s="22"/>
      <c r="D279" s="23"/>
      <c r="E279" s="24"/>
      <c r="F279" s="13"/>
      <c r="G279" s="13"/>
      <c r="H279" s="7"/>
      <c r="I279" s="8"/>
      <c r="J279" s="9"/>
      <c r="K279" s="10"/>
      <c r="L279" s="10"/>
      <c r="M279" s="11"/>
      <c r="N279" s="10"/>
      <c r="O279" s="42"/>
      <c r="P279" s="10"/>
    </row>
    <row r="280" spans="1:16" x14ac:dyDescent="0.25">
      <c r="A280" s="5"/>
      <c r="B280" s="22"/>
      <c r="C280" s="22"/>
      <c r="D280" s="23"/>
      <c r="E280" s="24"/>
      <c r="F280" s="13"/>
      <c r="G280" s="13"/>
      <c r="H280" s="7"/>
      <c r="I280" s="8"/>
      <c r="J280" s="9"/>
      <c r="K280" s="10"/>
      <c r="L280" s="10"/>
      <c r="M280" s="11"/>
      <c r="N280" s="10"/>
      <c r="O280" s="42"/>
      <c r="P280" s="10"/>
    </row>
    <row r="281" spans="1:16" x14ac:dyDescent="0.25">
      <c r="A281" s="5"/>
      <c r="B281" s="22"/>
      <c r="C281" s="22"/>
      <c r="D281" s="23"/>
      <c r="E281" s="24"/>
      <c r="F281" s="13"/>
      <c r="G281" s="13"/>
      <c r="H281" s="7"/>
      <c r="I281" s="8"/>
      <c r="J281" s="9"/>
      <c r="K281" s="10"/>
      <c r="L281" s="10"/>
      <c r="M281" s="11"/>
      <c r="N281" s="10"/>
      <c r="O281" s="42"/>
      <c r="P281" s="10"/>
    </row>
    <row r="282" spans="1:16" x14ac:dyDescent="0.25">
      <c r="A282" s="5"/>
      <c r="B282" s="22"/>
      <c r="C282" s="22"/>
      <c r="D282" s="23"/>
      <c r="E282" s="24"/>
      <c r="F282" s="13"/>
      <c r="G282" s="13"/>
      <c r="H282" s="7"/>
      <c r="I282" s="8"/>
      <c r="J282" s="9"/>
      <c r="K282" s="10"/>
      <c r="L282" s="10"/>
      <c r="M282" s="11"/>
      <c r="N282" s="10"/>
      <c r="O282" s="42"/>
      <c r="P282" s="10"/>
    </row>
    <row r="283" spans="1:16" x14ac:dyDescent="0.25">
      <c r="A283" s="5"/>
      <c r="B283" s="22"/>
      <c r="C283" s="22"/>
      <c r="D283" s="23"/>
      <c r="E283" s="24"/>
      <c r="F283" s="13"/>
      <c r="G283" s="13"/>
      <c r="H283" s="7"/>
      <c r="I283" s="8"/>
      <c r="J283" s="9"/>
      <c r="K283" s="10"/>
      <c r="L283" s="10"/>
      <c r="M283" s="11"/>
      <c r="N283" s="10"/>
      <c r="O283" s="42"/>
      <c r="P283" s="10"/>
    </row>
    <row r="284" spans="1:16" x14ac:dyDescent="0.25">
      <c r="A284" s="5"/>
      <c r="B284" s="22"/>
      <c r="C284" s="22"/>
      <c r="D284" s="23"/>
      <c r="E284" s="24"/>
      <c r="F284" s="13"/>
      <c r="G284" s="13"/>
      <c r="H284" s="7"/>
      <c r="I284" s="8"/>
      <c r="J284" s="9"/>
      <c r="K284" s="10"/>
      <c r="L284" s="10"/>
      <c r="M284" s="11"/>
      <c r="N284" s="10"/>
      <c r="O284" s="42"/>
      <c r="P284" s="10"/>
    </row>
    <row r="285" spans="1:16" x14ac:dyDescent="0.25">
      <c r="A285" s="5"/>
      <c r="B285" s="22"/>
      <c r="C285" s="22"/>
      <c r="D285" s="23"/>
      <c r="E285" s="24"/>
      <c r="F285" s="13"/>
      <c r="G285" s="13"/>
      <c r="H285" s="7"/>
      <c r="I285" s="8"/>
      <c r="J285" s="9"/>
      <c r="K285" s="10"/>
      <c r="L285" s="10"/>
      <c r="M285" s="11"/>
      <c r="N285" s="10"/>
      <c r="O285" s="42"/>
      <c r="P285" s="10"/>
    </row>
    <row r="286" spans="1:16" x14ac:dyDescent="0.25">
      <c r="A286" s="5"/>
      <c r="B286" s="22"/>
      <c r="C286" s="22"/>
      <c r="D286" s="23"/>
      <c r="E286" s="24"/>
      <c r="F286" s="13"/>
      <c r="G286" s="13"/>
      <c r="H286" s="7"/>
      <c r="I286" s="8"/>
      <c r="J286" s="9"/>
      <c r="K286" s="10"/>
      <c r="L286" s="10"/>
      <c r="M286" s="11"/>
      <c r="N286" s="10"/>
      <c r="O286" s="42"/>
      <c r="P286" s="10"/>
    </row>
    <row r="287" spans="1:16" x14ac:dyDescent="0.25">
      <c r="A287" s="5"/>
      <c r="B287" s="22"/>
      <c r="C287" s="22"/>
      <c r="D287" s="23"/>
      <c r="E287" s="24"/>
      <c r="F287" s="13"/>
      <c r="G287" s="13"/>
      <c r="H287" s="7"/>
      <c r="I287" s="8"/>
      <c r="J287" s="9"/>
      <c r="K287" s="10"/>
      <c r="L287" s="10"/>
      <c r="M287" s="11"/>
      <c r="N287" s="10"/>
      <c r="O287" s="42"/>
      <c r="P287" s="10"/>
    </row>
    <row r="288" spans="1:16" x14ac:dyDescent="0.25">
      <c r="A288" s="5"/>
      <c r="B288" s="22"/>
      <c r="C288" s="22"/>
      <c r="D288" s="23"/>
      <c r="E288" s="24"/>
      <c r="F288" s="13"/>
      <c r="G288" s="13"/>
      <c r="H288" s="7"/>
      <c r="I288" s="8"/>
      <c r="J288" s="9"/>
      <c r="K288" s="10"/>
      <c r="L288" s="10"/>
      <c r="M288" s="11"/>
      <c r="N288" s="10"/>
      <c r="O288" s="42"/>
      <c r="P288" s="10"/>
    </row>
    <row r="289" spans="1:16" x14ac:dyDescent="0.25">
      <c r="A289" s="5"/>
      <c r="B289" s="22"/>
      <c r="C289" s="22"/>
      <c r="D289" s="23"/>
      <c r="E289" s="24"/>
      <c r="F289" s="13"/>
      <c r="G289" s="13"/>
      <c r="H289" s="7"/>
      <c r="I289" s="8"/>
      <c r="J289" s="9"/>
      <c r="K289" s="10"/>
      <c r="L289" s="10"/>
      <c r="M289" s="11"/>
      <c r="N289" s="10"/>
      <c r="O289" s="42"/>
      <c r="P289" s="10"/>
    </row>
    <row r="290" spans="1:16" x14ac:dyDescent="0.25">
      <c r="A290" s="5"/>
      <c r="B290" s="22"/>
      <c r="C290" s="22"/>
      <c r="D290" s="23"/>
      <c r="E290" s="24"/>
      <c r="F290" s="13"/>
      <c r="G290" s="13"/>
      <c r="H290" s="7"/>
      <c r="I290" s="8"/>
      <c r="J290" s="9"/>
      <c r="K290" s="10"/>
      <c r="L290" s="10"/>
      <c r="M290" s="11"/>
      <c r="N290" s="10"/>
      <c r="O290" s="42"/>
      <c r="P290" s="10"/>
    </row>
    <row r="291" spans="1:16" x14ac:dyDescent="0.25">
      <c r="A291" s="5"/>
      <c r="B291" s="22"/>
      <c r="C291" s="22"/>
      <c r="D291" s="23"/>
      <c r="E291" s="24"/>
      <c r="F291" s="13"/>
      <c r="G291" s="13"/>
      <c r="H291" s="7"/>
      <c r="I291" s="8"/>
      <c r="J291" s="9"/>
      <c r="K291" s="10"/>
      <c r="L291" s="10"/>
      <c r="M291" s="11"/>
      <c r="N291" s="10"/>
      <c r="O291" s="42"/>
      <c r="P291" s="10"/>
    </row>
    <row r="292" spans="1:16" x14ac:dyDescent="0.25">
      <c r="A292" s="5"/>
      <c r="B292" s="22"/>
      <c r="C292" s="22"/>
      <c r="D292" s="23"/>
      <c r="E292" s="24"/>
      <c r="F292" s="13"/>
      <c r="G292" s="13"/>
      <c r="H292" s="7"/>
      <c r="I292" s="8"/>
      <c r="J292" s="9"/>
      <c r="K292" s="10"/>
      <c r="L292" s="10"/>
      <c r="M292" s="11"/>
      <c r="N292" s="10"/>
      <c r="O292" s="42"/>
      <c r="P292" s="10"/>
    </row>
    <row r="293" spans="1:16" x14ac:dyDescent="0.25">
      <c r="A293" s="5"/>
      <c r="B293" s="22"/>
      <c r="C293" s="22"/>
      <c r="D293" s="23"/>
      <c r="E293" s="24"/>
      <c r="F293" s="13"/>
      <c r="G293" s="13"/>
      <c r="H293" s="7"/>
      <c r="I293" s="8"/>
      <c r="J293" s="9"/>
      <c r="K293" s="10"/>
      <c r="L293" s="10"/>
      <c r="M293" s="11"/>
      <c r="N293" s="10"/>
      <c r="O293" s="42"/>
      <c r="P293" s="10"/>
    </row>
    <row r="294" spans="1:16" x14ac:dyDescent="0.25">
      <c r="A294" s="5"/>
      <c r="B294" s="22"/>
      <c r="C294" s="22"/>
      <c r="D294" s="23"/>
      <c r="E294" s="24"/>
      <c r="F294" s="13"/>
      <c r="G294" s="13"/>
      <c r="H294" s="7"/>
      <c r="I294" s="8"/>
      <c r="J294" s="9"/>
      <c r="K294" s="10"/>
      <c r="L294" s="10"/>
      <c r="M294" s="11"/>
      <c r="N294" s="10"/>
      <c r="O294" s="42"/>
      <c r="P294" s="10"/>
    </row>
    <row r="295" spans="1:16" x14ac:dyDescent="0.25">
      <c r="A295" s="5"/>
      <c r="B295" s="22"/>
      <c r="C295" s="22"/>
      <c r="D295" s="23"/>
      <c r="E295" s="24"/>
      <c r="F295" s="13"/>
      <c r="G295" s="13"/>
      <c r="H295" s="7"/>
      <c r="I295" s="8"/>
      <c r="J295" s="9"/>
      <c r="K295" s="10"/>
      <c r="L295" s="10"/>
      <c r="M295" s="11"/>
      <c r="N295" s="10"/>
      <c r="O295" s="42"/>
      <c r="P295" s="10"/>
    </row>
    <row r="296" spans="1:16" x14ac:dyDescent="0.25">
      <c r="A296" s="5"/>
      <c r="B296" s="22"/>
      <c r="C296" s="22"/>
      <c r="D296" s="23"/>
      <c r="E296" s="24"/>
      <c r="F296" s="13"/>
      <c r="G296" s="13"/>
      <c r="H296" s="7"/>
      <c r="I296" s="8"/>
      <c r="J296" s="9"/>
      <c r="K296" s="10"/>
      <c r="L296" s="10"/>
      <c r="M296" s="11"/>
      <c r="N296" s="10"/>
      <c r="O296" s="42"/>
      <c r="P296" s="10"/>
    </row>
    <row r="297" spans="1:16" x14ac:dyDescent="0.25">
      <c r="A297" s="5"/>
      <c r="B297" s="22"/>
      <c r="C297" s="22"/>
      <c r="D297" s="23"/>
      <c r="E297" s="24"/>
      <c r="F297" s="13"/>
      <c r="G297" s="13"/>
      <c r="H297" s="7"/>
      <c r="I297" s="8"/>
      <c r="J297" s="9"/>
      <c r="K297" s="10"/>
      <c r="L297" s="10"/>
      <c r="M297" s="11"/>
      <c r="N297" s="10"/>
      <c r="O297" s="42"/>
      <c r="P297" s="10"/>
    </row>
    <row r="298" spans="1:16" x14ac:dyDescent="0.25">
      <c r="A298" s="5"/>
      <c r="B298" s="22"/>
      <c r="C298" s="22"/>
      <c r="D298" s="23"/>
      <c r="E298" s="24"/>
      <c r="F298" s="13"/>
      <c r="G298" s="13"/>
      <c r="H298" s="7"/>
      <c r="I298" s="8"/>
      <c r="J298" s="9"/>
      <c r="K298" s="10"/>
      <c r="L298" s="10"/>
      <c r="M298" s="11"/>
      <c r="N298" s="10"/>
      <c r="O298" s="42"/>
      <c r="P298" s="10"/>
    </row>
    <row r="299" spans="1:16" x14ac:dyDescent="0.25">
      <c r="A299" s="5"/>
      <c r="B299" s="22"/>
      <c r="C299" s="22"/>
      <c r="D299" s="23"/>
      <c r="E299" s="24"/>
      <c r="F299" s="13"/>
      <c r="G299" s="13"/>
      <c r="H299" s="7"/>
      <c r="I299" s="8"/>
      <c r="J299" s="9"/>
      <c r="K299" s="10"/>
      <c r="L299" s="10"/>
      <c r="M299" s="11"/>
      <c r="N299" s="10"/>
      <c r="O299" s="42"/>
      <c r="P299" s="10"/>
    </row>
    <row r="300" spans="1:16" x14ac:dyDescent="0.25">
      <c r="A300" s="5"/>
      <c r="B300" s="22"/>
      <c r="C300" s="22"/>
      <c r="D300" s="23"/>
      <c r="E300" s="24"/>
      <c r="F300" s="13"/>
      <c r="G300" s="13"/>
      <c r="H300" s="7"/>
      <c r="I300" s="8"/>
      <c r="J300" s="9"/>
      <c r="K300" s="10"/>
      <c r="L300" s="10"/>
      <c r="M300" s="11"/>
      <c r="N300" s="10"/>
      <c r="O300" s="42"/>
      <c r="P300" s="10"/>
    </row>
    <row r="301" spans="1:16" x14ac:dyDescent="0.25">
      <c r="A301" s="5"/>
      <c r="B301" s="22"/>
      <c r="C301" s="22"/>
      <c r="D301" s="23"/>
      <c r="E301" s="24"/>
      <c r="F301" s="13"/>
      <c r="G301" s="13"/>
      <c r="H301" s="7"/>
      <c r="I301" s="8"/>
      <c r="J301" s="9"/>
      <c r="K301" s="10"/>
      <c r="L301" s="10"/>
      <c r="M301" s="11"/>
      <c r="N301" s="10"/>
      <c r="O301" s="42"/>
      <c r="P301" s="10"/>
    </row>
    <row r="302" spans="1:16" x14ac:dyDescent="0.25">
      <c r="A302" s="5"/>
      <c r="B302" s="22"/>
      <c r="C302" s="22"/>
      <c r="D302" s="23"/>
      <c r="E302" s="24"/>
      <c r="F302" s="13"/>
      <c r="G302" s="13"/>
      <c r="H302" s="7"/>
      <c r="I302" s="8"/>
      <c r="J302" s="9"/>
      <c r="K302" s="10"/>
      <c r="L302" s="10"/>
      <c r="M302" s="11"/>
      <c r="N302" s="10"/>
      <c r="O302" s="42"/>
      <c r="P302" s="10"/>
    </row>
    <row r="303" spans="1:16" x14ac:dyDescent="0.25">
      <c r="A303" s="5"/>
      <c r="B303" s="22"/>
      <c r="C303" s="22"/>
      <c r="D303" s="23"/>
      <c r="E303" s="24"/>
      <c r="F303" s="13"/>
      <c r="G303" s="13"/>
      <c r="H303" s="7"/>
      <c r="I303" s="8"/>
      <c r="J303" s="9"/>
      <c r="K303" s="10"/>
      <c r="L303" s="10"/>
      <c r="M303" s="11"/>
      <c r="N303" s="10"/>
      <c r="O303" s="42"/>
      <c r="P303" s="10"/>
    </row>
    <row r="304" spans="1:16" x14ac:dyDescent="0.25">
      <c r="A304" s="16"/>
      <c r="B304" s="22"/>
      <c r="C304" s="22"/>
      <c r="D304" s="23"/>
      <c r="E304" s="24"/>
      <c r="F304" s="13"/>
      <c r="G304" s="13"/>
      <c r="H304" s="7"/>
      <c r="I304" s="8"/>
      <c r="J304" s="9"/>
      <c r="K304" s="10"/>
      <c r="L304" s="10"/>
      <c r="M304" s="11"/>
      <c r="N304" s="10"/>
      <c r="O304" s="42"/>
      <c r="P304" s="10"/>
    </row>
    <row r="305" spans="1:16" x14ac:dyDescent="0.25">
      <c r="A305" s="16"/>
      <c r="B305" s="22"/>
      <c r="C305" s="22"/>
      <c r="D305" s="23"/>
      <c r="E305" s="24"/>
      <c r="F305" s="13"/>
      <c r="G305" s="13"/>
      <c r="H305" s="7"/>
      <c r="I305" s="8"/>
      <c r="J305" s="9"/>
      <c r="K305" s="10"/>
      <c r="L305" s="10"/>
      <c r="M305" s="11"/>
      <c r="N305" s="10"/>
      <c r="O305" s="42"/>
      <c r="P305" s="10"/>
    </row>
    <row r="306" spans="1:16" x14ac:dyDescent="0.25">
      <c r="A306" s="5"/>
      <c r="B306" s="22"/>
      <c r="C306" s="22"/>
      <c r="D306" s="23"/>
      <c r="E306" s="24"/>
      <c r="F306" s="13"/>
      <c r="G306" s="13"/>
      <c r="H306" s="7"/>
      <c r="I306" s="8"/>
      <c r="J306" s="9"/>
      <c r="K306" s="10"/>
      <c r="L306" s="10"/>
      <c r="M306" s="11"/>
      <c r="N306" s="10"/>
      <c r="O306" s="42"/>
      <c r="P306" s="10"/>
    </row>
    <row r="307" spans="1:16" x14ac:dyDescent="0.25">
      <c r="A307" s="5"/>
      <c r="B307" s="22"/>
      <c r="C307" s="22"/>
      <c r="D307" s="23"/>
      <c r="E307" s="24"/>
      <c r="F307" s="13"/>
      <c r="G307" s="13"/>
      <c r="H307" s="7"/>
      <c r="I307" s="8"/>
      <c r="J307" s="9"/>
      <c r="K307" s="10"/>
      <c r="L307" s="10"/>
      <c r="M307" s="11"/>
      <c r="N307" s="10"/>
      <c r="O307" s="42"/>
      <c r="P307" s="10"/>
    </row>
    <row r="308" spans="1:16" x14ac:dyDescent="0.25">
      <c r="A308" s="5"/>
      <c r="B308" s="22"/>
      <c r="C308" s="22"/>
      <c r="D308" s="23"/>
      <c r="E308" s="24"/>
      <c r="F308" s="13"/>
      <c r="G308" s="13"/>
      <c r="H308" s="7"/>
      <c r="I308" s="8"/>
      <c r="J308" s="9"/>
      <c r="K308" s="10"/>
      <c r="L308" s="10"/>
      <c r="M308" s="11"/>
      <c r="N308" s="10"/>
      <c r="O308" s="42"/>
      <c r="P308" s="10"/>
    </row>
    <row r="309" spans="1:16" x14ac:dyDescent="0.25">
      <c r="A309" s="5"/>
      <c r="B309" s="22"/>
      <c r="C309" s="22"/>
      <c r="D309" s="23"/>
      <c r="E309" s="24"/>
      <c r="F309" s="13"/>
      <c r="G309" s="13"/>
      <c r="H309" s="7"/>
      <c r="I309" s="8"/>
      <c r="J309" s="9"/>
      <c r="K309" s="10"/>
      <c r="L309" s="10"/>
      <c r="M309" s="11"/>
      <c r="N309" s="10"/>
      <c r="O309" s="42"/>
      <c r="P309" s="10"/>
    </row>
    <row r="310" spans="1:16" x14ac:dyDescent="0.25">
      <c r="A310" s="5"/>
      <c r="B310" s="22"/>
      <c r="C310" s="22"/>
      <c r="D310" s="23"/>
      <c r="E310" s="24"/>
      <c r="F310" s="13"/>
      <c r="G310" s="13"/>
      <c r="H310" s="7"/>
      <c r="I310" s="8"/>
      <c r="J310" s="9"/>
      <c r="K310" s="10"/>
      <c r="L310" s="10"/>
      <c r="M310" s="11"/>
      <c r="N310" s="10"/>
      <c r="O310" s="42"/>
      <c r="P310" s="10"/>
    </row>
    <row r="311" spans="1:16" x14ac:dyDescent="0.25">
      <c r="A311" s="5"/>
      <c r="B311" s="22"/>
      <c r="C311" s="22"/>
      <c r="D311" s="23"/>
      <c r="E311" s="24"/>
      <c r="F311" s="13"/>
      <c r="G311" s="13"/>
      <c r="H311" s="7"/>
      <c r="I311" s="8"/>
      <c r="J311" s="9"/>
      <c r="K311" s="10"/>
      <c r="L311" s="10"/>
      <c r="M311" s="11"/>
      <c r="N311" s="10"/>
      <c r="O311" s="42"/>
      <c r="P311" s="10"/>
    </row>
    <row r="312" spans="1:16" x14ac:dyDescent="0.25">
      <c r="A312" s="5"/>
      <c r="B312" s="22"/>
      <c r="C312" s="22"/>
      <c r="D312" s="23"/>
      <c r="E312" s="24"/>
      <c r="F312" s="13"/>
      <c r="G312" s="13"/>
      <c r="H312" s="7"/>
      <c r="I312" s="8"/>
      <c r="J312" s="9"/>
      <c r="K312" s="10"/>
      <c r="L312" s="10"/>
      <c r="M312" s="11"/>
      <c r="N312" s="10"/>
      <c r="O312" s="42"/>
      <c r="P312" s="10"/>
    </row>
    <row r="313" spans="1:16" x14ac:dyDescent="0.25">
      <c r="A313" s="5"/>
      <c r="B313" s="22"/>
      <c r="C313" s="22"/>
      <c r="D313" s="23"/>
      <c r="E313" s="24"/>
      <c r="F313" s="13"/>
      <c r="G313" s="13"/>
      <c r="H313" s="7"/>
      <c r="I313" s="8"/>
      <c r="J313" s="9"/>
      <c r="K313" s="10"/>
      <c r="L313" s="10"/>
      <c r="M313" s="11"/>
      <c r="N313" s="10"/>
      <c r="O313" s="42"/>
      <c r="P313" s="10"/>
    </row>
    <row r="314" spans="1:16" x14ac:dyDescent="0.25">
      <c r="A314" s="5"/>
      <c r="B314" s="22"/>
      <c r="C314" s="22"/>
      <c r="D314" s="23"/>
      <c r="E314" s="24"/>
      <c r="F314" s="13"/>
      <c r="G314" s="13"/>
      <c r="H314" s="7"/>
      <c r="I314" s="8"/>
      <c r="J314" s="9"/>
      <c r="K314" s="10"/>
      <c r="L314" s="10"/>
      <c r="M314" s="11"/>
      <c r="N314" s="10"/>
      <c r="O314" s="42"/>
      <c r="P314" s="10"/>
    </row>
    <row r="315" spans="1:16" x14ac:dyDescent="0.25">
      <c r="A315" s="5"/>
      <c r="B315" s="22"/>
      <c r="C315" s="22"/>
      <c r="D315" s="23"/>
      <c r="E315" s="24"/>
      <c r="F315" s="13"/>
      <c r="G315" s="13"/>
      <c r="H315" s="7"/>
      <c r="I315" s="8"/>
      <c r="J315" s="9"/>
      <c r="K315" s="10"/>
      <c r="L315" s="10"/>
      <c r="M315" s="11"/>
      <c r="N315" s="10"/>
      <c r="O315" s="42"/>
      <c r="P315" s="10"/>
    </row>
    <row r="316" spans="1:16" x14ac:dyDescent="0.25">
      <c r="A316" s="5"/>
      <c r="B316" s="22"/>
      <c r="C316" s="22"/>
      <c r="D316" s="23"/>
      <c r="E316" s="24"/>
      <c r="F316" s="13"/>
      <c r="G316" s="13"/>
      <c r="H316" s="7"/>
      <c r="I316" s="8"/>
      <c r="J316" s="9"/>
      <c r="K316" s="10"/>
      <c r="L316" s="10"/>
      <c r="M316" s="11"/>
      <c r="N316" s="10"/>
      <c r="O316" s="42"/>
      <c r="P316" s="10"/>
    </row>
    <row r="317" spans="1:16" x14ac:dyDescent="0.25">
      <c r="A317" s="5"/>
      <c r="B317" s="22"/>
      <c r="C317" s="22"/>
      <c r="D317" s="23"/>
      <c r="E317" s="24"/>
      <c r="F317" s="13"/>
      <c r="G317" s="13"/>
      <c r="H317" s="7"/>
      <c r="I317" s="8"/>
      <c r="J317" s="9"/>
      <c r="K317" s="10"/>
      <c r="L317" s="10"/>
      <c r="M317" s="11"/>
      <c r="N317" s="10"/>
      <c r="O317" s="42"/>
      <c r="P317" s="10"/>
    </row>
    <row r="318" spans="1:16" x14ac:dyDescent="0.25">
      <c r="A318" s="5"/>
      <c r="B318" s="22"/>
      <c r="C318" s="22"/>
      <c r="D318" s="23"/>
      <c r="E318" s="24"/>
      <c r="F318" s="13"/>
      <c r="G318" s="13"/>
      <c r="H318" s="7"/>
      <c r="I318" s="8"/>
      <c r="J318" s="9"/>
      <c r="K318" s="10"/>
      <c r="L318" s="10"/>
      <c r="M318" s="11"/>
      <c r="N318" s="10"/>
      <c r="O318" s="42"/>
      <c r="P318" s="10"/>
    </row>
    <row r="319" spans="1:16" x14ac:dyDescent="0.25">
      <c r="A319" s="5"/>
      <c r="B319" s="22"/>
      <c r="C319" s="22"/>
      <c r="D319" s="23"/>
      <c r="E319" s="24"/>
      <c r="F319" s="13"/>
      <c r="G319" s="13"/>
      <c r="H319" s="7"/>
      <c r="I319" s="8"/>
      <c r="J319" s="9"/>
      <c r="K319" s="10"/>
      <c r="L319" s="10"/>
      <c r="M319" s="11"/>
      <c r="N319" s="10"/>
      <c r="O319" s="42"/>
      <c r="P319" s="10"/>
    </row>
    <row r="320" spans="1:16" x14ac:dyDescent="0.25">
      <c r="A320" s="5"/>
      <c r="B320" s="22"/>
      <c r="C320" s="22"/>
      <c r="D320" s="23"/>
      <c r="E320" s="24"/>
      <c r="F320" s="13"/>
      <c r="G320" s="13"/>
      <c r="H320" s="7"/>
      <c r="I320" s="8"/>
      <c r="J320" s="9"/>
      <c r="K320" s="10"/>
      <c r="L320" s="10"/>
      <c r="M320" s="11"/>
      <c r="N320" s="10"/>
      <c r="O320" s="42"/>
      <c r="P320" s="10"/>
    </row>
    <row r="321" spans="1:16" x14ac:dyDescent="0.25">
      <c r="A321" s="5"/>
      <c r="B321" s="22"/>
      <c r="C321" s="22"/>
      <c r="D321" s="23"/>
      <c r="E321" s="24"/>
      <c r="F321" s="13"/>
      <c r="G321" s="13"/>
      <c r="H321" s="7"/>
      <c r="I321" s="8"/>
      <c r="J321" s="9"/>
      <c r="K321" s="10"/>
      <c r="L321" s="10"/>
      <c r="M321" s="11"/>
      <c r="N321" s="10"/>
      <c r="O321" s="42"/>
      <c r="P321" s="10"/>
    </row>
    <row r="322" spans="1:16" x14ac:dyDescent="0.25">
      <c r="A322" s="5"/>
      <c r="B322" s="22"/>
      <c r="C322" s="22"/>
      <c r="D322" s="23"/>
      <c r="E322" s="24"/>
      <c r="F322" s="13"/>
      <c r="G322" s="13"/>
      <c r="H322" s="7"/>
      <c r="I322" s="8"/>
      <c r="J322" s="9"/>
      <c r="K322" s="10"/>
      <c r="L322" s="10"/>
      <c r="M322" s="11"/>
      <c r="N322" s="10"/>
      <c r="O322" s="42"/>
      <c r="P322" s="10"/>
    </row>
    <row r="323" spans="1:16" x14ac:dyDescent="0.25">
      <c r="A323" s="5"/>
      <c r="B323" s="22"/>
      <c r="C323" s="22"/>
      <c r="D323" s="23"/>
      <c r="E323" s="24"/>
      <c r="F323" s="13"/>
      <c r="G323" s="13"/>
      <c r="H323" s="7"/>
      <c r="I323" s="8"/>
      <c r="J323" s="9"/>
      <c r="K323" s="10"/>
      <c r="L323" s="10"/>
      <c r="M323" s="11"/>
      <c r="N323" s="10"/>
      <c r="O323" s="42"/>
      <c r="P323" s="10"/>
    </row>
    <row r="324" spans="1:16" x14ac:dyDescent="0.25">
      <c r="A324" s="5"/>
      <c r="B324" s="22"/>
      <c r="C324" s="22"/>
      <c r="D324" s="23"/>
      <c r="E324" s="24"/>
      <c r="F324" s="13"/>
      <c r="G324" s="13"/>
      <c r="H324" s="7"/>
      <c r="I324" s="8"/>
      <c r="J324" s="9"/>
      <c r="K324" s="10"/>
      <c r="L324" s="10"/>
      <c r="M324" s="11"/>
      <c r="N324" s="10"/>
      <c r="O324" s="42"/>
      <c r="P324" s="10"/>
    </row>
    <row r="325" spans="1:16" x14ac:dyDescent="0.25">
      <c r="A325" s="5"/>
      <c r="B325" s="22"/>
      <c r="C325" s="22"/>
      <c r="D325" s="23"/>
      <c r="E325" s="24"/>
      <c r="F325" s="13"/>
      <c r="G325" s="13"/>
      <c r="H325" s="7"/>
      <c r="I325" s="8"/>
      <c r="J325" s="9"/>
      <c r="K325" s="10"/>
      <c r="L325" s="10"/>
      <c r="M325" s="11"/>
      <c r="N325" s="10"/>
      <c r="O325" s="42"/>
      <c r="P325" s="10"/>
    </row>
    <row r="326" spans="1:16" x14ac:dyDescent="0.25">
      <c r="A326" s="5"/>
      <c r="B326" s="22"/>
      <c r="C326" s="22"/>
      <c r="D326" s="23"/>
      <c r="E326" s="24"/>
      <c r="F326" s="13"/>
      <c r="G326" s="13"/>
      <c r="H326" s="7"/>
      <c r="I326" s="8"/>
      <c r="J326" s="9"/>
      <c r="K326" s="10"/>
      <c r="L326" s="10"/>
      <c r="M326" s="11"/>
      <c r="N326" s="10"/>
      <c r="O326" s="42"/>
      <c r="P326" s="10"/>
    </row>
    <row r="327" spans="1:16" x14ac:dyDescent="0.25">
      <c r="A327" s="5"/>
      <c r="B327" s="22"/>
      <c r="C327" s="22"/>
      <c r="D327" s="23"/>
      <c r="E327" s="24"/>
      <c r="F327" s="13"/>
      <c r="G327" s="13"/>
      <c r="H327" s="7"/>
      <c r="I327" s="8"/>
      <c r="J327" s="9"/>
      <c r="K327" s="10"/>
      <c r="L327" s="10"/>
      <c r="M327" s="11"/>
      <c r="N327" s="10"/>
      <c r="O327" s="42"/>
      <c r="P327" s="10"/>
    </row>
    <row r="328" spans="1:16" x14ac:dyDescent="0.25">
      <c r="A328" s="5"/>
      <c r="B328" s="22"/>
      <c r="C328" s="22"/>
      <c r="D328" s="23"/>
      <c r="E328" s="24"/>
      <c r="F328" s="13"/>
      <c r="G328" s="13"/>
      <c r="H328" s="7"/>
      <c r="I328" s="8"/>
      <c r="J328" s="9"/>
      <c r="K328" s="10"/>
      <c r="L328" s="10"/>
      <c r="M328" s="11"/>
      <c r="N328" s="10"/>
      <c r="O328" s="42"/>
      <c r="P328" s="10"/>
    </row>
    <row r="329" spans="1:16" x14ac:dyDescent="0.25">
      <c r="A329" s="5"/>
      <c r="B329" s="22"/>
      <c r="C329" s="22"/>
      <c r="D329" s="23"/>
      <c r="E329" s="24"/>
      <c r="F329" s="13"/>
      <c r="G329" s="13"/>
      <c r="H329" s="7"/>
      <c r="I329" s="8"/>
      <c r="J329" s="9"/>
      <c r="K329" s="10"/>
      <c r="L329" s="10"/>
      <c r="M329" s="11"/>
      <c r="N329" s="10"/>
      <c r="O329" s="42"/>
      <c r="P329" s="10"/>
    </row>
    <row r="330" spans="1:16" x14ac:dyDescent="0.25">
      <c r="A330" s="5"/>
      <c r="B330" s="22"/>
      <c r="C330" s="22"/>
      <c r="D330" s="23"/>
      <c r="E330" s="24"/>
      <c r="F330" s="13"/>
      <c r="G330" s="13"/>
      <c r="H330" s="7"/>
      <c r="I330" s="13"/>
      <c r="J330" s="9"/>
      <c r="K330" s="10"/>
      <c r="L330" s="10"/>
      <c r="M330" s="11"/>
      <c r="N330" s="10"/>
      <c r="O330" s="42"/>
      <c r="P330" s="10"/>
    </row>
    <row r="331" spans="1:16" x14ac:dyDescent="0.25">
      <c r="A331" s="5"/>
      <c r="B331" s="22"/>
      <c r="C331" s="22"/>
      <c r="D331" s="23"/>
      <c r="E331" s="24"/>
      <c r="F331" s="13"/>
      <c r="G331" s="13"/>
      <c r="H331" s="7"/>
      <c r="I331" s="8"/>
      <c r="J331" s="9"/>
      <c r="K331" s="10"/>
      <c r="L331" s="10"/>
      <c r="M331" s="11"/>
      <c r="N331" s="10"/>
      <c r="O331" s="42"/>
      <c r="P331" s="10"/>
    </row>
    <row r="332" spans="1:16" x14ac:dyDescent="0.25">
      <c r="A332" s="5"/>
      <c r="B332" s="22"/>
      <c r="C332" s="22"/>
      <c r="D332" s="23"/>
      <c r="E332" s="24"/>
      <c r="F332" s="13"/>
      <c r="G332" s="13"/>
      <c r="H332" s="7"/>
      <c r="I332" s="8"/>
      <c r="J332" s="9"/>
      <c r="K332" s="10"/>
      <c r="L332" s="10"/>
      <c r="M332" s="11"/>
      <c r="N332" s="10"/>
      <c r="O332" s="42"/>
      <c r="P332" s="10"/>
    </row>
    <row r="333" spans="1:16" x14ac:dyDescent="0.25">
      <c r="A333" s="5"/>
      <c r="B333" s="22"/>
      <c r="C333" s="22"/>
      <c r="D333" s="18"/>
      <c r="E333" s="24"/>
      <c r="F333" s="13"/>
      <c r="G333" s="13"/>
      <c r="H333" s="7"/>
      <c r="I333" s="13"/>
      <c r="J333" s="9"/>
      <c r="K333" s="10"/>
      <c r="L333" s="10"/>
      <c r="M333" s="11"/>
      <c r="N333" s="10"/>
      <c r="O333" s="42"/>
      <c r="P333" s="10"/>
    </row>
    <row r="334" spans="1:16" x14ac:dyDescent="0.25">
      <c r="A334" s="5"/>
      <c r="B334" s="22"/>
      <c r="C334" s="22"/>
      <c r="D334" s="18"/>
      <c r="E334" s="24"/>
      <c r="F334" s="13"/>
      <c r="G334" s="13"/>
      <c r="H334" s="7"/>
      <c r="I334" s="13"/>
      <c r="J334" s="9"/>
      <c r="K334" s="10"/>
      <c r="L334" s="10"/>
      <c r="M334" s="11"/>
      <c r="N334" s="10"/>
      <c r="O334" s="42"/>
      <c r="P334" s="10"/>
    </row>
    <row r="335" spans="1:16" x14ac:dyDescent="0.25">
      <c r="A335" s="5"/>
      <c r="B335" s="22"/>
      <c r="C335" s="22"/>
      <c r="D335" s="18"/>
      <c r="E335" s="24"/>
      <c r="F335" s="13"/>
      <c r="G335" s="13"/>
      <c r="H335" s="7"/>
      <c r="I335" s="13"/>
      <c r="J335" s="9"/>
      <c r="K335" s="10"/>
      <c r="L335" s="10"/>
      <c r="M335" s="11"/>
      <c r="N335" s="10"/>
      <c r="O335" s="42"/>
      <c r="P335" s="10"/>
    </row>
    <row r="336" spans="1:16" x14ac:dyDescent="0.25">
      <c r="A336" s="5"/>
      <c r="B336" s="22"/>
      <c r="C336" s="22"/>
      <c r="D336" s="18"/>
      <c r="E336" s="24"/>
      <c r="F336" s="13"/>
      <c r="G336" s="13"/>
      <c r="H336" s="7"/>
      <c r="I336" s="13"/>
      <c r="J336" s="9"/>
      <c r="K336" s="10"/>
      <c r="L336" s="10"/>
      <c r="M336" s="11"/>
      <c r="N336" s="10"/>
      <c r="O336" s="42"/>
      <c r="P336" s="10"/>
    </row>
    <row r="337" spans="1:16" x14ac:dyDescent="0.25">
      <c r="A337" s="5"/>
      <c r="B337" s="22"/>
      <c r="C337" s="22"/>
      <c r="D337" s="18"/>
      <c r="E337" s="24"/>
      <c r="F337" s="13"/>
      <c r="G337" s="13"/>
      <c r="H337" s="7"/>
      <c r="I337" s="13"/>
      <c r="J337" s="9"/>
      <c r="K337" s="10"/>
      <c r="L337" s="10"/>
      <c r="M337" s="11"/>
      <c r="N337" s="10"/>
      <c r="O337" s="42"/>
      <c r="P337" s="10"/>
    </row>
    <row r="338" spans="1:16" x14ac:dyDescent="0.25">
      <c r="A338" s="5"/>
      <c r="B338" s="22"/>
      <c r="C338" s="22"/>
      <c r="D338" s="18"/>
      <c r="E338" s="24"/>
      <c r="F338" s="13"/>
      <c r="G338" s="13"/>
      <c r="H338" s="7"/>
      <c r="I338" s="13"/>
      <c r="J338" s="9"/>
      <c r="K338" s="10"/>
      <c r="L338" s="10"/>
      <c r="M338" s="11"/>
      <c r="N338" s="10"/>
      <c r="O338" s="42"/>
      <c r="P338" s="10"/>
    </row>
    <row r="339" spans="1:16" x14ac:dyDescent="0.25">
      <c r="A339" s="5"/>
      <c r="B339" s="22"/>
      <c r="C339" s="22"/>
      <c r="D339" s="18"/>
      <c r="E339" s="24"/>
      <c r="F339" s="13"/>
      <c r="G339" s="13"/>
      <c r="H339" s="7"/>
      <c r="I339" s="13"/>
      <c r="J339" s="9"/>
      <c r="K339" s="10"/>
      <c r="L339" s="10"/>
      <c r="M339" s="11"/>
      <c r="N339" s="10"/>
      <c r="O339" s="42"/>
      <c r="P339" s="10"/>
    </row>
    <row r="340" spans="1:16" x14ac:dyDescent="0.25">
      <c r="A340" s="5"/>
      <c r="B340" s="22"/>
      <c r="C340" s="22"/>
      <c r="D340" s="18"/>
      <c r="E340" s="24"/>
      <c r="F340" s="13"/>
      <c r="G340" s="13"/>
      <c r="H340" s="7"/>
      <c r="I340" s="13"/>
      <c r="J340" s="9"/>
      <c r="K340" s="10"/>
      <c r="L340" s="10"/>
      <c r="M340" s="11"/>
      <c r="N340" s="10"/>
      <c r="O340" s="42"/>
      <c r="P340" s="10"/>
    </row>
    <row r="341" spans="1:16" x14ac:dyDescent="0.25">
      <c r="A341" s="5"/>
      <c r="B341" s="22"/>
      <c r="C341" s="22"/>
      <c r="D341" s="18"/>
      <c r="E341" s="24"/>
      <c r="F341" s="13"/>
      <c r="G341" s="13"/>
      <c r="H341" s="7"/>
      <c r="I341" s="13"/>
      <c r="J341" s="9"/>
      <c r="K341" s="10"/>
      <c r="L341" s="10"/>
      <c r="M341" s="11"/>
      <c r="N341" s="10"/>
      <c r="O341" s="42"/>
      <c r="P341" s="10"/>
    </row>
    <row r="342" spans="1:16" x14ac:dyDescent="0.25">
      <c r="A342" s="5"/>
      <c r="B342" s="22"/>
      <c r="C342" s="22"/>
      <c r="D342" s="18"/>
      <c r="E342" s="24"/>
      <c r="F342" s="13"/>
      <c r="G342" s="13"/>
      <c r="H342" s="7"/>
      <c r="I342" s="13"/>
      <c r="J342" s="9"/>
      <c r="K342" s="10"/>
      <c r="L342" s="10"/>
      <c r="M342" s="11"/>
      <c r="N342" s="10"/>
      <c r="O342" s="42"/>
      <c r="P342" s="10"/>
    </row>
    <row r="343" spans="1:16" x14ac:dyDescent="0.25">
      <c r="A343" s="5"/>
      <c r="B343" s="22"/>
      <c r="C343" s="22"/>
      <c r="D343" s="18"/>
      <c r="E343" s="24"/>
      <c r="F343" s="13"/>
      <c r="G343" s="13"/>
      <c r="H343" s="7"/>
      <c r="I343" s="13"/>
      <c r="J343" s="9"/>
      <c r="K343" s="10"/>
      <c r="L343" s="10"/>
      <c r="M343" s="11"/>
      <c r="N343" s="10"/>
      <c r="O343" s="42"/>
      <c r="P343" s="10"/>
    </row>
    <row r="344" spans="1:16" x14ac:dyDescent="0.25">
      <c r="A344" s="5"/>
      <c r="B344" s="22"/>
      <c r="C344" s="22"/>
      <c r="D344" s="18"/>
      <c r="E344" s="24"/>
      <c r="F344" s="13"/>
      <c r="G344" s="13"/>
      <c r="H344" s="7"/>
      <c r="I344" s="13"/>
      <c r="J344" s="9"/>
      <c r="K344" s="10"/>
      <c r="L344" s="10"/>
      <c r="M344" s="11"/>
      <c r="N344" s="10"/>
      <c r="O344" s="42"/>
      <c r="P344" s="10"/>
    </row>
    <row r="345" spans="1:16" x14ac:dyDescent="0.25">
      <c r="A345" s="5"/>
      <c r="B345" s="22"/>
      <c r="C345" s="22"/>
      <c r="D345" s="18"/>
      <c r="E345" s="24"/>
      <c r="F345" s="13"/>
      <c r="G345" s="13"/>
      <c r="H345" s="7"/>
      <c r="I345" s="13"/>
      <c r="J345" s="9"/>
      <c r="K345" s="10"/>
      <c r="L345" s="10"/>
      <c r="M345" s="11"/>
      <c r="N345" s="10"/>
      <c r="O345" s="42"/>
      <c r="P345" s="10"/>
    </row>
    <row r="346" spans="1:16" x14ac:dyDescent="0.25">
      <c r="A346" s="5"/>
      <c r="B346" s="22"/>
      <c r="C346" s="22"/>
      <c r="D346" s="18"/>
      <c r="E346" s="24"/>
      <c r="F346" s="13"/>
      <c r="G346" s="13"/>
      <c r="H346" s="7"/>
      <c r="I346" s="13"/>
      <c r="J346" s="9"/>
      <c r="K346" s="10"/>
      <c r="L346" s="10"/>
      <c r="M346" s="11"/>
      <c r="N346" s="10"/>
      <c r="O346" s="42"/>
      <c r="P346" s="10"/>
    </row>
    <row r="347" spans="1:16" x14ac:dyDescent="0.25">
      <c r="A347" s="5"/>
      <c r="B347" s="22"/>
      <c r="C347" s="22"/>
      <c r="D347" s="18"/>
      <c r="E347" s="24"/>
      <c r="F347" s="13"/>
      <c r="G347" s="13"/>
      <c r="H347" s="7"/>
      <c r="I347" s="13"/>
      <c r="J347" s="9"/>
      <c r="K347" s="10"/>
      <c r="L347" s="10"/>
      <c r="M347" s="11"/>
      <c r="N347" s="10"/>
      <c r="O347" s="42"/>
      <c r="P347" s="10"/>
    </row>
    <row r="348" spans="1:16" x14ac:dyDescent="0.25">
      <c r="A348" s="5"/>
      <c r="B348" s="22"/>
      <c r="C348" s="22"/>
      <c r="D348" s="18"/>
      <c r="E348" s="24"/>
      <c r="F348" s="13"/>
      <c r="G348" s="13"/>
      <c r="H348" s="7"/>
      <c r="I348" s="13"/>
      <c r="J348" s="9"/>
      <c r="K348" s="10"/>
      <c r="L348" s="10"/>
      <c r="M348" s="11"/>
      <c r="N348" s="10"/>
      <c r="O348" s="42"/>
      <c r="P348" s="10"/>
    </row>
    <row r="349" spans="1:16" x14ac:dyDescent="0.25">
      <c r="A349" s="5"/>
      <c r="B349" s="22"/>
      <c r="C349" s="22"/>
      <c r="D349" s="18"/>
      <c r="E349" s="24"/>
      <c r="F349" s="13"/>
      <c r="G349" s="13"/>
      <c r="H349" s="7"/>
      <c r="I349" s="13"/>
      <c r="J349" s="9"/>
      <c r="K349" s="10"/>
      <c r="L349" s="10"/>
      <c r="M349" s="11"/>
      <c r="N349" s="10"/>
      <c r="O349" s="42"/>
      <c r="P349" s="10"/>
    </row>
    <row r="350" spans="1:16" x14ac:dyDescent="0.25">
      <c r="A350" s="5"/>
      <c r="B350" s="22"/>
      <c r="C350" s="22"/>
      <c r="D350" s="18"/>
      <c r="E350" s="24"/>
      <c r="F350" s="13"/>
      <c r="G350" s="13"/>
      <c r="H350" s="7"/>
      <c r="I350" s="13"/>
      <c r="J350" s="9"/>
      <c r="K350" s="10"/>
      <c r="L350" s="10"/>
      <c r="M350" s="11"/>
      <c r="N350" s="10"/>
      <c r="O350" s="42"/>
      <c r="P350" s="10"/>
    </row>
    <row r="351" spans="1:16" x14ac:dyDescent="0.25">
      <c r="A351" s="5"/>
      <c r="B351" s="22"/>
      <c r="C351" s="22"/>
      <c r="D351" s="18"/>
      <c r="E351" s="24"/>
      <c r="F351" s="13"/>
      <c r="G351" s="13"/>
      <c r="H351" s="7"/>
      <c r="I351" s="13"/>
      <c r="J351" s="9"/>
      <c r="K351" s="10"/>
      <c r="L351" s="10"/>
      <c r="M351" s="11"/>
      <c r="N351" s="10"/>
      <c r="O351" s="42"/>
      <c r="P351" s="10"/>
    </row>
    <row r="352" spans="1:16" x14ac:dyDescent="0.25">
      <c r="A352" s="5"/>
      <c r="B352" s="22"/>
      <c r="C352" s="22"/>
      <c r="D352" s="18"/>
      <c r="E352" s="24"/>
      <c r="F352" s="13"/>
      <c r="G352" s="13"/>
      <c r="H352" s="7"/>
      <c r="I352" s="13"/>
      <c r="J352" s="9"/>
      <c r="K352" s="10"/>
      <c r="L352" s="10"/>
      <c r="M352" s="11"/>
      <c r="N352" s="10"/>
      <c r="O352" s="42"/>
      <c r="P352" s="10"/>
    </row>
    <row r="353" spans="1:16" x14ac:dyDescent="0.25">
      <c r="A353" s="5"/>
      <c r="B353" s="22"/>
      <c r="C353" s="22"/>
      <c r="D353" s="18"/>
      <c r="E353" s="24"/>
      <c r="F353" s="13"/>
      <c r="G353" s="13"/>
      <c r="H353" s="7"/>
      <c r="I353" s="13"/>
      <c r="J353" s="9"/>
      <c r="K353" s="10"/>
      <c r="L353" s="10"/>
      <c r="M353" s="11"/>
      <c r="N353" s="10"/>
      <c r="O353" s="42"/>
      <c r="P353" s="10"/>
    </row>
    <row r="354" spans="1:16" x14ac:dyDescent="0.25">
      <c r="A354" s="5"/>
      <c r="B354" s="22"/>
      <c r="C354" s="22"/>
      <c r="D354" s="18"/>
      <c r="E354" s="24"/>
      <c r="F354" s="13"/>
      <c r="G354" s="13"/>
      <c r="H354" s="7"/>
      <c r="I354" s="13"/>
      <c r="J354" s="9"/>
      <c r="K354" s="10"/>
      <c r="L354" s="10"/>
      <c r="M354" s="11"/>
      <c r="N354" s="10"/>
      <c r="O354" s="42"/>
      <c r="P354" s="10"/>
    </row>
    <row r="355" spans="1:16" x14ac:dyDescent="0.25">
      <c r="A355" s="5"/>
      <c r="B355" s="22"/>
      <c r="C355" s="22"/>
      <c r="D355" s="18"/>
      <c r="E355" s="24"/>
      <c r="F355" s="13"/>
      <c r="G355" s="13"/>
      <c r="H355" s="7"/>
      <c r="I355" s="13"/>
      <c r="J355" s="9"/>
      <c r="K355" s="10"/>
      <c r="L355" s="10"/>
      <c r="M355" s="11"/>
      <c r="N355" s="10"/>
      <c r="O355" s="42"/>
      <c r="P355" s="10"/>
    </row>
    <row r="356" spans="1:16" x14ac:dyDescent="0.25">
      <c r="A356" s="5"/>
      <c r="B356" s="22"/>
      <c r="C356" s="22"/>
      <c r="D356" s="18"/>
      <c r="E356" s="24"/>
      <c r="F356" s="13"/>
      <c r="G356" s="13"/>
      <c r="H356" s="7"/>
      <c r="I356" s="13"/>
      <c r="J356" s="9"/>
      <c r="K356" s="10"/>
      <c r="L356" s="10"/>
      <c r="M356" s="11"/>
      <c r="N356" s="10"/>
      <c r="O356" s="42"/>
      <c r="P356" s="10"/>
    </row>
    <row r="357" spans="1:16" x14ac:dyDescent="0.25">
      <c r="A357" s="5"/>
      <c r="B357" s="22"/>
      <c r="C357" s="22"/>
      <c r="D357" s="18"/>
      <c r="E357" s="24"/>
      <c r="F357" s="13"/>
      <c r="G357" s="13"/>
      <c r="H357" s="7"/>
      <c r="I357" s="13"/>
      <c r="J357" s="9"/>
      <c r="K357" s="10"/>
      <c r="L357" s="10"/>
      <c r="M357" s="11"/>
      <c r="N357" s="10"/>
      <c r="O357" s="42"/>
      <c r="P357" s="10"/>
    </row>
    <row r="358" spans="1:16" x14ac:dyDescent="0.25">
      <c r="A358" s="5"/>
      <c r="B358" s="22"/>
      <c r="C358" s="22"/>
      <c r="D358" s="18"/>
      <c r="E358" s="24"/>
      <c r="F358" s="13"/>
      <c r="G358" s="13"/>
      <c r="H358" s="7"/>
      <c r="I358" s="13"/>
      <c r="J358" s="9"/>
      <c r="K358" s="10"/>
      <c r="L358" s="10"/>
      <c r="M358" s="11"/>
      <c r="N358" s="10"/>
      <c r="O358" s="42"/>
      <c r="P358" s="10"/>
    </row>
    <row r="359" spans="1:16" x14ac:dyDescent="0.25">
      <c r="A359" s="5"/>
      <c r="B359" s="22"/>
      <c r="C359" s="22"/>
      <c r="D359" s="18"/>
      <c r="E359" s="24"/>
      <c r="F359" s="13"/>
      <c r="G359" s="13"/>
      <c r="H359" s="7"/>
      <c r="I359" s="13"/>
      <c r="J359" s="9"/>
      <c r="K359" s="10"/>
      <c r="L359" s="10"/>
      <c r="M359" s="11"/>
      <c r="N359" s="10"/>
      <c r="O359" s="42"/>
      <c r="P359" s="10"/>
    </row>
    <row r="360" spans="1:16" x14ac:dyDescent="0.25">
      <c r="A360" s="5"/>
      <c r="B360" s="22"/>
      <c r="C360" s="22"/>
      <c r="D360" s="18"/>
      <c r="E360" s="24"/>
      <c r="F360" s="13"/>
      <c r="G360" s="13"/>
      <c r="H360" s="7"/>
      <c r="I360" s="13"/>
      <c r="J360" s="9"/>
      <c r="K360" s="10"/>
      <c r="L360" s="10"/>
      <c r="M360" s="11"/>
      <c r="N360" s="10"/>
      <c r="O360" s="42"/>
      <c r="P360" s="10"/>
    </row>
    <row r="361" spans="1:16" x14ac:dyDescent="0.25">
      <c r="A361" s="5"/>
      <c r="B361" s="22"/>
      <c r="C361" s="22"/>
      <c r="D361" s="18"/>
      <c r="E361" s="24"/>
      <c r="F361" s="13"/>
      <c r="G361" s="13"/>
      <c r="H361" s="7"/>
      <c r="I361" s="13"/>
      <c r="J361" s="9"/>
      <c r="K361" s="10"/>
      <c r="L361" s="10"/>
      <c r="M361" s="11"/>
      <c r="N361" s="10"/>
      <c r="O361" s="42"/>
      <c r="P361" s="10"/>
    </row>
    <row r="362" spans="1:16" x14ac:dyDescent="0.25">
      <c r="A362" s="5"/>
      <c r="B362" s="22"/>
      <c r="C362" s="22"/>
      <c r="D362" s="18"/>
      <c r="E362" s="24"/>
      <c r="F362" s="13"/>
      <c r="G362" s="13"/>
      <c r="H362" s="7"/>
      <c r="I362" s="13"/>
      <c r="J362" s="9"/>
      <c r="K362" s="10"/>
      <c r="L362" s="10"/>
      <c r="M362" s="11"/>
      <c r="N362" s="10"/>
      <c r="O362" s="42"/>
      <c r="P362" s="10"/>
    </row>
    <row r="363" spans="1:16" x14ac:dyDescent="0.25">
      <c r="A363" s="5"/>
      <c r="B363" s="22"/>
      <c r="C363" s="22"/>
      <c r="D363" s="18"/>
      <c r="E363" s="24"/>
      <c r="F363" s="13"/>
      <c r="G363" s="13"/>
      <c r="H363" s="7"/>
      <c r="I363" s="13"/>
      <c r="J363" s="9"/>
      <c r="K363" s="10"/>
      <c r="L363" s="10"/>
      <c r="M363" s="11"/>
      <c r="N363" s="10"/>
      <c r="O363" s="42"/>
      <c r="P363" s="10"/>
    </row>
    <row r="364" spans="1:16" x14ac:dyDescent="0.25">
      <c r="A364" s="5"/>
      <c r="B364" s="22"/>
      <c r="C364" s="22"/>
      <c r="D364" s="18"/>
      <c r="E364" s="24"/>
      <c r="F364" s="13"/>
      <c r="G364" s="13"/>
      <c r="H364" s="7"/>
      <c r="I364" s="13"/>
      <c r="J364" s="9"/>
      <c r="K364" s="10"/>
      <c r="L364" s="10"/>
      <c r="M364" s="11"/>
      <c r="N364" s="10"/>
      <c r="O364" s="42"/>
      <c r="P364" s="10"/>
    </row>
    <row r="365" spans="1:16" x14ac:dyDescent="0.25">
      <c r="A365" s="5"/>
      <c r="B365" s="22"/>
      <c r="C365" s="22"/>
      <c r="D365" s="18"/>
      <c r="E365" s="24"/>
      <c r="F365" s="13"/>
      <c r="G365" s="13"/>
      <c r="H365" s="7"/>
      <c r="I365" s="13"/>
      <c r="J365" s="9"/>
      <c r="K365" s="10"/>
      <c r="L365" s="10"/>
      <c r="M365" s="11"/>
      <c r="N365" s="10"/>
      <c r="O365" s="42"/>
      <c r="P365" s="10"/>
    </row>
    <row r="366" spans="1:16" x14ac:dyDescent="0.25">
      <c r="A366" s="5"/>
      <c r="B366" s="22"/>
      <c r="C366" s="22"/>
      <c r="D366" s="18"/>
      <c r="E366" s="24"/>
      <c r="F366" s="13"/>
      <c r="G366" s="13"/>
      <c r="H366" s="7"/>
      <c r="I366" s="13"/>
      <c r="J366" s="9"/>
      <c r="K366" s="10"/>
      <c r="L366" s="10"/>
      <c r="M366" s="11"/>
      <c r="N366" s="10"/>
      <c r="O366" s="42"/>
      <c r="P366" s="10"/>
    </row>
    <row r="367" spans="1:16" x14ac:dyDescent="0.25">
      <c r="A367" s="5"/>
      <c r="B367" s="22"/>
      <c r="C367" s="22"/>
      <c r="D367" s="18"/>
      <c r="E367" s="24"/>
      <c r="F367" s="13"/>
      <c r="G367" s="13"/>
      <c r="H367" s="7"/>
      <c r="I367" s="13"/>
      <c r="J367" s="9"/>
      <c r="K367" s="10"/>
      <c r="L367" s="10"/>
      <c r="M367" s="11"/>
      <c r="N367" s="10"/>
      <c r="O367" s="42"/>
      <c r="P367" s="10"/>
    </row>
    <row r="368" spans="1:16" x14ac:dyDescent="0.25">
      <c r="A368" s="5"/>
      <c r="B368" s="22"/>
      <c r="C368" s="22"/>
      <c r="D368" s="18"/>
      <c r="E368" s="24"/>
      <c r="F368" s="13"/>
      <c r="G368" s="13"/>
      <c r="H368" s="7"/>
      <c r="I368" s="13"/>
      <c r="J368" s="9"/>
      <c r="K368" s="10"/>
      <c r="L368" s="10"/>
      <c r="M368" s="11"/>
      <c r="N368" s="10"/>
      <c r="O368" s="42"/>
      <c r="P368" s="10"/>
    </row>
    <row r="369" spans="1:16" x14ac:dyDescent="0.25">
      <c r="A369" s="5"/>
      <c r="B369" s="22"/>
      <c r="C369" s="22"/>
      <c r="D369" s="18"/>
      <c r="E369" s="24"/>
      <c r="F369" s="13"/>
      <c r="G369" s="13"/>
      <c r="H369" s="7"/>
      <c r="I369" s="13"/>
      <c r="J369" s="9"/>
      <c r="K369" s="10"/>
      <c r="L369" s="10"/>
      <c r="M369" s="11"/>
      <c r="N369" s="10"/>
      <c r="O369" s="42"/>
      <c r="P369" s="10"/>
    </row>
    <row r="370" spans="1:16" x14ac:dyDescent="0.25">
      <c r="A370" s="5"/>
      <c r="B370" s="22"/>
      <c r="C370" s="22"/>
      <c r="D370" s="18"/>
      <c r="E370" s="24"/>
      <c r="F370" s="13"/>
      <c r="G370" s="13"/>
      <c r="H370" s="7"/>
      <c r="I370" s="13"/>
      <c r="J370" s="9"/>
      <c r="K370" s="10"/>
      <c r="L370" s="10"/>
      <c r="M370" s="11"/>
      <c r="N370" s="10"/>
      <c r="O370" s="42"/>
      <c r="P370" s="10"/>
    </row>
    <row r="371" spans="1:16" x14ac:dyDescent="0.25">
      <c r="A371" s="5"/>
      <c r="B371" s="22"/>
      <c r="C371" s="22"/>
      <c r="D371" s="18"/>
      <c r="E371" s="24"/>
      <c r="F371" s="13"/>
      <c r="G371" s="13"/>
      <c r="H371" s="7"/>
      <c r="I371" s="13"/>
      <c r="J371" s="9"/>
      <c r="K371" s="10"/>
      <c r="L371" s="10"/>
      <c r="M371" s="11"/>
      <c r="N371" s="10"/>
      <c r="O371" s="42"/>
      <c r="P371" s="10"/>
    </row>
    <row r="372" spans="1:16" x14ac:dyDescent="0.25">
      <c r="A372" s="5"/>
      <c r="B372" s="22"/>
      <c r="C372" s="22"/>
      <c r="D372" s="18"/>
      <c r="E372" s="24"/>
      <c r="F372" s="13"/>
      <c r="G372" s="13"/>
      <c r="H372" s="7"/>
      <c r="I372" s="13"/>
      <c r="J372" s="9"/>
      <c r="K372" s="10"/>
      <c r="L372" s="10"/>
      <c r="M372" s="11"/>
      <c r="N372" s="10"/>
      <c r="O372" s="42"/>
      <c r="P372" s="10"/>
    </row>
    <row r="373" spans="1:16" x14ac:dyDescent="0.25">
      <c r="A373" s="5"/>
      <c r="B373" s="22"/>
      <c r="C373" s="22"/>
      <c r="D373" s="18"/>
      <c r="E373" s="24"/>
      <c r="F373" s="13"/>
      <c r="G373" s="13"/>
      <c r="H373" s="7"/>
      <c r="I373" s="13"/>
      <c r="J373" s="9"/>
      <c r="K373" s="10"/>
      <c r="L373" s="10"/>
      <c r="M373" s="11"/>
      <c r="N373" s="10"/>
      <c r="O373" s="42"/>
      <c r="P373" s="10"/>
    </row>
    <row r="374" spans="1:16" x14ac:dyDescent="0.25">
      <c r="A374" s="5"/>
      <c r="B374" s="22"/>
      <c r="C374" s="22"/>
      <c r="D374" s="18"/>
      <c r="E374" s="24"/>
      <c r="F374" s="13"/>
      <c r="G374" s="13"/>
      <c r="H374" s="7"/>
      <c r="I374" s="13"/>
      <c r="J374" s="9"/>
      <c r="K374" s="10"/>
      <c r="L374" s="10"/>
      <c r="M374" s="11"/>
      <c r="N374" s="10"/>
      <c r="O374" s="42"/>
      <c r="P374" s="10"/>
    </row>
    <row r="375" spans="1:16" x14ac:dyDescent="0.25">
      <c r="A375" s="5"/>
      <c r="B375" s="22"/>
      <c r="C375" s="22"/>
      <c r="D375" s="18"/>
      <c r="E375" s="24"/>
      <c r="F375" s="13"/>
      <c r="G375" s="13"/>
      <c r="H375" s="7"/>
      <c r="I375" s="13"/>
      <c r="J375" s="9"/>
      <c r="K375" s="10"/>
      <c r="L375" s="10"/>
      <c r="M375" s="11"/>
      <c r="N375" s="10"/>
      <c r="O375" s="42"/>
      <c r="P375" s="10"/>
    </row>
    <row r="376" spans="1:16" x14ac:dyDescent="0.25">
      <c r="A376" s="5"/>
      <c r="B376" s="22"/>
      <c r="C376" s="22"/>
      <c r="D376" s="18"/>
      <c r="E376" s="24"/>
      <c r="F376" s="13"/>
      <c r="G376" s="13"/>
      <c r="H376" s="7"/>
      <c r="I376" s="13"/>
      <c r="J376" s="9"/>
      <c r="K376" s="10"/>
      <c r="L376" s="10"/>
      <c r="M376" s="11"/>
      <c r="N376" s="10"/>
      <c r="O376" s="42"/>
      <c r="P376" s="10"/>
    </row>
    <row r="377" spans="1:16" x14ac:dyDescent="0.25">
      <c r="A377" s="5"/>
      <c r="B377" s="22"/>
      <c r="C377" s="22"/>
      <c r="D377" s="18"/>
      <c r="E377" s="24"/>
      <c r="F377" s="13"/>
      <c r="G377" s="13"/>
      <c r="H377" s="7"/>
      <c r="I377" s="13"/>
      <c r="J377" s="9"/>
      <c r="K377" s="10"/>
      <c r="L377" s="10"/>
      <c r="M377" s="11"/>
      <c r="N377" s="10"/>
      <c r="O377" s="42"/>
      <c r="P377" s="10"/>
    </row>
    <row r="378" spans="1:16" x14ac:dyDescent="0.25">
      <c r="A378" s="5"/>
      <c r="B378" s="22"/>
      <c r="C378" s="22"/>
      <c r="D378" s="18"/>
      <c r="E378" s="24"/>
      <c r="F378" s="13"/>
      <c r="G378" s="13"/>
      <c r="H378" s="7"/>
      <c r="I378" s="13"/>
      <c r="J378" s="9"/>
      <c r="K378" s="10"/>
      <c r="L378" s="10"/>
      <c r="M378" s="11"/>
      <c r="N378" s="10"/>
      <c r="O378" s="42"/>
      <c r="P378" s="10"/>
    </row>
    <row r="379" spans="1:16" x14ac:dyDescent="0.25">
      <c r="A379" s="5"/>
      <c r="B379" s="22"/>
      <c r="C379" s="22"/>
      <c r="D379" s="18"/>
      <c r="E379" s="24"/>
      <c r="F379" s="13"/>
      <c r="G379" s="13"/>
      <c r="H379" s="7"/>
      <c r="I379" s="13"/>
      <c r="J379" s="9"/>
      <c r="K379" s="10"/>
      <c r="L379" s="10"/>
      <c r="M379" s="11"/>
      <c r="N379" s="10"/>
      <c r="O379" s="42"/>
      <c r="P379" s="10"/>
    </row>
    <row r="380" spans="1:16" x14ac:dyDescent="0.25">
      <c r="A380" s="5"/>
      <c r="B380" s="22"/>
      <c r="C380" s="22"/>
      <c r="D380" s="18"/>
      <c r="E380" s="24"/>
      <c r="F380" s="13"/>
      <c r="G380" s="13"/>
      <c r="H380" s="7"/>
      <c r="I380" s="13"/>
      <c r="J380" s="9"/>
      <c r="K380" s="10"/>
      <c r="L380" s="10"/>
      <c r="M380" s="11"/>
      <c r="N380" s="10"/>
      <c r="O380" s="42"/>
      <c r="P380" s="10"/>
    </row>
    <row r="381" spans="1:16" x14ac:dyDescent="0.25">
      <c r="A381" s="5"/>
      <c r="B381" s="22"/>
      <c r="C381" s="22"/>
      <c r="D381" s="18"/>
      <c r="E381" s="24"/>
      <c r="F381" s="13"/>
      <c r="G381" s="13"/>
      <c r="H381" s="7"/>
      <c r="I381" s="13"/>
      <c r="J381" s="9"/>
      <c r="K381" s="10"/>
      <c r="L381" s="10"/>
      <c r="M381" s="11"/>
      <c r="N381" s="10"/>
      <c r="O381" s="42"/>
      <c r="P381" s="10"/>
    </row>
    <row r="382" spans="1:16" x14ac:dyDescent="0.25">
      <c r="A382" s="5"/>
      <c r="B382" s="22"/>
      <c r="C382" s="22"/>
      <c r="D382" s="18"/>
      <c r="E382" s="24"/>
      <c r="F382" s="13"/>
      <c r="G382" s="13"/>
      <c r="H382" s="7"/>
      <c r="I382" s="13"/>
      <c r="J382" s="9"/>
      <c r="K382" s="10"/>
      <c r="L382" s="10"/>
      <c r="M382" s="11"/>
      <c r="N382" s="10"/>
      <c r="O382" s="42"/>
      <c r="P382" s="10"/>
    </row>
    <row r="383" spans="1:16" x14ac:dyDescent="0.25">
      <c r="A383" s="5"/>
      <c r="B383" s="22"/>
      <c r="C383" s="22"/>
      <c r="D383" s="18"/>
      <c r="E383" s="24"/>
      <c r="F383" s="13"/>
      <c r="G383" s="13"/>
      <c r="H383" s="7"/>
      <c r="I383" s="13"/>
      <c r="J383" s="9"/>
      <c r="K383" s="10"/>
      <c r="L383" s="10"/>
      <c r="M383" s="11"/>
      <c r="N383" s="10"/>
      <c r="O383" s="42"/>
      <c r="P383" s="10"/>
    </row>
    <row r="384" spans="1:16" x14ac:dyDescent="0.25">
      <c r="A384" s="5"/>
      <c r="B384" s="22"/>
      <c r="C384" s="22"/>
      <c r="D384" s="18"/>
      <c r="E384" s="24"/>
      <c r="F384" s="13"/>
      <c r="G384" s="13"/>
      <c r="H384" s="7"/>
      <c r="I384" s="13"/>
      <c r="J384" s="9"/>
      <c r="K384" s="10"/>
      <c r="L384" s="10"/>
      <c r="M384" s="11"/>
      <c r="N384" s="10"/>
      <c r="O384" s="42"/>
      <c r="P384" s="10"/>
    </row>
    <row r="385" spans="1:16" x14ac:dyDescent="0.25">
      <c r="A385" s="5"/>
      <c r="B385" s="22"/>
      <c r="C385" s="22"/>
      <c r="D385" s="18"/>
      <c r="E385" s="24"/>
      <c r="F385" s="13"/>
      <c r="G385" s="13"/>
      <c r="H385" s="7"/>
      <c r="I385" s="13"/>
      <c r="J385" s="9"/>
      <c r="K385" s="10"/>
      <c r="L385" s="10"/>
      <c r="M385" s="11"/>
      <c r="N385" s="10"/>
      <c r="O385" s="42"/>
      <c r="P385" s="10"/>
    </row>
    <row r="386" spans="1:16" x14ac:dyDescent="0.25">
      <c r="A386" s="5"/>
      <c r="B386" s="22"/>
      <c r="C386" s="22"/>
      <c r="D386" s="18"/>
      <c r="E386" s="24"/>
      <c r="F386" s="13"/>
      <c r="G386" s="13"/>
      <c r="H386" s="7"/>
      <c r="I386" s="13"/>
      <c r="J386" s="9"/>
      <c r="K386" s="10"/>
      <c r="L386" s="10"/>
      <c r="M386" s="11"/>
      <c r="N386" s="10"/>
      <c r="O386" s="42"/>
      <c r="P386" s="10"/>
    </row>
    <row r="387" spans="1:16" x14ac:dyDescent="0.25">
      <c r="A387" s="5"/>
      <c r="B387" s="22"/>
      <c r="C387" s="22"/>
      <c r="D387" s="18"/>
      <c r="E387" s="24"/>
      <c r="F387" s="13"/>
      <c r="G387" s="13"/>
      <c r="H387" s="7"/>
      <c r="I387" s="13"/>
      <c r="J387" s="9"/>
      <c r="K387" s="10"/>
      <c r="L387" s="10"/>
      <c r="M387" s="11"/>
      <c r="N387" s="10"/>
      <c r="O387" s="42"/>
      <c r="P387" s="10"/>
    </row>
    <row r="388" spans="1:16" x14ac:dyDescent="0.25">
      <c r="A388" s="5"/>
      <c r="B388" s="22"/>
      <c r="C388" s="22"/>
      <c r="D388" s="18"/>
      <c r="E388" s="24"/>
      <c r="F388" s="13"/>
      <c r="G388" s="13"/>
      <c r="H388" s="7"/>
      <c r="I388" s="13"/>
      <c r="J388" s="9"/>
      <c r="K388" s="10"/>
      <c r="L388" s="10"/>
      <c r="M388" s="11"/>
      <c r="N388" s="10"/>
      <c r="O388" s="42"/>
      <c r="P388" s="10"/>
    </row>
    <row r="389" spans="1:16" x14ac:dyDescent="0.25">
      <c r="A389" s="5"/>
      <c r="B389" s="22"/>
      <c r="C389" s="22"/>
      <c r="D389" s="18"/>
      <c r="E389" s="24"/>
      <c r="F389" s="13"/>
      <c r="G389" s="13"/>
      <c r="H389" s="7"/>
      <c r="I389" s="13"/>
      <c r="J389" s="9"/>
      <c r="K389" s="10"/>
      <c r="L389" s="10"/>
      <c r="M389" s="11"/>
      <c r="N389" s="10"/>
      <c r="O389" s="42"/>
      <c r="P389" s="10"/>
    </row>
    <row r="390" spans="1:16" x14ac:dyDescent="0.25">
      <c r="A390" s="5"/>
      <c r="B390" s="22"/>
      <c r="C390" s="22"/>
      <c r="D390" s="18"/>
      <c r="E390" s="24"/>
      <c r="F390" s="13"/>
      <c r="G390" s="13"/>
      <c r="H390" s="7"/>
      <c r="I390" s="13"/>
      <c r="J390" s="9"/>
      <c r="K390" s="10"/>
      <c r="L390" s="10"/>
      <c r="M390" s="11"/>
      <c r="N390" s="10"/>
      <c r="O390" s="42"/>
      <c r="P390" s="10"/>
    </row>
    <row r="391" spans="1:16" x14ac:dyDescent="0.25">
      <c r="A391" s="5"/>
      <c r="B391" s="22"/>
      <c r="C391" s="22"/>
      <c r="D391" s="18"/>
      <c r="E391" s="24"/>
      <c r="F391" s="13"/>
      <c r="G391" s="13"/>
      <c r="H391" s="7"/>
      <c r="I391" s="13"/>
      <c r="J391" s="9"/>
      <c r="K391" s="10"/>
      <c r="L391" s="10"/>
      <c r="M391" s="11"/>
      <c r="N391" s="10"/>
      <c r="O391" s="42"/>
      <c r="P391" s="10"/>
    </row>
    <row r="392" spans="1:16" x14ac:dyDescent="0.25">
      <c r="A392" s="5"/>
      <c r="B392" s="22"/>
      <c r="C392" s="22"/>
      <c r="D392" s="18"/>
      <c r="E392" s="24"/>
      <c r="F392" s="13"/>
      <c r="G392" s="13"/>
      <c r="H392" s="7"/>
      <c r="I392" s="13"/>
      <c r="J392" s="9"/>
      <c r="K392" s="10"/>
      <c r="L392" s="10"/>
      <c r="M392" s="11"/>
      <c r="N392" s="10"/>
      <c r="O392" s="42"/>
      <c r="P392" s="10"/>
    </row>
    <row r="393" spans="1:16" x14ac:dyDescent="0.25">
      <c r="A393" s="5"/>
      <c r="B393" s="22"/>
      <c r="C393" s="22"/>
      <c r="D393" s="18"/>
      <c r="E393" s="24"/>
      <c r="F393" s="13"/>
      <c r="G393" s="13"/>
      <c r="H393" s="7"/>
      <c r="I393" s="13"/>
      <c r="J393" s="9"/>
      <c r="K393" s="10"/>
      <c r="L393" s="10"/>
      <c r="M393" s="11"/>
      <c r="N393" s="10"/>
      <c r="O393" s="42"/>
      <c r="P393" s="10"/>
    </row>
    <row r="394" spans="1:16" x14ac:dyDescent="0.25">
      <c r="A394" s="5"/>
      <c r="B394" s="22"/>
      <c r="C394" s="22"/>
      <c r="D394" s="18"/>
      <c r="E394" s="24"/>
      <c r="F394" s="13"/>
      <c r="G394" s="13"/>
      <c r="H394" s="7"/>
      <c r="I394" s="13"/>
      <c r="J394" s="9"/>
      <c r="K394" s="10"/>
      <c r="L394" s="10"/>
      <c r="M394" s="11"/>
      <c r="N394" s="10"/>
      <c r="O394" s="42"/>
      <c r="P394" s="10"/>
    </row>
    <row r="395" spans="1:16" x14ac:dyDescent="0.25">
      <c r="A395" s="5"/>
      <c r="B395" s="22"/>
      <c r="C395" s="22"/>
      <c r="D395" s="18"/>
      <c r="E395" s="24"/>
      <c r="F395" s="13"/>
      <c r="G395" s="13"/>
      <c r="H395" s="7"/>
      <c r="I395" s="13"/>
      <c r="J395" s="9"/>
      <c r="K395" s="10"/>
      <c r="L395" s="10"/>
      <c r="M395" s="11"/>
      <c r="N395" s="10"/>
      <c r="O395" s="42"/>
      <c r="P395" s="10"/>
    </row>
    <row r="396" spans="1:16" x14ac:dyDescent="0.25">
      <c r="A396" s="5"/>
      <c r="B396" s="22"/>
      <c r="C396" s="22"/>
      <c r="D396" s="18"/>
      <c r="E396" s="24"/>
      <c r="F396" s="13"/>
      <c r="G396" s="13"/>
      <c r="H396" s="7"/>
      <c r="I396" s="13"/>
      <c r="J396" s="9"/>
      <c r="K396" s="10"/>
      <c r="L396" s="10"/>
      <c r="M396" s="11"/>
      <c r="N396" s="10"/>
      <c r="O396" s="42"/>
      <c r="P396" s="10"/>
    </row>
    <row r="397" spans="1:16" x14ac:dyDescent="0.25">
      <c r="A397" s="5"/>
      <c r="B397" s="22"/>
      <c r="C397" s="22"/>
      <c r="D397" s="18"/>
      <c r="E397" s="24"/>
      <c r="F397" s="13"/>
      <c r="G397" s="13"/>
      <c r="H397" s="7"/>
      <c r="I397" s="13"/>
      <c r="J397" s="9"/>
      <c r="K397" s="10"/>
      <c r="L397" s="10"/>
      <c r="M397" s="11"/>
      <c r="N397" s="10"/>
      <c r="O397" s="42"/>
      <c r="P397" s="10"/>
    </row>
    <row r="398" spans="1:16" x14ac:dyDescent="0.25">
      <c r="A398" s="5"/>
      <c r="B398" s="22"/>
      <c r="C398" s="22"/>
      <c r="D398" s="18"/>
      <c r="E398" s="24"/>
      <c r="F398" s="13"/>
      <c r="G398" s="13"/>
      <c r="H398" s="7"/>
      <c r="I398" s="13"/>
      <c r="J398" s="9"/>
      <c r="K398" s="10"/>
      <c r="L398" s="10"/>
      <c r="M398" s="11"/>
      <c r="N398" s="10"/>
      <c r="O398" s="42"/>
      <c r="P398" s="10"/>
    </row>
    <row r="399" spans="1:16" x14ac:dyDescent="0.25">
      <c r="A399" s="5"/>
      <c r="B399" s="22"/>
      <c r="C399" s="22"/>
      <c r="D399" s="18"/>
      <c r="E399" s="24"/>
      <c r="F399" s="13"/>
      <c r="G399" s="13"/>
      <c r="H399" s="7"/>
      <c r="I399" s="13"/>
      <c r="J399" s="9"/>
      <c r="K399" s="10"/>
      <c r="L399" s="10"/>
      <c r="M399" s="11"/>
      <c r="N399" s="10"/>
      <c r="O399" s="42"/>
      <c r="P399" s="10"/>
    </row>
    <row r="400" spans="1:16" x14ac:dyDescent="0.25">
      <c r="A400" s="5"/>
      <c r="B400" s="22"/>
      <c r="C400" s="22"/>
      <c r="D400" s="18"/>
      <c r="E400" s="24"/>
      <c r="F400" s="13"/>
      <c r="G400" s="13"/>
      <c r="H400" s="7"/>
      <c r="I400" s="13"/>
      <c r="J400" s="9"/>
      <c r="K400" s="10"/>
      <c r="L400" s="10"/>
      <c r="M400" s="11"/>
      <c r="N400" s="10"/>
      <c r="O400" s="42"/>
      <c r="P400" s="10"/>
    </row>
    <row r="401" spans="1:16" x14ac:dyDescent="0.25">
      <c r="A401" s="5"/>
      <c r="B401" s="22"/>
      <c r="C401" s="22"/>
      <c r="D401" s="18"/>
      <c r="E401" s="24"/>
      <c r="F401" s="13"/>
      <c r="G401" s="13"/>
      <c r="H401" s="7"/>
      <c r="I401" s="13"/>
      <c r="J401" s="9"/>
      <c r="K401" s="10"/>
      <c r="L401" s="10"/>
      <c r="M401" s="11"/>
      <c r="N401" s="10"/>
      <c r="O401" s="42"/>
      <c r="P401" s="10"/>
    </row>
    <row r="402" spans="1:16" x14ac:dyDescent="0.25">
      <c r="A402" s="5"/>
      <c r="B402" s="22"/>
      <c r="C402" s="22"/>
      <c r="D402" s="18"/>
      <c r="E402" s="24"/>
      <c r="F402" s="13"/>
      <c r="G402" s="13"/>
      <c r="H402" s="7"/>
      <c r="I402" s="13"/>
      <c r="J402" s="9"/>
      <c r="K402" s="10"/>
      <c r="L402" s="10"/>
      <c r="M402" s="11"/>
      <c r="N402" s="10"/>
      <c r="O402" s="42"/>
      <c r="P402" s="10"/>
    </row>
    <row r="403" spans="1:16" x14ac:dyDescent="0.25">
      <c r="A403" s="5"/>
      <c r="B403" s="22"/>
      <c r="C403" s="22"/>
      <c r="D403" s="18"/>
      <c r="E403" s="24"/>
      <c r="F403" s="13"/>
      <c r="G403" s="13"/>
      <c r="H403" s="7"/>
      <c r="I403" s="13"/>
      <c r="J403" s="9"/>
      <c r="K403" s="10"/>
      <c r="L403" s="10"/>
      <c r="M403" s="11"/>
      <c r="N403" s="10"/>
      <c r="O403" s="42"/>
      <c r="P403" s="10"/>
    </row>
    <row r="404" spans="1:16" x14ac:dyDescent="0.25">
      <c r="A404" s="5"/>
      <c r="B404" s="22"/>
      <c r="C404" s="22"/>
      <c r="D404" s="18"/>
      <c r="E404" s="24"/>
      <c r="F404" s="13"/>
      <c r="G404" s="13"/>
      <c r="H404" s="7"/>
      <c r="I404" s="13"/>
      <c r="J404" s="9"/>
      <c r="K404" s="10"/>
      <c r="L404" s="10"/>
      <c r="M404" s="11"/>
      <c r="N404" s="10"/>
      <c r="O404" s="42"/>
      <c r="P404" s="10"/>
    </row>
    <row r="405" spans="1:16" x14ac:dyDescent="0.25">
      <c r="A405" s="5"/>
      <c r="B405" s="22"/>
      <c r="C405" s="22"/>
      <c r="D405" s="18"/>
      <c r="E405" s="24"/>
      <c r="F405" s="13"/>
      <c r="G405" s="13"/>
      <c r="H405" s="7"/>
      <c r="I405" s="13"/>
      <c r="J405" s="9"/>
      <c r="K405" s="10"/>
      <c r="L405" s="10"/>
      <c r="M405" s="11"/>
      <c r="N405" s="10"/>
      <c r="O405" s="42"/>
      <c r="P405" s="10"/>
    </row>
    <row r="406" spans="1:16" x14ac:dyDescent="0.25">
      <c r="A406" s="5"/>
      <c r="B406" s="22"/>
      <c r="C406" s="22"/>
      <c r="D406" s="18"/>
      <c r="E406" s="24"/>
      <c r="F406" s="13"/>
      <c r="G406" s="13"/>
      <c r="H406" s="7"/>
      <c r="I406" s="13"/>
      <c r="J406" s="9"/>
      <c r="K406" s="10"/>
      <c r="L406" s="10"/>
      <c r="M406" s="11"/>
      <c r="N406" s="10"/>
      <c r="O406" s="42"/>
      <c r="P406" s="10"/>
    </row>
    <row r="407" spans="1:16" x14ac:dyDescent="0.25">
      <c r="A407" s="5"/>
      <c r="B407" s="22"/>
      <c r="C407" s="22"/>
      <c r="D407" s="18"/>
      <c r="E407" s="24"/>
      <c r="F407" s="13"/>
      <c r="G407" s="13"/>
      <c r="H407" s="7"/>
      <c r="I407" s="13"/>
      <c r="J407" s="9"/>
      <c r="K407" s="10"/>
      <c r="L407" s="10"/>
      <c r="M407" s="11"/>
      <c r="N407" s="10"/>
      <c r="O407" s="42"/>
      <c r="P407" s="10"/>
    </row>
    <row r="408" spans="1:16" x14ac:dyDescent="0.25">
      <c r="A408" s="5"/>
      <c r="B408" s="22"/>
      <c r="C408" s="22"/>
      <c r="D408" s="18"/>
      <c r="E408" s="24"/>
      <c r="F408" s="13"/>
      <c r="G408" s="13"/>
      <c r="H408" s="7"/>
      <c r="I408" s="13"/>
      <c r="J408" s="9"/>
      <c r="K408" s="10"/>
      <c r="L408" s="10"/>
      <c r="M408" s="11"/>
      <c r="N408" s="10"/>
      <c r="O408" s="42"/>
      <c r="P408" s="10"/>
    </row>
    <row r="409" spans="1:16" x14ac:dyDescent="0.25">
      <c r="A409" s="5"/>
      <c r="B409" s="22"/>
      <c r="C409" s="22"/>
      <c r="D409" s="18"/>
      <c r="E409" s="24"/>
      <c r="F409" s="13"/>
      <c r="G409" s="13"/>
      <c r="H409" s="7"/>
      <c r="I409" s="13"/>
      <c r="J409" s="9"/>
      <c r="K409" s="10"/>
      <c r="L409" s="10"/>
      <c r="M409" s="11"/>
      <c r="N409" s="10"/>
      <c r="O409" s="42"/>
      <c r="P409" s="10"/>
    </row>
    <row r="410" spans="1:16" x14ac:dyDescent="0.25">
      <c r="A410" s="5"/>
      <c r="B410" s="22"/>
      <c r="C410" s="22"/>
      <c r="D410" s="18"/>
      <c r="E410" s="24"/>
      <c r="F410" s="13"/>
      <c r="G410" s="13"/>
      <c r="H410" s="7"/>
      <c r="I410" s="13"/>
      <c r="J410" s="9"/>
      <c r="K410" s="10"/>
      <c r="L410" s="10"/>
      <c r="M410" s="11"/>
      <c r="N410" s="10"/>
      <c r="O410" s="42"/>
      <c r="P410" s="10"/>
    </row>
    <row r="411" spans="1:16" x14ac:dyDescent="0.25">
      <c r="A411" s="5"/>
      <c r="B411" s="22"/>
      <c r="C411" s="22"/>
      <c r="D411" s="18"/>
      <c r="E411" s="24"/>
      <c r="F411" s="13"/>
      <c r="G411" s="13"/>
      <c r="H411" s="7"/>
      <c r="I411" s="13"/>
      <c r="J411" s="9"/>
      <c r="K411" s="10"/>
      <c r="L411" s="10"/>
      <c r="M411" s="11"/>
      <c r="N411" s="10"/>
      <c r="O411" s="42"/>
      <c r="P411" s="10"/>
    </row>
    <row r="412" spans="1:16" x14ac:dyDescent="0.25">
      <c r="A412" s="5"/>
      <c r="B412" s="22"/>
      <c r="C412" s="22"/>
      <c r="D412" s="18"/>
      <c r="E412" s="24"/>
      <c r="F412" s="13"/>
      <c r="G412" s="13"/>
      <c r="H412" s="7"/>
      <c r="I412" s="13"/>
      <c r="J412" s="9"/>
      <c r="K412" s="10"/>
      <c r="L412" s="10"/>
      <c r="M412" s="11"/>
      <c r="N412" s="10"/>
      <c r="O412" s="42"/>
      <c r="P412" s="10"/>
    </row>
    <row r="413" spans="1:16" x14ac:dyDescent="0.25">
      <c r="A413" s="5"/>
      <c r="B413" s="22"/>
      <c r="C413" s="22"/>
      <c r="D413" s="18"/>
      <c r="E413" s="24"/>
      <c r="F413" s="13"/>
      <c r="G413" s="13"/>
      <c r="H413" s="7"/>
      <c r="I413" s="13"/>
      <c r="J413" s="9"/>
      <c r="K413" s="10"/>
      <c r="L413" s="10"/>
      <c r="M413" s="11"/>
      <c r="N413" s="10"/>
      <c r="O413" s="42"/>
      <c r="P413" s="10"/>
    </row>
    <row r="414" spans="1:16" x14ac:dyDescent="0.25">
      <c r="A414" s="5"/>
      <c r="B414" s="22"/>
      <c r="C414" s="22"/>
      <c r="D414" s="18"/>
      <c r="E414" s="24"/>
      <c r="F414" s="13"/>
      <c r="G414" s="13"/>
      <c r="H414" s="7"/>
      <c r="I414" s="13"/>
      <c r="J414" s="9"/>
      <c r="K414" s="10"/>
      <c r="L414" s="10"/>
      <c r="M414" s="11"/>
      <c r="N414" s="10"/>
      <c r="O414" s="42"/>
      <c r="P414" s="10"/>
    </row>
    <row r="415" spans="1:16" x14ac:dyDescent="0.25">
      <c r="A415" s="5"/>
      <c r="B415" s="22"/>
      <c r="C415" s="22"/>
      <c r="D415" s="18"/>
      <c r="E415" s="24"/>
      <c r="F415" s="13"/>
      <c r="G415" s="13"/>
      <c r="H415" s="7"/>
      <c r="I415" s="13"/>
      <c r="J415" s="9"/>
      <c r="K415" s="10"/>
      <c r="L415" s="10"/>
      <c r="M415" s="11"/>
      <c r="N415" s="10"/>
      <c r="O415" s="42"/>
      <c r="P415" s="10"/>
    </row>
    <row r="416" spans="1:16" x14ac:dyDescent="0.25">
      <c r="A416" s="5"/>
      <c r="B416" s="22"/>
      <c r="C416" s="22"/>
      <c r="D416" s="18"/>
      <c r="E416" s="24"/>
      <c r="F416" s="13"/>
      <c r="G416" s="13"/>
      <c r="H416" s="7"/>
      <c r="I416" s="13"/>
      <c r="J416" s="9"/>
      <c r="K416" s="10"/>
      <c r="L416" s="10"/>
      <c r="M416" s="11"/>
      <c r="N416" s="10"/>
      <c r="O416" s="42"/>
      <c r="P416" s="10"/>
    </row>
    <row r="417" spans="1:16" x14ac:dyDescent="0.25">
      <c r="A417" s="5"/>
      <c r="B417" s="22"/>
      <c r="C417" s="22"/>
      <c r="D417" s="18"/>
      <c r="E417" s="24"/>
      <c r="F417" s="13"/>
      <c r="G417" s="13"/>
      <c r="H417" s="7"/>
      <c r="I417" s="13"/>
      <c r="J417" s="9"/>
      <c r="K417" s="10"/>
      <c r="L417" s="10"/>
      <c r="M417" s="11"/>
      <c r="N417" s="10"/>
      <c r="O417" s="42"/>
      <c r="P417" s="10"/>
    </row>
    <row r="418" spans="1:16" x14ac:dyDescent="0.25">
      <c r="A418" s="5"/>
      <c r="B418" s="22"/>
      <c r="C418" s="22"/>
      <c r="D418" s="18"/>
      <c r="E418" s="24"/>
      <c r="F418" s="13"/>
      <c r="G418" s="13"/>
      <c r="H418" s="7"/>
      <c r="I418" s="13"/>
      <c r="J418" s="9"/>
      <c r="K418" s="10"/>
      <c r="L418" s="10"/>
      <c r="M418" s="11"/>
      <c r="N418" s="10"/>
      <c r="O418" s="42"/>
      <c r="P418" s="10"/>
    </row>
    <row r="419" spans="1:16" x14ac:dyDescent="0.25">
      <c r="A419" s="5"/>
      <c r="B419" s="22"/>
      <c r="C419" s="22"/>
      <c r="D419" s="18"/>
      <c r="E419" s="24"/>
      <c r="F419" s="13"/>
      <c r="G419" s="13"/>
      <c r="H419" s="7"/>
      <c r="I419" s="13"/>
      <c r="J419" s="9"/>
      <c r="K419" s="10"/>
      <c r="L419" s="10"/>
      <c r="M419" s="11"/>
      <c r="N419" s="10"/>
      <c r="O419" s="42"/>
      <c r="P419" s="10"/>
    </row>
    <row r="420" spans="1:16" x14ac:dyDescent="0.25">
      <c r="A420" s="5"/>
      <c r="B420" s="22"/>
      <c r="C420" s="22"/>
      <c r="D420" s="18"/>
      <c r="E420" s="24"/>
      <c r="F420" s="13"/>
      <c r="G420" s="13"/>
      <c r="H420" s="7"/>
      <c r="I420" s="13"/>
      <c r="J420" s="9"/>
      <c r="K420" s="10"/>
      <c r="L420" s="10"/>
      <c r="M420" s="11"/>
      <c r="N420" s="10"/>
      <c r="O420" s="42"/>
      <c r="P420" s="10"/>
    </row>
    <row r="421" spans="1:16" x14ac:dyDescent="0.25">
      <c r="A421" s="5"/>
      <c r="B421" s="22"/>
      <c r="C421" s="22"/>
      <c r="D421" s="18"/>
      <c r="E421" s="24"/>
      <c r="F421" s="13"/>
      <c r="G421" s="13"/>
      <c r="H421" s="7"/>
      <c r="I421" s="13"/>
      <c r="J421" s="9"/>
      <c r="K421" s="10"/>
      <c r="L421" s="10"/>
      <c r="M421" s="11"/>
      <c r="N421" s="10"/>
      <c r="O421" s="42"/>
      <c r="P421" s="10"/>
    </row>
    <row r="422" spans="1:16" x14ac:dyDescent="0.25">
      <c r="A422" s="5"/>
      <c r="B422" s="22"/>
      <c r="C422" s="22"/>
      <c r="D422" s="18"/>
      <c r="E422" s="24"/>
      <c r="F422" s="13"/>
      <c r="G422" s="13"/>
      <c r="H422" s="7"/>
      <c r="I422" s="13"/>
      <c r="J422" s="9"/>
      <c r="K422" s="10"/>
      <c r="L422" s="10"/>
      <c r="M422" s="11"/>
      <c r="N422" s="10"/>
      <c r="O422" s="42"/>
      <c r="P422" s="10"/>
    </row>
    <row r="423" spans="1:16" x14ac:dyDescent="0.25">
      <c r="A423" s="5"/>
      <c r="B423" s="22"/>
      <c r="C423" s="22"/>
      <c r="D423" s="18"/>
      <c r="E423" s="24"/>
      <c r="F423" s="13"/>
      <c r="G423" s="13"/>
      <c r="H423" s="7"/>
      <c r="I423" s="13"/>
      <c r="J423" s="9"/>
      <c r="K423" s="10"/>
      <c r="L423" s="10"/>
      <c r="M423" s="11"/>
      <c r="N423" s="10"/>
      <c r="O423" s="42"/>
      <c r="P423" s="10"/>
    </row>
    <row r="424" spans="1:16" x14ac:dyDescent="0.25">
      <c r="A424" s="5"/>
      <c r="B424" s="22"/>
      <c r="C424" s="22"/>
      <c r="D424" s="18"/>
      <c r="E424" s="24"/>
      <c r="F424" s="13"/>
      <c r="G424" s="13"/>
      <c r="H424" s="7"/>
      <c r="I424" s="13"/>
      <c r="J424" s="9"/>
      <c r="K424" s="10"/>
      <c r="L424" s="10"/>
      <c r="M424" s="11"/>
      <c r="N424" s="10"/>
      <c r="O424" s="42"/>
      <c r="P424" s="10"/>
    </row>
    <row r="425" spans="1:16" x14ac:dyDescent="0.25">
      <c r="A425" s="5"/>
      <c r="B425" s="22"/>
      <c r="C425" s="22"/>
      <c r="D425" s="18"/>
      <c r="E425" s="24"/>
      <c r="F425" s="13"/>
      <c r="G425" s="13"/>
      <c r="H425" s="7"/>
      <c r="I425" s="13"/>
      <c r="J425" s="9"/>
      <c r="K425" s="10"/>
      <c r="L425" s="10"/>
      <c r="M425" s="11"/>
      <c r="N425" s="10"/>
      <c r="O425" s="42"/>
      <c r="P425" s="10"/>
    </row>
    <row r="426" spans="1:16" x14ac:dyDescent="0.25">
      <c r="A426" s="5"/>
      <c r="B426" s="22"/>
      <c r="C426" s="22"/>
      <c r="D426" s="18"/>
      <c r="E426" s="24"/>
      <c r="F426" s="13"/>
      <c r="G426" s="13"/>
      <c r="H426" s="7"/>
      <c r="I426" s="13"/>
      <c r="J426" s="9"/>
      <c r="K426" s="10"/>
      <c r="L426" s="10"/>
      <c r="M426" s="11"/>
      <c r="N426" s="10"/>
      <c r="O426" s="42"/>
      <c r="P426" s="10"/>
    </row>
    <row r="427" spans="1:16" x14ac:dyDescent="0.25">
      <c r="A427" s="5"/>
      <c r="B427" s="22"/>
      <c r="C427" s="22"/>
      <c r="D427" s="18"/>
      <c r="E427" s="24"/>
      <c r="F427" s="13"/>
      <c r="G427" s="13"/>
      <c r="H427" s="7"/>
      <c r="I427" s="13"/>
      <c r="J427" s="9"/>
      <c r="K427" s="10"/>
      <c r="L427" s="10"/>
      <c r="M427" s="11"/>
      <c r="N427" s="10"/>
      <c r="O427" s="42"/>
      <c r="P427" s="10"/>
    </row>
    <row r="428" spans="1:16" x14ac:dyDescent="0.25">
      <c r="A428" s="5"/>
      <c r="B428" s="22"/>
      <c r="C428" s="22"/>
      <c r="D428" s="18"/>
      <c r="E428" s="24"/>
      <c r="F428" s="13"/>
      <c r="G428" s="13"/>
      <c r="H428" s="7"/>
      <c r="I428" s="13"/>
      <c r="J428" s="9"/>
      <c r="K428" s="10"/>
      <c r="L428" s="10"/>
      <c r="M428" s="11"/>
      <c r="N428" s="10"/>
      <c r="O428" s="42"/>
      <c r="P428" s="10"/>
    </row>
    <row r="429" spans="1:16" x14ac:dyDescent="0.25">
      <c r="A429" s="5"/>
      <c r="B429" s="22"/>
      <c r="C429" s="22"/>
      <c r="D429" s="18"/>
      <c r="E429" s="24"/>
      <c r="F429" s="13"/>
      <c r="G429" s="13"/>
      <c r="H429" s="7"/>
      <c r="I429" s="13"/>
      <c r="J429" s="9"/>
      <c r="K429" s="10"/>
      <c r="L429" s="10"/>
      <c r="M429" s="11"/>
      <c r="N429" s="10"/>
      <c r="O429" s="42"/>
      <c r="P429" s="10"/>
    </row>
    <row r="430" spans="1:16" x14ac:dyDescent="0.25">
      <c r="A430" s="5"/>
      <c r="B430" s="22"/>
      <c r="C430" s="22"/>
      <c r="D430" s="18"/>
      <c r="E430" s="24"/>
      <c r="F430" s="13"/>
      <c r="G430" s="13"/>
      <c r="H430" s="7"/>
      <c r="I430" s="13"/>
      <c r="J430" s="9"/>
      <c r="K430" s="10"/>
      <c r="L430" s="10"/>
      <c r="M430" s="11"/>
      <c r="N430" s="10"/>
      <c r="O430" s="42"/>
      <c r="P430" s="10"/>
    </row>
    <row r="431" spans="1:16" x14ac:dyDescent="0.25">
      <c r="A431" s="5"/>
      <c r="B431" s="22"/>
      <c r="C431" s="22"/>
      <c r="D431" s="18"/>
      <c r="E431" s="24"/>
      <c r="F431" s="13"/>
      <c r="G431" s="13"/>
      <c r="H431" s="7"/>
      <c r="I431" s="13"/>
      <c r="J431" s="9"/>
      <c r="K431" s="10"/>
      <c r="L431" s="10"/>
      <c r="M431" s="11"/>
      <c r="N431" s="10"/>
      <c r="O431" s="42"/>
      <c r="P431" s="10"/>
    </row>
    <row r="432" spans="1:16" x14ac:dyDescent="0.25">
      <c r="A432" s="5"/>
      <c r="B432" s="22"/>
      <c r="C432" s="22"/>
      <c r="D432" s="18"/>
      <c r="E432" s="24"/>
      <c r="F432" s="13"/>
      <c r="G432" s="13"/>
      <c r="H432" s="7"/>
      <c r="I432" s="13"/>
      <c r="J432" s="9"/>
      <c r="K432" s="10"/>
      <c r="L432" s="10"/>
      <c r="M432" s="11"/>
      <c r="N432" s="10"/>
      <c r="O432" s="42"/>
      <c r="P432" s="10"/>
    </row>
    <row r="433" spans="1:16" x14ac:dyDescent="0.25">
      <c r="A433" s="5"/>
      <c r="B433" s="22"/>
      <c r="C433" s="22"/>
      <c r="D433" s="18"/>
      <c r="E433" s="24"/>
      <c r="F433" s="13"/>
      <c r="G433" s="13"/>
      <c r="H433" s="7"/>
      <c r="I433" s="13"/>
      <c r="J433" s="9"/>
      <c r="K433" s="10"/>
      <c r="L433" s="10"/>
      <c r="M433" s="11"/>
      <c r="N433" s="10"/>
      <c r="O433" s="42"/>
      <c r="P433" s="10"/>
    </row>
    <row r="434" spans="1:16" x14ac:dyDescent="0.25">
      <c r="A434" s="5"/>
      <c r="B434" s="22"/>
      <c r="C434" s="22"/>
      <c r="D434" s="18"/>
      <c r="E434" s="24"/>
      <c r="F434" s="13"/>
      <c r="G434" s="13"/>
      <c r="H434" s="7"/>
      <c r="I434" s="13"/>
      <c r="J434" s="9"/>
      <c r="K434" s="10"/>
      <c r="L434" s="10"/>
      <c r="M434" s="11"/>
      <c r="N434" s="10"/>
      <c r="O434" s="42"/>
      <c r="P434" s="10"/>
    </row>
    <row r="435" spans="1:16" x14ac:dyDescent="0.25">
      <c r="A435" s="5"/>
      <c r="B435" s="22"/>
      <c r="C435" s="22"/>
      <c r="D435" s="18"/>
      <c r="E435" s="24"/>
      <c r="F435" s="13"/>
      <c r="G435" s="13"/>
      <c r="H435" s="7"/>
      <c r="I435" s="13"/>
      <c r="J435" s="9"/>
      <c r="K435" s="10"/>
      <c r="L435" s="10"/>
      <c r="M435" s="11"/>
      <c r="N435" s="10"/>
      <c r="O435" s="42"/>
      <c r="P435" s="10"/>
    </row>
    <row r="436" spans="1:16" x14ac:dyDescent="0.25">
      <c r="A436" s="5"/>
      <c r="B436" s="22"/>
      <c r="C436" s="22"/>
      <c r="D436" s="18"/>
      <c r="E436" s="24"/>
      <c r="F436" s="13"/>
      <c r="G436" s="13"/>
      <c r="H436" s="7"/>
      <c r="I436" s="13"/>
      <c r="J436" s="9"/>
      <c r="K436" s="10"/>
      <c r="L436" s="10"/>
      <c r="M436" s="11"/>
      <c r="N436" s="10"/>
      <c r="O436" s="42"/>
      <c r="P436" s="10"/>
    </row>
    <row r="437" spans="1:16" x14ac:dyDescent="0.25">
      <c r="A437" s="5"/>
      <c r="B437" s="22"/>
      <c r="C437" s="22"/>
      <c r="D437" s="18"/>
      <c r="E437" s="24"/>
      <c r="F437" s="13"/>
      <c r="G437" s="13"/>
      <c r="H437" s="7"/>
      <c r="I437" s="13"/>
      <c r="J437" s="9"/>
      <c r="K437" s="10"/>
      <c r="L437" s="10"/>
      <c r="M437" s="11"/>
      <c r="N437" s="10"/>
      <c r="O437" s="42"/>
      <c r="P437" s="10"/>
    </row>
    <row r="438" spans="1:16" x14ac:dyDescent="0.25">
      <c r="A438" s="5"/>
      <c r="B438" s="22"/>
      <c r="C438" s="22"/>
      <c r="D438" s="18"/>
      <c r="E438" s="24"/>
      <c r="F438" s="13"/>
      <c r="G438" s="13"/>
      <c r="H438" s="7"/>
      <c r="I438" s="13"/>
      <c r="J438" s="9"/>
      <c r="K438" s="10"/>
      <c r="L438" s="10"/>
      <c r="M438" s="11"/>
      <c r="N438" s="10"/>
      <c r="O438" s="42"/>
      <c r="P438" s="10"/>
    </row>
    <row r="439" spans="1:16" x14ac:dyDescent="0.25">
      <c r="A439" s="5"/>
      <c r="B439" s="22"/>
      <c r="C439" s="22"/>
      <c r="D439" s="18"/>
      <c r="E439" s="24"/>
      <c r="F439" s="13"/>
      <c r="G439" s="13"/>
      <c r="H439" s="7"/>
      <c r="I439" s="13"/>
      <c r="J439" s="9"/>
      <c r="K439" s="10"/>
      <c r="L439" s="10"/>
      <c r="M439" s="11"/>
      <c r="N439" s="10"/>
      <c r="O439" s="42"/>
      <c r="P439" s="10"/>
    </row>
    <row r="440" spans="1:16" x14ac:dyDescent="0.25">
      <c r="A440" s="5"/>
      <c r="B440" s="22"/>
      <c r="C440" s="22"/>
      <c r="D440" s="18"/>
      <c r="E440" s="24"/>
      <c r="F440" s="13"/>
      <c r="G440" s="13"/>
      <c r="H440" s="7"/>
      <c r="I440" s="13"/>
      <c r="J440" s="9"/>
      <c r="K440" s="10"/>
      <c r="L440" s="10"/>
      <c r="M440" s="11"/>
      <c r="N440" s="10"/>
      <c r="O440" s="42"/>
      <c r="P440" s="10"/>
    </row>
    <row r="441" spans="1:16" x14ac:dyDescent="0.25">
      <c r="A441" s="5"/>
      <c r="B441" s="22"/>
      <c r="C441" s="22"/>
      <c r="D441" s="18"/>
      <c r="E441" s="24"/>
      <c r="F441" s="13"/>
      <c r="G441" s="13"/>
      <c r="H441" s="7"/>
      <c r="I441" s="13"/>
      <c r="J441" s="9"/>
      <c r="K441" s="10"/>
      <c r="L441" s="10"/>
      <c r="M441" s="11"/>
      <c r="N441" s="10"/>
      <c r="O441" s="42"/>
      <c r="P441" s="10"/>
    </row>
    <row r="442" spans="1:16" x14ac:dyDescent="0.25">
      <c r="A442" s="5"/>
      <c r="B442" s="22"/>
      <c r="C442" s="22"/>
      <c r="D442" s="18"/>
      <c r="E442" s="24"/>
      <c r="F442" s="13"/>
      <c r="G442" s="13"/>
      <c r="H442" s="7"/>
      <c r="I442" s="13"/>
      <c r="J442" s="9"/>
      <c r="K442" s="10"/>
      <c r="L442" s="10"/>
      <c r="M442" s="11"/>
      <c r="N442" s="10"/>
      <c r="O442" s="42"/>
      <c r="P442" s="10"/>
    </row>
    <row r="443" spans="1:16" x14ac:dyDescent="0.25">
      <c r="A443" s="5"/>
      <c r="B443" s="22"/>
      <c r="C443" s="22"/>
      <c r="D443" s="18"/>
      <c r="E443" s="24"/>
      <c r="F443" s="13"/>
      <c r="G443" s="13"/>
      <c r="H443" s="7"/>
      <c r="I443" s="13"/>
      <c r="J443" s="9"/>
      <c r="K443" s="10"/>
      <c r="L443" s="10"/>
      <c r="M443" s="11"/>
      <c r="N443" s="10"/>
      <c r="O443" s="42"/>
      <c r="P443" s="10"/>
    </row>
    <row r="444" spans="1:16" x14ac:dyDescent="0.25">
      <c r="A444" s="5"/>
      <c r="B444" s="22"/>
      <c r="C444" s="22"/>
      <c r="D444" s="18"/>
      <c r="E444" s="24"/>
      <c r="F444" s="13"/>
      <c r="G444" s="13"/>
      <c r="H444" s="7"/>
      <c r="I444" s="13"/>
      <c r="J444" s="9"/>
      <c r="K444" s="10"/>
      <c r="L444" s="10"/>
      <c r="M444" s="11"/>
      <c r="N444" s="10"/>
      <c r="O444" s="42"/>
      <c r="P444" s="10"/>
    </row>
    <row r="445" spans="1:16" x14ac:dyDescent="0.25">
      <c r="A445" s="5"/>
      <c r="B445" s="22"/>
      <c r="C445" s="22"/>
      <c r="D445" s="18"/>
      <c r="E445" s="24"/>
      <c r="F445" s="13"/>
      <c r="G445" s="13"/>
      <c r="H445" s="7"/>
      <c r="I445" s="13"/>
      <c r="J445" s="9"/>
      <c r="K445" s="10"/>
      <c r="L445" s="10"/>
      <c r="M445" s="11"/>
      <c r="N445" s="10"/>
      <c r="O445" s="42"/>
      <c r="P445" s="10"/>
    </row>
    <row r="446" spans="1:16" x14ac:dyDescent="0.25">
      <c r="A446" s="5"/>
      <c r="B446" s="22"/>
      <c r="C446" s="22"/>
      <c r="D446" s="18"/>
      <c r="E446" s="24"/>
      <c r="F446" s="13"/>
      <c r="G446" s="13"/>
      <c r="H446" s="7"/>
      <c r="I446" s="13"/>
      <c r="J446" s="9"/>
      <c r="K446" s="10"/>
      <c r="L446" s="10"/>
      <c r="M446" s="11"/>
      <c r="N446" s="10"/>
      <c r="O446" s="42"/>
      <c r="P446" s="10"/>
    </row>
    <row r="447" spans="1:16" x14ac:dyDescent="0.25">
      <c r="A447" s="5"/>
      <c r="B447" s="22"/>
      <c r="C447" s="22"/>
      <c r="D447" s="18"/>
      <c r="E447" s="24"/>
      <c r="F447" s="13"/>
      <c r="G447" s="13"/>
      <c r="H447" s="7"/>
      <c r="I447" s="13"/>
      <c r="J447" s="9"/>
      <c r="K447" s="10"/>
      <c r="L447" s="10"/>
      <c r="M447" s="11"/>
      <c r="N447" s="10"/>
      <c r="O447" s="42"/>
      <c r="P447" s="10"/>
    </row>
    <row r="448" spans="1:16" x14ac:dyDescent="0.25">
      <c r="A448" s="5"/>
      <c r="B448" s="22"/>
      <c r="C448" s="22"/>
      <c r="D448" s="18"/>
      <c r="E448" s="24"/>
      <c r="F448" s="13"/>
      <c r="G448" s="13"/>
      <c r="H448" s="7"/>
      <c r="I448" s="13"/>
      <c r="J448" s="9"/>
      <c r="K448" s="10"/>
      <c r="L448" s="10"/>
      <c r="M448" s="11"/>
      <c r="N448" s="10"/>
      <c r="O448" s="42"/>
      <c r="P448" s="10"/>
    </row>
    <row r="449" spans="1:16" x14ac:dyDescent="0.25">
      <c r="A449" s="5"/>
      <c r="B449" s="22"/>
      <c r="C449" s="22"/>
      <c r="D449" s="18"/>
      <c r="E449" s="24"/>
      <c r="F449" s="13"/>
      <c r="G449" s="13"/>
      <c r="H449" s="7"/>
      <c r="I449" s="13"/>
      <c r="J449" s="9"/>
      <c r="K449" s="10"/>
      <c r="L449" s="10"/>
      <c r="M449" s="11"/>
      <c r="N449" s="10"/>
      <c r="O449" s="42"/>
      <c r="P449" s="10"/>
    </row>
    <row r="450" spans="1:16" x14ac:dyDescent="0.25">
      <c r="A450" s="5"/>
      <c r="B450" s="22"/>
      <c r="C450" s="22"/>
      <c r="D450" s="18"/>
      <c r="E450" s="24"/>
      <c r="F450" s="13"/>
      <c r="G450" s="13"/>
      <c r="H450" s="7"/>
      <c r="I450" s="13"/>
      <c r="J450" s="9"/>
      <c r="K450" s="10"/>
      <c r="L450" s="10"/>
      <c r="M450" s="11"/>
      <c r="N450" s="10"/>
      <c r="O450" s="42"/>
      <c r="P450" s="10"/>
    </row>
    <row r="451" spans="1:16" x14ac:dyDescent="0.25">
      <c r="A451" s="5"/>
      <c r="B451" s="22"/>
      <c r="C451" s="22"/>
      <c r="D451" s="18"/>
      <c r="E451" s="24"/>
      <c r="F451" s="13"/>
      <c r="G451" s="13"/>
      <c r="H451" s="7"/>
      <c r="I451" s="13"/>
      <c r="J451" s="9"/>
      <c r="K451" s="10"/>
      <c r="L451" s="10"/>
      <c r="M451" s="11"/>
      <c r="N451" s="10"/>
      <c r="O451" s="42"/>
      <c r="P451" s="10"/>
    </row>
    <row r="452" spans="1:16" x14ac:dyDescent="0.25">
      <c r="A452" s="5"/>
      <c r="B452" s="22"/>
      <c r="C452" s="22"/>
      <c r="D452" s="18"/>
      <c r="E452" s="24"/>
      <c r="F452" s="13"/>
      <c r="G452" s="13"/>
      <c r="H452" s="7"/>
      <c r="I452" s="13"/>
      <c r="J452" s="9"/>
      <c r="K452" s="10"/>
      <c r="L452" s="10"/>
      <c r="M452" s="11"/>
      <c r="N452" s="10"/>
      <c r="O452" s="42"/>
      <c r="P452" s="10"/>
    </row>
    <row r="453" spans="1:16" x14ac:dyDescent="0.25">
      <c r="A453" s="5"/>
      <c r="B453" s="22"/>
      <c r="C453" s="22"/>
      <c r="D453" s="18"/>
      <c r="E453" s="24"/>
      <c r="F453" s="13"/>
      <c r="G453" s="13"/>
      <c r="H453" s="7"/>
      <c r="I453" s="13"/>
      <c r="J453" s="9"/>
      <c r="K453" s="10"/>
      <c r="L453" s="10"/>
      <c r="M453" s="11"/>
      <c r="N453" s="10"/>
      <c r="O453" s="42"/>
      <c r="P453" s="10"/>
    </row>
    <row r="454" spans="1:16" x14ac:dyDescent="0.25">
      <c r="A454" s="5"/>
      <c r="B454" s="22"/>
      <c r="C454" s="22"/>
      <c r="D454" s="18"/>
      <c r="E454" s="24"/>
      <c r="F454" s="13"/>
      <c r="G454" s="13"/>
      <c r="H454" s="7"/>
      <c r="I454" s="13"/>
      <c r="J454" s="9"/>
      <c r="K454" s="10"/>
      <c r="L454" s="10"/>
      <c r="M454" s="11"/>
      <c r="N454" s="10"/>
      <c r="O454" s="42"/>
      <c r="P454" s="10"/>
    </row>
    <row r="455" spans="1:16" x14ac:dyDescent="0.25">
      <c r="A455" s="5"/>
      <c r="B455" s="22"/>
      <c r="C455" s="22"/>
      <c r="D455" s="18"/>
      <c r="E455" s="24"/>
      <c r="F455" s="13"/>
      <c r="G455" s="13"/>
      <c r="H455" s="7"/>
      <c r="I455" s="13"/>
      <c r="J455" s="9"/>
      <c r="K455" s="10"/>
      <c r="L455" s="10"/>
      <c r="M455" s="11"/>
      <c r="N455" s="10"/>
      <c r="O455" s="42"/>
      <c r="P455" s="10"/>
    </row>
    <row r="456" spans="1:16" x14ac:dyDescent="0.25">
      <c r="A456" s="5"/>
      <c r="B456" s="22"/>
      <c r="C456" s="22"/>
      <c r="D456" s="18"/>
      <c r="E456" s="24"/>
      <c r="F456" s="13"/>
      <c r="G456" s="13"/>
      <c r="H456" s="7"/>
      <c r="I456" s="13"/>
      <c r="J456" s="9"/>
      <c r="K456" s="10"/>
      <c r="L456" s="10"/>
      <c r="M456" s="11"/>
      <c r="N456" s="10"/>
      <c r="O456" s="42"/>
      <c r="P456" s="10"/>
    </row>
    <row r="457" spans="1:16" x14ac:dyDescent="0.25">
      <c r="A457" s="5"/>
      <c r="B457" s="22"/>
      <c r="C457" s="22"/>
      <c r="D457" s="18"/>
      <c r="E457" s="24"/>
      <c r="F457" s="13"/>
      <c r="G457" s="13"/>
      <c r="H457" s="7"/>
      <c r="I457" s="13"/>
      <c r="J457" s="9"/>
      <c r="K457" s="10"/>
      <c r="L457" s="10"/>
      <c r="M457" s="11"/>
      <c r="N457" s="10"/>
      <c r="O457" s="42"/>
      <c r="P457" s="10"/>
    </row>
    <row r="458" spans="1:16" x14ac:dyDescent="0.25">
      <c r="A458" s="5"/>
      <c r="B458" s="22"/>
      <c r="C458" s="22"/>
      <c r="D458" s="18"/>
      <c r="E458" s="24"/>
      <c r="F458" s="13"/>
      <c r="G458" s="13"/>
      <c r="H458" s="7"/>
      <c r="I458" s="13"/>
      <c r="J458" s="9"/>
      <c r="K458" s="10"/>
      <c r="L458" s="10"/>
      <c r="M458" s="11"/>
      <c r="N458" s="10"/>
      <c r="O458" s="42"/>
      <c r="P458" s="10"/>
    </row>
    <row r="459" spans="1:16" x14ac:dyDescent="0.25">
      <c r="A459" s="5"/>
      <c r="B459" s="22"/>
      <c r="C459" s="22"/>
      <c r="D459" s="18"/>
      <c r="E459" s="24"/>
      <c r="F459" s="13"/>
      <c r="G459" s="13"/>
      <c r="H459" s="7"/>
      <c r="I459" s="13"/>
      <c r="J459" s="9"/>
      <c r="K459" s="10"/>
      <c r="L459" s="10"/>
      <c r="M459" s="11"/>
      <c r="N459" s="10"/>
      <c r="O459" s="42"/>
      <c r="P459" s="10"/>
    </row>
    <row r="460" spans="1:16" x14ac:dyDescent="0.25">
      <c r="A460" s="5"/>
      <c r="B460" s="22"/>
      <c r="C460" s="22"/>
      <c r="D460" s="18"/>
      <c r="E460" s="24"/>
      <c r="F460" s="13"/>
      <c r="G460" s="13"/>
      <c r="H460" s="7"/>
      <c r="I460" s="13"/>
      <c r="J460" s="9"/>
      <c r="K460" s="10"/>
      <c r="L460" s="10"/>
      <c r="M460" s="11"/>
      <c r="N460" s="10"/>
      <c r="O460" s="42"/>
      <c r="P460" s="10"/>
    </row>
    <row r="461" spans="1:16" x14ac:dyDescent="0.25">
      <c r="A461" s="5"/>
      <c r="B461" s="22"/>
      <c r="C461" s="22"/>
      <c r="D461" s="18"/>
      <c r="E461" s="24"/>
      <c r="F461" s="13"/>
      <c r="G461" s="13"/>
      <c r="H461" s="7"/>
      <c r="I461" s="13"/>
      <c r="J461" s="9"/>
      <c r="K461" s="10"/>
      <c r="L461" s="10"/>
      <c r="M461" s="11"/>
      <c r="N461" s="10"/>
      <c r="O461" s="42"/>
      <c r="P461" s="10"/>
    </row>
    <row r="462" spans="1:16" x14ac:dyDescent="0.25">
      <c r="A462" s="5"/>
      <c r="B462" s="22"/>
      <c r="C462" s="22"/>
      <c r="D462" s="18"/>
      <c r="E462" s="24"/>
      <c r="F462" s="13"/>
      <c r="G462" s="13"/>
      <c r="H462" s="7"/>
      <c r="I462" s="13"/>
      <c r="J462" s="9"/>
      <c r="K462" s="10"/>
      <c r="L462" s="10"/>
      <c r="M462" s="11"/>
      <c r="N462" s="10"/>
      <c r="O462" s="42"/>
      <c r="P462" s="10"/>
    </row>
    <row r="463" spans="1:16" x14ac:dyDescent="0.25">
      <c r="A463" s="5"/>
      <c r="B463" s="22"/>
      <c r="C463" s="22"/>
      <c r="D463" s="18"/>
      <c r="E463" s="24"/>
      <c r="F463" s="13"/>
      <c r="G463" s="13"/>
      <c r="H463" s="7"/>
      <c r="I463" s="13"/>
      <c r="J463" s="9"/>
      <c r="K463" s="10"/>
      <c r="L463" s="10"/>
      <c r="M463" s="11"/>
      <c r="N463" s="10"/>
      <c r="O463" s="42"/>
      <c r="P463" s="10"/>
    </row>
    <row r="464" spans="1:16" x14ac:dyDescent="0.25">
      <c r="A464" s="5"/>
      <c r="B464" s="22"/>
      <c r="C464" s="22"/>
      <c r="D464" s="18"/>
      <c r="E464" s="24"/>
      <c r="F464" s="13"/>
      <c r="G464" s="13"/>
      <c r="H464" s="7"/>
      <c r="I464" s="13"/>
      <c r="J464" s="9"/>
      <c r="K464" s="10"/>
      <c r="L464" s="10"/>
      <c r="M464" s="11"/>
      <c r="N464" s="10"/>
      <c r="O464" s="42"/>
      <c r="P464" s="10"/>
    </row>
    <row r="465" spans="1:16" x14ac:dyDescent="0.25">
      <c r="A465" s="5"/>
      <c r="B465" s="22"/>
      <c r="C465" s="22"/>
      <c r="D465" s="18"/>
      <c r="E465" s="24"/>
      <c r="F465" s="13"/>
      <c r="G465" s="13"/>
      <c r="H465" s="7"/>
      <c r="I465" s="13"/>
      <c r="J465" s="9"/>
      <c r="K465" s="10"/>
      <c r="L465" s="10"/>
      <c r="M465" s="11"/>
      <c r="N465" s="10"/>
      <c r="O465" s="42"/>
      <c r="P465" s="10"/>
    </row>
    <row r="466" spans="1:16" x14ac:dyDescent="0.25">
      <c r="A466" s="5"/>
      <c r="B466" s="22"/>
      <c r="C466" s="22"/>
      <c r="D466" s="18"/>
      <c r="E466" s="24"/>
      <c r="F466" s="13"/>
      <c r="G466" s="13"/>
      <c r="H466" s="7"/>
      <c r="I466" s="13"/>
      <c r="J466" s="9"/>
      <c r="K466" s="10"/>
      <c r="L466" s="10"/>
      <c r="M466" s="11"/>
      <c r="N466" s="10"/>
      <c r="O466" s="42"/>
      <c r="P466" s="10"/>
    </row>
    <row r="467" spans="1:16" x14ac:dyDescent="0.25">
      <c r="A467" s="5"/>
      <c r="B467" s="22"/>
      <c r="C467" s="22"/>
      <c r="D467" s="18"/>
      <c r="E467" s="24"/>
      <c r="F467" s="13"/>
      <c r="G467" s="13"/>
      <c r="H467" s="7"/>
      <c r="I467" s="13"/>
      <c r="J467" s="9"/>
      <c r="K467" s="10"/>
      <c r="L467" s="10"/>
      <c r="M467" s="11"/>
      <c r="N467" s="10"/>
      <c r="O467" s="42"/>
      <c r="P467" s="10"/>
    </row>
    <row r="468" spans="1:16" x14ac:dyDescent="0.25">
      <c r="A468" s="5"/>
      <c r="B468" s="22"/>
      <c r="C468" s="22"/>
      <c r="D468" s="18"/>
      <c r="E468" s="24"/>
      <c r="F468" s="13"/>
      <c r="G468" s="13"/>
      <c r="H468" s="7"/>
      <c r="I468" s="13"/>
      <c r="J468" s="9"/>
      <c r="K468" s="10"/>
      <c r="L468" s="10"/>
      <c r="M468" s="11"/>
      <c r="N468" s="10"/>
      <c r="O468" s="42"/>
      <c r="P468" s="10"/>
    </row>
    <row r="469" spans="1:16" x14ac:dyDescent="0.25">
      <c r="A469" s="5"/>
      <c r="B469" s="22"/>
      <c r="C469" s="22"/>
      <c r="D469" s="18"/>
      <c r="E469" s="24"/>
      <c r="F469" s="13"/>
      <c r="G469" s="13"/>
      <c r="H469" s="7"/>
      <c r="I469" s="13"/>
      <c r="J469" s="9"/>
      <c r="K469" s="10"/>
      <c r="L469" s="10"/>
      <c r="M469" s="11"/>
      <c r="N469" s="10"/>
      <c r="O469" s="42"/>
      <c r="P469" s="10"/>
    </row>
    <row r="470" spans="1:16" x14ac:dyDescent="0.25">
      <c r="A470" s="5"/>
      <c r="B470" s="22"/>
      <c r="C470" s="22"/>
      <c r="D470" s="18"/>
      <c r="E470" s="24"/>
      <c r="F470" s="13"/>
      <c r="G470" s="13"/>
      <c r="H470" s="7"/>
      <c r="I470" s="13"/>
      <c r="J470" s="9"/>
      <c r="K470" s="10"/>
      <c r="L470" s="10"/>
      <c r="M470" s="11"/>
      <c r="N470" s="10"/>
      <c r="O470" s="42"/>
      <c r="P470" s="10"/>
    </row>
    <row r="471" spans="1:16" x14ac:dyDescent="0.25">
      <c r="A471" s="5"/>
      <c r="B471" s="22"/>
      <c r="C471" s="22"/>
      <c r="D471" s="18"/>
      <c r="E471" s="24"/>
      <c r="F471" s="13"/>
      <c r="G471" s="13"/>
      <c r="H471" s="7"/>
      <c r="I471" s="13"/>
      <c r="J471" s="9"/>
      <c r="K471" s="10"/>
      <c r="L471" s="10"/>
      <c r="M471" s="11"/>
      <c r="N471" s="10"/>
      <c r="O471" s="42"/>
      <c r="P471" s="10"/>
    </row>
    <row r="472" spans="1:16" x14ac:dyDescent="0.25">
      <c r="A472" s="5"/>
      <c r="B472" s="22"/>
      <c r="C472" s="22"/>
      <c r="D472" s="18"/>
      <c r="E472" s="24"/>
      <c r="F472" s="13"/>
      <c r="G472" s="13"/>
      <c r="H472" s="7"/>
      <c r="I472" s="13"/>
      <c r="J472" s="9"/>
      <c r="K472" s="10"/>
      <c r="L472" s="10"/>
      <c r="M472" s="11"/>
      <c r="N472" s="10"/>
      <c r="O472" s="42"/>
      <c r="P472" s="10"/>
    </row>
    <row r="473" spans="1:16" x14ac:dyDescent="0.25">
      <c r="A473" s="5"/>
      <c r="B473" s="22"/>
      <c r="C473" s="22"/>
      <c r="D473" s="18"/>
      <c r="E473" s="24"/>
      <c r="F473" s="13"/>
      <c r="G473" s="13"/>
      <c r="H473" s="7"/>
      <c r="I473" s="13"/>
      <c r="J473" s="9"/>
      <c r="K473" s="10"/>
      <c r="L473" s="10"/>
      <c r="M473" s="11"/>
      <c r="N473" s="10"/>
      <c r="O473" s="42"/>
      <c r="P473" s="10"/>
    </row>
    <row r="474" spans="1:16" x14ac:dyDescent="0.25">
      <c r="A474" s="5"/>
      <c r="B474" s="22"/>
      <c r="C474" s="22"/>
      <c r="D474" s="18"/>
      <c r="E474" s="24"/>
      <c r="F474" s="13"/>
      <c r="G474" s="13"/>
      <c r="H474" s="7"/>
      <c r="I474" s="13"/>
      <c r="J474" s="9"/>
      <c r="K474" s="10"/>
      <c r="L474" s="10"/>
      <c r="M474" s="11"/>
      <c r="N474" s="10"/>
      <c r="O474" s="42"/>
      <c r="P474" s="10"/>
    </row>
    <row r="475" spans="1:16" x14ac:dyDescent="0.25">
      <c r="A475" s="5"/>
      <c r="B475" s="22"/>
      <c r="C475" s="22"/>
      <c r="D475" s="18"/>
      <c r="E475" s="24"/>
      <c r="F475" s="13"/>
      <c r="G475" s="13"/>
      <c r="H475" s="7"/>
      <c r="I475" s="13"/>
      <c r="J475" s="9"/>
      <c r="K475" s="10"/>
      <c r="L475" s="10"/>
      <c r="M475" s="11"/>
      <c r="N475" s="10"/>
      <c r="O475" s="42"/>
      <c r="P475" s="10"/>
    </row>
    <row r="476" spans="1:16" x14ac:dyDescent="0.25">
      <c r="A476" s="5"/>
      <c r="B476" s="22"/>
      <c r="C476" s="22"/>
      <c r="D476" s="18"/>
      <c r="E476" s="24"/>
      <c r="F476" s="13"/>
      <c r="G476" s="13"/>
      <c r="H476" s="7"/>
      <c r="I476" s="13"/>
      <c r="J476" s="9"/>
      <c r="K476" s="10"/>
      <c r="L476" s="10"/>
      <c r="M476" s="11"/>
      <c r="N476" s="10"/>
      <c r="O476" s="42"/>
      <c r="P476" s="10"/>
    </row>
    <row r="477" spans="1:16" x14ac:dyDescent="0.25">
      <c r="A477" s="5"/>
      <c r="B477" s="22"/>
      <c r="C477" s="22"/>
      <c r="D477" s="18"/>
      <c r="E477" s="24"/>
      <c r="F477" s="13"/>
      <c r="G477" s="13"/>
      <c r="H477" s="7"/>
      <c r="I477" s="13"/>
      <c r="J477" s="9"/>
      <c r="K477" s="10"/>
      <c r="L477" s="10"/>
      <c r="M477" s="11"/>
      <c r="N477" s="10"/>
      <c r="O477" s="42"/>
      <c r="P477" s="10"/>
    </row>
    <row r="478" spans="1:16" x14ac:dyDescent="0.25">
      <c r="A478" s="5"/>
      <c r="B478" s="22"/>
      <c r="C478" s="22"/>
      <c r="D478" s="18"/>
      <c r="E478" s="24"/>
      <c r="F478" s="13"/>
      <c r="G478" s="13"/>
      <c r="H478" s="7"/>
      <c r="I478" s="13"/>
      <c r="J478" s="9"/>
      <c r="K478" s="10"/>
      <c r="L478" s="10"/>
      <c r="M478" s="11"/>
      <c r="N478" s="10"/>
      <c r="O478" s="42"/>
      <c r="P478" s="10"/>
    </row>
    <row r="479" spans="1:16" x14ac:dyDescent="0.25">
      <c r="A479" s="5"/>
      <c r="B479" s="22"/>
      <c r="C479" s="22"/>
      <c r="D479" s="18"/>
      <c r="E479" s="24"/>
      <c r="F479" s="13"/>
      <c r="G479" s="13"/>
      <c r="H479" s="7"/>
      <c r="I479" s="13"/>
      <c r="J479" s="9"/>
      <c r="K479" s="10"/>
      <c r="L479" s="10"/>
      <c r="M479" s="11"/>
      <c r="N479" s="10"/>
      <c r="O479" s="42"/>
      <c r="P479" s="10"/>
    </row>
    <row r="480" spans="1:16" x14ac:dyDescent="0.25">
      <c r="A480" s="5"/>
      <c r="B480" s="22"/>
      <c r="C480" s="22"/>
      <c r="D480" s="18"/>
      <c r="E480" s="24"/>
      <c r="F480" s="13"/>
      <c r="G480" s="13"/>
      <c r="H480" s="7"/>
      <c r="I480" s="13"/>
      <c r="J480" s="9"/>
      <c r="K480" s="10"/>
      <c r="L480" s="10"/>
      <c r="M480" s="11"/>
      <c r="N480" s="10"/>
      <c r="O480" s="42"/>
      <c r="P480" s="10"/>
    </row>
    <row r="481" spans="1:16" x14ac:dyDescent="0.25">
      <c r="A481" s="5"/>
      <c r="B481" s="22"/>
      <c r="C481" s="22"/>
      <c r="D481" s="18"/>
      <c r="E481" s="24"/>
      <c r="F481" s="13"/>
      <c r="G481" s="13"/>
      <c r="H481" s="7"/>
      <c r="I481" s="13"/>
      <c r="J481" s="9"/>
      <c r="K481" s="10"/>
      <c r="L481" s="10"/>
      <c r="M481" s="11"/>
      <c r="N481" s="10"/>
      <c r="O481" s="42"/>
      <c r="P481" s="10"/>
    </row>
    <row r="482" spans="1:16" x14ac:dyDescent="0.25">
      <c r="A482" s="5"/>
      <c r="B482" s="22"/>
      <c r="C482" s="22"/>
      <c r="D482" s="18"/>
      <c r="E482" s="24"/>
      <c r="F482" s="13"/>
      <c r="G482" s="13"/>
      <c r="H482" s="7"/>
      <c r="I482" s="13"/>
      <c r="J482" s="9"/>
      <c r="K482" s="10"/>
      <c r="L482" s="10"/>
      <c r="M482" s="11"/>
      <c r="N482" s="10"/>
      <c r="O482" s="42"/>
      <c r="P482" s="10"/>
    </row>
    <row r="483" spans="1:16" x14ac:dyDescent="0.25">
      <c r="A483" s="5"/>
      <c r="B483" s="22"/>
      <c r="C483" s="22"/>
      <c r="D483" s="18"/>
      <c r="E483" s="24"/>
      <c r="F483" s="13"/>
      <c r="G483" s="13"/>
      <c r="H483" s="7"/>
      <c r="I483" s="13"/>
      <c r="J483" s="9"/>
      <c r="K483" s="10"/>
      <c r="L483" s="10"/>
      <c r="M483" s="11"/>
      <c r="N483" s="10"/>
      <c r="O483" s="42"/>
      <c r="P483" s="10"/>
    </row>
    <row r="484" spans="1:16" x14ac:dyDescent="0.25">
      <c r="A484" s="5"/>
      <c r="B484" s="22"/>
      <c r="C484" s="22"/>
      <c r="D484" s="18"/>
      <c r="E484" s="24"/>
      <c r="F484" s="13"/>
      <c r="G484" s="13"/>
      <c r="H484" s="7"/>
      <c r="I484" s="13"/>
      <c r="J484" s="9"/>
      <c r="K484" s="10"/>
      <c r="L484" s="10"/>
      <c r="M484" s="11"/>
      <c r="N484" s="10"/>
      <c r="O484" s="42"/>
      <c r="P484" s="10"/>
    </row>
    <row r="485" spans="1:16" x14ac:dyDescent="0.25">
      <c r="A485" s="5"/>
      <c r="B485" s="22"/>
      <c r="C485" s="22"/>
      <c r="D485" s="18"/>
      <c r="E485" s="24"/>
      <c r="F485" s="13"/>
      <c r="G485" s="13"/>
      <c r="H485" s="7"/>
      <c r="I485" s="13"/>
      <c r="J485" s="9"/>
      <c r="K485" s="10"/>
      <c r="L485" s="10"/>
      <c r="M485" s="11"/>
      <c r="N485" s="10"/>
      <c r="O485" s="42"/>
      <c r="P485" s="10"/>
    </row>
    <row r="486" spans="1:16" x14ac:dyDescent="0.25">
      <c r="A486" s="5"/>
      <c r="B486" s="22"/>
      <c r="C486" s="22"/>
      <c r="D486" s="18"/>
      <c r="E486" s="24"/>
      <c r="F486" s="13"/>
      <c r="G486" s="13"/>
      <c r="H486" s="7"/>
      <c r="I486" s="13"/>
      <c r="J486" s="9"/>
      <c r="K486" s="10"/>
      <c r="L486" s="10"/>
      <c r="M486" s="11"/>
      <c r="N486" s="10"/>
      <c r="O486" s="42"/>
      <c r="P486" s="10"/>
    </row>
    <row r="487" spans="1:16" x14ac:dyDescent="0.25">
      <c r="A487" s="5"/>
      <c r="B487" s="22"/>
      <c r="C487" s="22"/>
      <c r="D487" s="18"/>
      <c r="E487" s="24"/>
      <c r="F487" s="13"/>
      <c r="G487" s="13"/>
      <c r="H487" s="7"/>
      <c r="I487" s="13"/>
      <c r="J487" s="9"/>
      <c r="K487" s="10"/>
      <c r="L487" s="10"/>
      <c r="M487" s="11"/>
      <c r="N487" s="10"/>
      <c r="O487" s="42"/>
      <c r="P487" s="10"/>
    </row>
    <row r="488" spans="1:16" x14ac:dyDescent="0.25">
      <c r="A488" s="5"/>
      <c r="B488" s="22"/>
      <c r="C488" s="22"/>
      <c r="D488" s="18"/>
      <c r="E488" s="24"/>
      <c r="F488" s="13"/>
      <c r="G488" s="13"/>
      <c r="H488" s="7"/>
      <c r="I488" s="13"/>
      <c r="J488" s="9"/>
      <c r="K488" s="10"/>
      <c r="L488" s="10"/>
      <c r="M488" s="11"/>
      <c r="N488" s="10"/>
      <c r="O488" s="42"/>
      <c r="P488" s="10"/>
    </row>
    <row r="489" spans="1:16" x14ac:dyDescent="0.25">
      <c r="A489" s="5"/>
      <c r="B489" s="22"/>
      <c r="C489" s="22"/>
      <c r="D489" s="18"/>
      <c r="E489" s="24"/>
      <c r="F489" s="13"/>
      <c r="G489" s="13"/>
      <c r="H489" s="7"/>
      <c r="I489" s="13"/>
      <c r="J489" s="9"/>
      <c r="K489" s="10"/>
      <c r="L489" s="10"/>
      <c r="M489" s="11"/>
      <c r="N489" s="10"/>
      <c r="O489" s="42"/>
      <c r="P489" s="10"/>
    </row>
    <row r="490" spans="1:16" x14ac:dyDescent="0.25">
      <c r="A490" s="5"/>
      <c r="B490" s="22"/>
      <c r="C490" s="22"/>
      <c r="D490" s="18"/>
      <c r="E490" s="24"/>
      <c r="F490" s="13"/>
      <c r="G490" s="13"/>
      <c r="H490" s="7"/>
      <c r="I490" s="13"/>
      <c r="J490" s="9"/>
      <c r="K490" s="10"/>
      <c r="L490" s="10"/>
      <c r="M490" s="11"/>
      <c r="N490" s="10"/>
      <c r="O490" s="42"/>
      <c r="P490" s="10"/>
    </row>
    <row r="491" spans="1:16" x14ac:dyDescent="0.25">
      <c r="A491" s="5"/>
      <c r="B491" s="22"/>
      <c r="C491" s="22"/>
      <c r="D491" s="18"/>
      <c r="E491" s="24"/>
      <c r="F491" s="13"/>
      <c r="G491" s="13"/>
      <c r="H491" s="7"/>
      <c r="I491" s="13"/>
      <c r="J491" s="9"/>
      <c r="K491" s="10"/>
      <c r="L491" s="10"/>
      <c r="M491" s="11"/>
      <c r="N491" s="10"/>
      <c r="O491" s="42"/>
      <c r="P491" s="10"/>
    </row>
    <row r="492" spans="1:16" x14ac:dyDescent="0.25">
      <c r="A492" s="5"/>
      <c r="B492" s="22"/>
      <c r="C492" s="22"/>
      <c r="D492" s="18"/>
      <c r="E492" s="24"/>
      <c r="F492" s="13"/>
      <c r="G492" s="13"/>
      <c r="H492" s="7"/>
      <c r="I492" s="13"/>
      <c r="J492" s="9"/>
      <c r="K492" s="10"/>
      <c r="L492" s="10"/>
      <c r="M492" s="11"/>
      <c r="N492" s="10"/>
      <c r="O492" s="42"/>
      <c r="P492" s="10"/>
    </row>
    <row r="493" spans="1:16" x14ac:dyDescent="0.25">
      <c r="A493" s="5"/>
      <c r="B493" s="22"/>
      <c r="C493" s="22"/>
      <c r="D493" s="18"/>
      <c r="E493" s="24"/>
      <c r="F493" s="13"/>
      <c r="G493" s="13"/>
      <c r="H493" s="7"/>
      <c r="I493" s="13"/>
      <c r="J493" s="9"/>
      <c r="K493" s="10"/>
      <c r="L493" s="10"/>
      <c r="M493" s="11"/>
      <c r="N493" s="10"/>
      <c r="O493" s="42"/>
      <c r="P493" s="10"/>
    </row>
    <row r="494" spans="1:16" x14ac:dyDescent="0.25">
      <c r="A494" s="5"/>
      <c r="B494" s="22"/>
      <c r="C494" s="22"/>
      <c r="D494" s="18"/>
      <c r="E494" s="24"/>
      <c r="F494" s="13"/>
      <c r="G494" s="13"/>
      <c r="H494" s="7"/>
      <c r="I494" s="13"/>
      <c r="J494" s="9"/>
      <c r="K494" s="10"/>
      <c r="L494" s="10"/>
      <c r="M494" s="11"/>
      <c r="N494" s="10"/>
      <c r="O494" s="42"/>
      <c r="P494" s="10"/>
    </row>
    <row r="495" spans="1:16" x14ac:dyDescent="0.25">
      <c r="A495" s="5"/>
      <c r="B495" s="22"/>
      <c r="C495" s="22"/>
      <c r="D495" s="18"/>
      <c r="E495" s="24"/>
      <c r="F495" s="13"/>
      <c r="G495" s="13"/>
      <c r="H495" s="7"/>
      <c r="I495" s="13"/>
      <c r="J495" s="9"/>
      <c r="K495" s="10"/>
      <c r="L495" s="10"/>
      <c r="M495" s="11"/>
      <c r="N495" s="10"/>
      <c r="O495" s="42"/>
      <c r="P495" s="10"/>
    </row>
    <row r="496" spans="1:16" x14ac:dyDescent="0.25">
      <c r="A496" s="5"/>
      <c r="B496" s="22"/>
      <c r="C496" s="22"/>
      <c r="D496" s="18"/>
      <c r="E496" s="24"/>
      <c r="F496" s="13"/>
      <c r="G496" s="13"/>
      <c r="H496" s="7"/>
      <c r="I496" s="13"/>
      <c r="J496" s="9"/>
      <c r="K496" s="10"/>
      <c r="L496" s="10"/>
      <c r="M496" s="11"/>
      <c r="N496" s="10"/>
      <c r="O496" s="42"/>
      <c r="P496" s="10"/>
    </row>
    <row r="497" spans="1:16" x14ac:dyDescent="0.25">
      <c r="A497" s="5"/>
      <c r="B497" s="22"/>
      <c r="C497" s="22"/>
      <c r="D497" s="18"/>
      <c r="E497" s="24"/>
      <c r="F497" s="13"/>
      <c r="G497" s="13"/>
      <c r="H497" s="7"/>
      <c r="I497" s="13"/>
      <c r="J497" s="9"/>
      <c r="K497" s="10"/>
      <c r="L497" s="10"/>
      <c r="M497" s="11"/>
      <c r="N497" s="10"/>
      <c r="O497" s="42"/>
      <c r="P497" s="10"/>
    </row>
    <row r="498" spans="1:16" x14ac:dyDescent="0.25">
      <c r="A498" s="5"/>
      <c r="B498" s="22"/>
      <c r="C498" s="22"/>
      <c r="D498" s="18"/>
      <c r="E498" s="24"/>
      <c r="F498" s="13"/>
      <c r="G498" s="13"/>
      <c r="H498" s="7"/>
      <c r="I498" s="13"/>
      <c r="J498" s="9"/>
      <c r="K498" s="10"/>
      <c r="L498" s="10"/>
      <c r="M498" s="11"/>
      <c r="N498" s="10"/>
      <c r="O498" s="42"/>
      <c r="P498" s="10"/>
    </row>
    <row r="499" spans="1:16" x14ac:dyDescent="0.25">
      <c r="A499" s="5"/>
      <c r="B499" s="22"/>
      <c r="C499" s="22"/>
      <c r="D499" s="18"/>
      <c r="E499" s="24"/>
      <c r="F499" s="13"/>
      <c r="G499" s="13"/>
      <c r="H499" s="7"/>
      <c r="I499" s="13"/>
      <c r="J499" s="9"/>
      <c r="K499" s="10"/>
      <c r="L499" s="10"/>
      <c r="M499" s="11"/>
      <c r="N499" s="10"/>
      <c r="O499" s="42"/>
      <c r="P499" s="10"/>
    </row>
    <row r="500" spans="1:16" x14ac:dyDescent="0.25">
      <c r="A500" s="5"/>
      <c r="B500" s="22"/>
      <c r="C500" s="22"/>
      <c r="D500" s="18"/>
      <c r="E500" s="24"/>
      <c r="F500" s="13"/>
      <c r="G500" s="13"/>
      <c r="H500" s="7"/>
      <c r="I500" s="13"/>
      <c r="J500" s="9"/>
      <c r="K500" s="10"/>
      <c r="L500" s="10"/>
      <c r="M500" s="11"/>
      <c r="N500" s="10"/>
      <c r="O500" s="42"/>
      <c r="P500" s="10"/>
    </row>
    <row r="501" spans="1:16" x14ac:dyDescent="0.25">
      <c r="A501" s="5"/>
      <c r="B501" s="22"/>
      <c r="C501" s="22"/>
      <c r="D501" s="18"/>
      <c r="E501" s="24"/>
      <c r="F501" s="13"/>
      <c r="G501" s="13"/>
      <c r="H501" s="7"/>
      <c r="I501" s="13"/>
      <c r="J501" s="9"/>
      <c r="K501" s="10"/>
      <c r="L501" s="10"/>
      <c r="M501" s="11"/>
      <c r="N501" s="10"/>
      <c r="O501" s="42"/>
      <c r="P501" s="10"/>
    </row>
    <row r="502" spans="1:16" x14ac:dyDescent="0.25">
      <c r="A502" s="5"/>
      <c r="B502" s="22"/>
      <c r="C502" s="22"/>
      <c r="D502" s="18"/>
      <c r="E502" s="24"/>
      <c r="F502" s="13"/>
      <c r="G502" s="13"/>
      <c r="H502" s="7"/>
      <c r="I502" s="13"/>
      <c r="J502" s="9"/>
      <c r="K502" s="10"/>
      <c r="L502" s="10"/>
      <c r="M502" s="11"/>
      <c r="N502" s="10"/>
      <c r="O502" s="42"/>
      <c r="P502" s="10"/>
    </row>
    <row r="503" spans="1:16" x14ac:dyDescent="0.25">
      <c r="A503" s="5"/>
      <c r="B503" s="22"/>
      <c r="C503" s="22"/>
      <c r="D503" s="18"/>
      <c r="E503" s="24"/>
      <c r="F503" s="13"/>
      <c r="G503" s="13"/>
      <c r="H503" s="7"/>
      <c r="I503" s="13"/>
      <c r="J503" s="9"/>
      <c r="K503" s="10"/>
      <c r="L503" s="10"/>
      <c r="M503" s="11"/>
      <c r="N503" s="10"/>
      <c r="O503" s="42"/>
      <c r="P503" s="10"/>
    </row>
    <row r="504" spans="1:16" x14ac:dyDescent="0.25">
      <c r="A504" s="5"/>
      <c r="B504" s="22"/>
      <c r="C504" s="22"/>
      <c r="D504" s="18"/>
      <c r="E504" s="24"/>
      <c r="F504" s="13"/>
      <c r="G504" s="13"/>
      <c r="H504" s="7"/>
      <c r="I504" s="13"/>
      <c r="J504" s="9"/>
      <c r="K504" s="10"/>
      <c r="L504" s="10"/>
      <c r="M504" s="11"/>
      <c r="N504" s="10"/>
      <c r="O504" s="42"/>
      <c r="P504" s="10"/>
    </row>
    <row r="505" spans="1:16" x14ac:dyDescent="0.25">
      <c r="A505" s="5"/>
      <c r="B505" s="22"/>
      <c r="C505" s="22"/>
      <c r="D505" s="18"/>
      <c r="E505" s="24"/>
      <c r="F505" s="13"/>
      <c r="G505" s="13"/>
      <c r="H505" s="7"/>
      <c r="I505" s="13"/>
      <c r="J505" s="9"/>
      <c r="K505" s="10"/>
      <c r="L505" s="10"/>
      <c r="M505" s="11"/>
      <c r="N505" s="10"/>
      <c r="O505" s="42"/>
      <c r="P505" s="10"/>
    </row>
    <row r="506" spans="1:16" x14ac:dyDescent="0.25">
      <c r="A506" s="5"/>
      <c r="B506" s="22"/>
      <c r="C506" s="22"/>
      <c r="D506" s="18"/>
      <c r="E506" s="24"/>
      <c r="F506" s="13"/>
      <c r="G506" s="13"/>
      <c r="H506" s="7"/>
      <c r="I506" s="13"/>
      <c r="J506" s="9"/>
      <c r="K506" s="10"/>
      <c r="L506" s="10"/>
      <c r="M506" s="11"/>
      <c r="N506" s="10"/>
      <c r="O506" s="42"/>
      <c r="P506" s="10"/>
    </row>
    <row r="507" spans="1:16" x14ac:dyDescent="0.25">
      <c r="A507" s="5"/>
      <c r="B507" s="22"/>
      <c r="C507" s="22"/>
      <c r="D507" s="18"/>
      <c r="E507" s="24"/>
      <c r="F507" s="13"/>
      <c r="G507" s="13"/>
      <c r="H507" s="7"/>
      <c r="I507" s="13"/>
      <c r="J507" s="9"/>
      <c r="K507" s="10"/>
      <c r="L507" s="10"/>
      <c r="M507" s="11"/>
      <c r="N507" s="10"/>
      <c r="O507" s="42"/>
      <c r="P507" s="10"/>
    </row>
    <row r="508" spans="1:16" x14ac:dyDescent="0.25">
      <c r="A508" s="5"/>
      <c r="B508" s="22"/>
      <c r="C508" s="22"/>
      <c r="D508" s="18"/>
      <c r="E508" s="24"/>
      <c r="F508" s="13"/>
      <c r="G508" s="13"/>
      <c r="H508" s="7"/>
      <c r="I508" s="13"/>
      <c r="J508" s="9"/>
      <c r="K508" s="10"/>
      <c r="L508" s="10"/>
      <c r="M508" s="11"/>
      <c r="N508" s="10"/>
      <c r="O508" s="42"/>
      <c r="P508" s="10"/>
    </row>
    <row r="509" spans="1:16" x14ac:dyDescent="0.25">
      <c r="A509" s="5"/>
      <c r="B509" s="22"/>
      <c r="C509" s="22"/>
      <c r="D509" s="18"/>
      <c r="E509" s="24"/>
      <c r="F509" s="13"/>
      <c r="G509" s="13"/>
      <c r="H509" s="7"/>
      <c r="I509" s="13"/>
      <c r="J509" s="9"/>
      <c r="K509" s="10"/>
      <c r="L509" s="10"/>
      <c r="M509" s="11"/>
      <c r="N509" s="10"/>
      <c r="O509" s="42"/>
      <c r="P509" s="10"/>
    </row>
    <row r="510" spans="1:16" x14ac:dyDescent="0.25">
      <c r="A510" s="5"/>
      <c r="B510" s="22"/>
      <c r="C510" s="22"/>
      <c r="D510" s="18"/>
      <c r="E510" s="24"/>
      <c r="F510" s="13"/>
      <c r="G510" s="13"/>
      <c r="H510" s="7"/>
      <c r="I510" s="13"/>
      <c r="J510" s="9"/>
      <c r="K510" s="10"/>
      <c r="L510" s="10"/>
      <c r="M510" s="11"/>
      <c r="N510" s="10"/>
      <c r="O510" s="42"/>
      <c r="P510" s="10"/>
    </row>
    <row r="511" spans="1:16" x14ac:dyDescent="0.25">
      <c r="A511" s="5"/>
      <c r="B511" s="22"/>
      <c r="C511" s="22"/>
      <c r="D511" s="18"/>
      <c r="E511" s="24"/>
      <c r="F511" s="13"/>
      <c r="G511" s="13"/>
      <c r="H511" s="7"/>
      <c r="I511" s="13"/>
      <c r="J511" s="9"/>
      <c r="K511" s="10"/>
      <c r="L511" s="10"/>
      <c r="M511" s="11"/>
      <c r="N511" s="10"/>
      <c r="O511" s="42"/>
      <c r="P511" s="10"/>
    </row>
    <row r="512" spans="1:16" x14ac:dyDescent="0.25">
      <c r="A512" s="5"/>
      <c r="B512" s="22"/>
      <c r="C512" s="22"/>
      <c r="D512" s="18"/>
      <c r="E512" s="24"/>
      <c r="F512" s="13"/>
      <c r="G512" s="13"/>
      <c r="H512" s="7"/>
      <c r="I512" s="13"/>
      <c r="J512" s="9"/>
      <c r="K512" s="10"/>
      <c r="L512" s="10"/>
      <c r="M512" s="11"/>
      <c r="N512" s="10"/>
      <c r="O512" s="42"/>
      <c r="P512" s="10"/>
    </row>
    <row r="513" spans="1:16" x14ac:dyDescent="0.25">
      <c r="A513" s="5"/>
      <c r="B513" s="22"/>
      <c r="C513" s="22"/>
      <c r="D513" s="18"/>
      <c r="E513" s="24"/>
      <c r="F513" s="13"/>
      <c r="G513" s="13"/>
      <c r="H513" s="7"/>
      <c r="I513" s="13"/>
      <c r="J513" s="9"/>
      <c r="K513" s="10"/>
      <c r="L513" s="10"/>
      <c r="M513" s="11"/>
      <c r="N513" s="10"/>
      <c r="O513" s="42"/>
      <c r="P513" s="10"/>
    </row>
    <row r="514" spans="1:16" x14ac:dyDescent="0.25">
      <c r="A514" s="5"/>
      <c r="B514" s="22"/>
      <c r="C514" s="22"/>
      <c r="D514" s="18"/>
      <c r="E514" s="24"/>
      <c r="F514" s="13"/>
      <c r="G514" s="13"/>
      <c r="H514" s="7"/>
      <c r="I514" s="13"/>
      <c r="J514" s="9"/>
      <c r="K514" s="10"/>
      <c r="L514" s="10"/>
      <c r="M514" s="11"/>
      <c r="N514" s="10"/>
      <c r="O514" s="42"/>
      <c r="P514" s="10"/>
    </row>
    <row r="515" spans="1:16" x14ac:dyDescent="0.25">
      <c r="A515" s="5"/>
      <c r="B515" s="22"/>
      <c r="C515" s="22"/>
      <c r="D515" s="18"/>
      <c r="E515" s="24"/>
      <c r="F515" s="13"/>
      <c r="G515" s="13"/>
      <c r="H515" s="7"/>
      <c r="I515" s="13"/>
      <c r="J515" s="9"/>
      <c r="K515" s="10"/>
      <c r="L515" s="10"/>
      <c r="M515" s="11"/>
      <c r="N515" s="10"/>
      <c r="O515" s="42"/>
      <c r="P515" s="10"/>
    </row>
    <row r="516" spans="1:16" x14ac:dyDescent="0.25">
      <c r="A516" s="5"/>
      <c r="B516" s="22"/>
      <c r="C516" s="22"/>
      <c r="D516" s="18"/>
      <c r="E516" s="24"/>
      <c r="F516" s="13"/>
      <c r="G516" s="13"/>
      <c r="H516" s="7"/>
      <c r="I516" s="13"/>
      <c r="J516" s="9"/>
      <c r="K516" s="10"/>
      <c r="L516" s="10"/>
      <c r="M516" s="11"/>
      <c r="N516" s="10"/>
      <c r="O516" s="42"/>
      <c r="P516" s="10"/>
    </row>
    <row r="517" spans="1:16" x14ac:dyDescent="0.25">
      <c r="A517" s="5"/>
      <c r="B517" s="22"/>
      <c r="C517" s="22"/>
      <c r="D517" s="18"/>
      <c r="E517" s="24"/>
      <c r="F517" s="13"/>
      <c r="G517" s="13"/>
      <c r="H517" s="7"/>
      <c r="I517" s="13"/>
      <c r="J517" s="9"/>
      <c r="K517" s="10"/>
      <c r="L517" s="10"/>
      <c r="M517" s="11"/>
      <c r="N517" s="10"/>
      <c r="O517" s="42"/>
      <c r="P517" s="10"/>
    </row>
    <row r="518" spans="1:16" x14ac:dyDescent="0.25">
      <c r="A518" s="5"/>
      <c r="B518" s="22"/>
      <c r="C518" s="22"/>
      <c r="D518" s="18"/>
      <c r="E518" s="24"/>
      <c r="F518" s="13"/>
      <c r="G518" s="13"/>
      <c r="H518" s="7"/>
      <c r="I518" s="13"/>
      <c r="J518" s="9"/>
      <c r="K518" s="10"/>
      <c r="L518" s="10"/>
      <c r="M518" s="11"/>
      <c r="N518" s="10"/>
      <c r="O518" s="42"/>
      <c r="P518" s="10"/>
    </row>
    <row r="519" spans="1:16" x14ac:dyDescent="0.25">
      <c r="A519" s="5"/>
      <c r="B519" s="22"/>
      <c r="C519" s="22"/>
      <c r="D519" s="18"/>
      <c r="E519" s="24"/>
      <c r="F519" s="13"/>
      <c r="G519" s="13"/>
      <c r="H519" s="7"/>
      <c r="I519" s="13"/>
      <c r="J519" s="9"/>
      <c r="K519" s="10"/>
      <c r="L519" s="10"/>
      <c r="M519" s="11"/>
      <c r="N519" s="10"/>
      <c r="O519" s="42"/>
      <c r="P519" s="10"/>
    </row>
    <row r="520" spans="1:16" x14ac:dyDescent="0.25">
      <c r="A520" s="5"/>
      <c r="B520" s="22"/>
      <c r="C520" s="22"/>
      <c r="D520" s="18"/>
      <c r="E520" s="24"/>
      <c r="F520" s="13"/>
      <c r="G520" s="13"/>
      <c r="H520" s="7"/>
      <c r="I520" s="13"/>
      <c r="J520" s="9"/>
      <c r="K520" s="10"/>
      <c r="L520" s="10"/>
      <c r="M520" s="11"/>
      <c r="N520" s="10"/>
      <c r="O520" s="42"/>
      <c r="P520" s="10"/>
    </row>
    <row r="521" spans="1:16" x14ac:dyDescent="0.25">
      <c r="A521" s="5"/>
      <c r="B521" s="22"/>
      <c r="C521" s="22"/>
      <c r="D521" s="18"/>
      <c r="E521" s="24"/>
      <c r="F521" s="13"/>
      <c r="G521" s="13"/>
      <c r="H521" s="7"/>
      <c r="I521" s="13"/>
      <c r="J521" s="9"/>
      <c r="K521" s="10"/>
      <c r="L521" s="10"/>
      <c r="M521" s="11"/>
      <c r="N521" s="10"/>
      <c r="O521" s="42"/>
      <c r="P521" s="10"/>
    </row>
    <row r="522" spans="1:16" x14ac:dyDescent="0.25">
      <c r="A522" s="5"/>
      <c r="B522" s="22"/>
      <c r="C522" s="22"/>
      <c r="D522" s="18"/>
      <c r="E522" s="24"/>
      <c r="F522" s="13"/>
      <c r="G522" s="13"/>
      <c r="H522" s="7"/>
      <c r="I522" s="13"/>
      <c r="J522" s="9"/>
      <c r="K522" s="10"/>
      <c r="L522" s="10"/>
      <c r="M522" s="11"/>
      <c r="N522" s="10"/>
      <c r="O522" s="42"/>
      <c r="P522" s="10"/>
    </row>
    <row r="523" spans="1:16" x14ac:dyDescent="0.25">
      <c r="A523" s="5"/>
      <c r="B523" s="22"/>
      <c r="C523" s="22"/>
      <c r="D523" s="18"/>
      <c r="E523" s="24"/>
      <c r="F523" s="13"/>
      <c r="G523" s="13"/>
      <c r="H523" s="7"/>
      <c r="I523" s="13"/>
      <c r="J523" s="9"/>
      <c r="K523" s="10"/>
      <c r="L523" s="10"/>
      <c r="M523" s="11"/>
      <c r="N523" s="10"/>
      <c r="O523" s="42"/>
      <c r="P523" s="10"/>
    </row>
    <row r="524" spans="1:16" x14ac:dyDescent="0.25">
      <c r="A524" s="5"/>
      <c r="B524" s="22"/>
      <c r="C524" s="22"/>
      <c r="D524" s="18"/>
      <c r="E524" s="24"/>
      <c r="F524" s="13"/>
      <c r="G524" s="13"/>
      <c r="H524" s="7"/>
      <c r="I524" s="13"/>
      <c r="J524" s="9"/>
      <c r="K524" s="10"/>
      <c r="L524" s="10"/>
      <c r="M524" s="11"/>
      <c r="N524" s="10"/>
      <c r="O524" s="42"/>
      <c r="P524" s="10"/>
    </row>
    <row r="525" spans="1:16" x14ac:dyDescent="0.25">
      <c r="A525" s="5"/>
      <c r="B525" s="22"/>
      <c r="C525" s="22"/>
      <c r="D525" s="18"/>
      <c r="E525" s="24"/>
      <c r="F525" s="13"/>
      <c r="G525" s="13"/>
      <c r="H525" s="7"/>
      <c r="I525" s="13"/>
      <c r="J525" s="9"/>
      <c r="K525" s="10"/>
      <c r="L525" s="10"/>
      <c r="M525" s="11"/>
      <c r="N525" s="10"/>
      <c r="O525" s="42"/>
      <c r="P525" s="10"/>
    </row>
    <row r="526" spans="1:16" x14ac:dyDescent="0.25">
      <c r="A526" s="5"/>
      <c r="B526" s="22"/>
      <c r="C526" s="22"/>
      <c r="D526" s="18"/>
      <c r="E526" s="24"/>
      <c r="F526" s="13"/>
      <c r="G526" s="13"/>
      <c r="H526" s="7"/>
      <c r="I526" s="13"/>
      <c r="J526" s="9"/>
      <c r="K526" s="10"/>
      <c r="L526" s="10"/>
      <c r="M526" s="11"/>
      <c r="N526" s="10"/>
      <c r="O526" s="42"/>
      <c r="P526" s="10"/>
    </row>
    <row r="527" spans="1:16" x14ac:dyDescent="0.25">
      <c r="A527" s="5"/>
      <c r="B527" s="22"/>
      <c r="C527" s="22"/>
      <c r="D527" s="18"/>
      <c r="E527" s="24"/>
      <c r="F527" s="13"/>
      <c r="G527" s="13"/>
      <c r="H527" s="7"/>
      <c r="I527" s="13"/>
      <c r="J527" s="9"/>
      <c r="K527" s="10"/>
      <c r="L527" s="10"/>
      <c r="M527" s="11"/>
      <c r="N527" s="10"/>
      <c r="O527" s="42"/>
      <c r="P527" s="10"/>
    </row>
    <row r="528" spans="1:16" x14ac:dyDescent="0.25">
      <c r="A528" s="5"/>
      <c r="B528" s="22"/>
      <c r="C528" s="22"/>
      <c r="D528" s="18"/>
      <c r="E528" s="24"/>
      <c r="F528" s="13"/>
      <c r="G528" s="13"/>
      <c r="H528" s="7"/>
      <c r="I528" s="13"/>
      <c r="J528" s="9"/>
      <c r="K528" s="10"/>
      <c r="L528" s="10"/>
      <c r="M528" s="11"/>
      <c r="N528" s="10"/>
      <c r="O528" s="42"/>
      <c r="P528" s="10"/>
    </row>
    <row r="529" spans="1:16" x14ac:dyDescent="0.25">
      <c r="A529" s="5"/>
      <c r="B529" s="22"/>
      <c r="C529" s="22"/>
      <c r="D529" s="18"/>
      <c r="E529" s="24"/>
      <c r="F529" s="13"/>
      <c r="G529" s="13"/>
      <c r="H529" s="7"/>
      <c r="I529" s="13"/>
      <c r="J529" s="9"/>
      <c r="K529" s="10"/>
      <c r="L529" s="10"/>
      <c r="M529" s="11"/>
      <c r="N529" s="10"/>
      <c r="O529" s="42"/>
      <c r="P529" s="10"/>
    </row>
    <row r="530" spans="1:16" x14ac:dyDescent="0.25">
      <c r="A530" s="5"/>
      <c r="B530" s="22"/>
      <c r="C530" s="22"/>
      <c r="D530" s="18"/>
      <c r="E530" s="24"/>
      <c r="F530" s="13"/>
      <c r="G530" s="13"/>
      <c r="H530" s="7"/>
      <c r="I530" s="13"/>
      <c r="J530" s="9"/>
      <c r="K530" s="10"/>
      <c r="L530" s="10"/>
      <c r="M530" s="11"/>
      <c r="N530" s="10"/>
      <c r="O530" s="42"/>
      <c r="P530" s="10"/>
    </row>
    <row r="531" spans="1:16" x14ac:dyDescent="0.25">
      <c r="A531" s="5"/>
      <c r="B531" s="22"/>
      <c r="C531" s="22"/>
      <c r="D531" s="18"/>
      <c r="E531" s="24"/>
      <c r="F531" s="13"/>
      <c r="G531" s="13"/>
      <c r="H531" s="7"/>
      <c r="I531" s="13"/>
      <c r="J531" s="9"/>
      <c r="K531" s="10"/>
      <c r="L531" s="10"/>
      <c r="M531" s="11"/>
      <c r="N531" s="10"/>
      <c r="O531" s="42"/>
      <c r="P531" s="10"/>
    </row>
    <row r="532" spans="1:16" x14ac:dyDescent="0.25">
      <c r="A532" s="5"/>
      <c r="B532" s="22"/>
      <c r="C532" s="22"/>
      <c r="D532" s="18"/>
      <c r="E532" s="24"/>
      <c r="F532" s="13"/>
      <c r="G532" s="13"/>
      <c r="H532" s="7"/>
      <c r="I532" s="13"/>
      <c r="J532" s="9"/>
      <c r="K532" s="10"/>
      <c r="L532" s="10"/>
      <c r="M532" s="11"/>
      <c r="N532" s="10"/>
      <c r="O532" s="42"/>
      <c r="P532" s="10"/>
    </row>
    <row r="533" spans="1:16" x14ac:dyDescent="0.25">
      <c r="A533" s="5"/>
      <c r="B533" s="22"/>
      <c r="C533" s="22"/>
      <c r="D533" s="18"/>
      <c r="E533" s="24"/>
      <c r="F533" s="13"/>
      <c r="G533" s="13"/>
      <c r="H533" s="7"/>
      <c r="I533" s="13"/>
      <c r="J533" s="9"/>
      <c r="K533" s="10"/>
      <c r="L533" s="10"/>
      <c r="M533" s="11"/>
      <c r="N533" s="10"/>
      <c r="O533" s="42"/>
      <c r="P533" s="10"/>
    </row>
    <row r="534" spans="1:16" x14ac:dyDescent="0.25">
      <c r="A534" s="5"/>
      <c r="B534" s="22"/>
      <c r="C534" s="22"/>
      <c r="D534" s="18"/>
      <c r="E534" s="24"/>
      <c r="F534" s="13"/>
      <c r="G534" s="13"/>
      <c r="H534" s="7"/>
      <c r="I534" s="13"/>
      <c r="J534" s="9"/>
      <c r="K534" s="10"/>
      <c r="L534" s="10"/>
      <c r="M534" s="11"/>
      <c r="N534" s="10"/>
      <c r="O534" s="42"/>
      <c r="P534" s="10"/>
    </row>
    <row r="535" spans="1:16" x14ac:dyDescent="0.25">
      <c r="A535" s="5"/>
      <c r="B535" s="22"/>
      <c r="C535" s="22"/>
      <c r="D535" s="18"/>
      <c r="E535" s="24"/>
      <c r="F535" s="13"/>
      <c r="G535" s="13"/>
      <c r="H535" s="7"/>
      <c r="I535" s="13"/>
      <c r="J535" s="9"/>
      <c r="K535" s="10"/>
      <c r="L535" s="10"/>
      <c r="M535" s="11"/>
      <c r="N535" s="10"/>
      <c r="O535" s="42"/>
      <c r="P535" s="10"/>
    </row>
    <row r="536" spans="1:16" x14ac:dyDescent="0.25">
      <c r="A536" s="5"/>
      <c r="B536" s="22"/>
      <c r="C536" s="22"/>
      <c r="D536" s="18"/>
      <c r="E536" s="24"/>
      <c r="F536" s="13"/>
      <c r="G536" s="13"/>
      <c r="H536" s="7"/>
      <c r="I536" s="13"/>
      <c r="J536" s="9"/>
      <c r="K536" s="10"/>
      <c r="L536" s="10"/>
      <c r="M536" s="11"/>
      <c r="N536" s="10"/>
      <c r="O536" s="42"/>
      <c r="P536" s="10"/>
    </row>
    <row r="537" spans="1:16" x14ac:dyDescent="0.25">
      <c r="A537" s="5"/>
      <c r="B537" s="22"/>
      <c r="C537" s="22"/>
      <c r="D537" s="18"/>
      <c r="E537" s="24"/>
      <c r="F537" s="13"/>
      <c r="G537" s="13"/>
      <c r="H537" s="7"/>
      <c r="I537" s="13"/>
      <c r="J537" s="9"/>
      <c r="K537" s="10"/>
      <c r="L537" s="10"/>
      <c r="M537" s="11"/>
      <c r="N537" s="10"/>
      <c r="O537" s="42"/>
      <c r="P537" s="10"/>
    </row>
    <row r="538" spans="1:16" x14ac:dyDescent="0.25">
      <c r="A538" s="5"/>
      <c r="B538" s="22"/>
      <c r="C538" s="22"/>
      <c r="D538" s="18"/>
      <c r="E538" s="24"/>
      <c r="F538" s="13"/>
      <c r="G538" s="13"/>
      <c r="H538" s="7"/>
      <c r="I538" s="13"/>
      <c r="J538" s="9"/>
      <c r="K538" s="10"/>
      <c r="L538" s="10"/>
      <c r="M538" s="11"/>
      <c r="N538" s="10"/>
      <c r="O538" s="42"/>
      <c r="P538" s="10"/>
    </row>
    <row r="539" spans="1:16" x14ac:dyDescent="0.25">
      <c r="A539" s="5"/>
      <c r="B539" s="22"/>
      <c r="C539" s="22"/>
      <c r="D539" s="18"/>
      <c r="E539" s="24"/>
      <c r="F539" s="13"/>
      <c r="G539" s="13"/>
      <c r="H539" s="7"/>
      <c r="I539" s="13"/>
      <c r="J539" s="9"/>
      <c r="K539" s="10"/>
      <c r="L539" s="10"/>
      <c r="M539" s="11"/>
      <c r="N539" s="10"/>
      <c r="O539" s="42"/>
      <c r="P539" s="10"/>
    </row>
    <row r="540" spans="1:16" x14ac:dyDescent="0.25">
      <c r="A540" s="5"/>
      <c r="B540" s="22"/>
      <c r="C540" s="22"/>
      <c r="D540" s="18"/>
      <c r="E540" s="24"/>
      <c r="F540" s="13"/>
      <c r="G540" s="13"/>
      <c r="H540" s="7"/>
      <c r="I540" s="13"/>
      <c r="J540" s="9"/>
      <c r="K540" s="10"/>
      <c r="L540" s="10"/>
      <c r="M540" s="11"/>
      <c r="N540" s="10"/>
      <c r="O540" s="42"/>
      <c r="P540" s="10"/>
    </row>
    <row r="541" spans="1:16" x14ac:dyDescent="0.25">
      <c r="A541" s="5"/>
      <c r="B541" s="22"/>
      <c r="C541" s="22"/>
      <c r="D541" s="18"/>
      <c r="E541" s="24"/>
      <c r="F541" s="13"/>
      <c r="G541" s="13"/>
      <c r="H541" s="7"/>
      <c r="I541" s="13"/>
      <c r="J541" s="9"/>
      <c r="K541" s="10"/>
      <c r="L541" s="10"/>
      <c r="M541" s="11"/>
      <c r="N541" s="10"/>
      <c r="O541" s="42"/>
      <c r="P541" s="10"/>
    </row>
    <row r="542" spans="1:16" x14ac:dyDescent="0.25">
      <c r="A542" s="5"/>
      <c r="B542" s="22"/>
      <c r="C542" s="22"/>
      <c r="D542" s="18"/>
      <c r="E542" s="24"/>
      <c r="F542" s="13"/>
      <c r="G542" s="13"/>
      <c r="H542" s="7"/>
      <c r="I542" s="13"/>
      <c r="J542" s="9"/>
      <c r="K542" s="10"/>
      <c r="L542" s="10"/>
      <c r="M542" s="11"/>
      <c r="N542" s="10"/>
      <c r="O542" s="42"/>
      <c r="P542" s="10"/>
    </row>
    <row r="543" spans="1:16" x14ac:dyDescent="0.25">
      <c r="A543" s="5"/>
      <c r="B543" s="22"/>
      <c r="C543" s="22"/>
      <c r="D543" s="18"/>
      <c r="E543" s="24"/>
      <c r="F543" s="13"/>
      <c r="G543" s="13"/>
      <c r="H543" s="7"/>
      <c r="I543" s="13"/>
      <c r="J543" s="9"/>
      <c r="K543" s="10"/>
      <c r="L543" s="10"/>
      <c r="M543" s="11"/>
      <c r="N543" s="10"/>
      <c r="O543" s="42"/>
      <c r="P543" s="10"/>
    </row>
    <row r="544" spans="1:16" x14ac:dyDescent="0.25">
      <c r="A544" s="5"/>
      <c r="B544" s="22"/>
      <c r="C544" s="22"/>
      <c r="D544" s="18"/>
      <c r="E544" s="24"/>
      <c r="F544" s="13"/>
      <c r="G544" s="13"/>
      <c r="H544" s="7"/>
      <c r="I544" s="13"/>
      <c r="J544" s="9"/>
      <c r="K544" s="10"/>
      <c r="L544" s="10"/>
      <c r="M544" s="11"/>
      <c r="N544" s="10"/>
      <c r="O544" s="42"/>
      <c r="P544" s="10"/>
    </row>
    <row r="545" spans="1:16" x14ac:dyDescent="0.25">
      <c r="A545" s="5"/>
      <c r="B545" s="22"/>
      <c r="C545" s="22"/>
      <c r="D545" s="18"/>
      <c r="E545" s="24"/>
      <c r="F545" s="13"/>
      <c r="G545" s="13"/>
      <c r="H545" s="7"/>
      <c r="I545" s="13"/>
      <c r="J545" s="9"/>
      <c r="K545" s="10"/>
      <c r="L545" s="10"/>
      <c r="M545" s="11"/>
      <c r="N545" s="10"/>
      <c r="O545" s="42"/>
      <c r="P545" s="10"/>
    </row>
    <row r="546" spans="1:16" x14ac:dyDescent="0.25">
      <c r="A546" s="5"/>
      <c r="B546" s="22"/>
      <c r="C546" s="22"/>
      <c r="D546" s="18"/>
      <c r="E546" s="24"/>
      <c r="F546" s="13"/>
      <c r="G546" s="13"/>
      <c r="H546" s="7"/>
      <c r="I546" s="13"/>
      <c r="J546" s="9"/>
      <c r="K546" s="10"/>
      <c r="L546" s="10"/>
      <c r="M546" s="11"/>
      <c r="N546" s="10"/>
      <c r="O546" s="42"/>
      <c r="P546" s="10"/>
    </row>
    <row r="547" spans="1:16" x14ac:dyDescent="0.25">
      <c r="A547" s="5"/>
      <c r="B547" s="22"/>
      <c r="C547" s="22"/>
      <c r="D547" s="18"/>
      <c r="E547" s="24"/>
      <c r="F547" s="13"/>
      <c r="G547" s="13"/>
      <c r="H547" s="7"/>
      <c r="I547" s="13"/>
      <c r="J547" s="9"/>
      <c r="K547" s="10"/>
      <c r="L547" s="10"/>
      <c r="M547" s="11"/>
      <c r="N547" s="10"/>
      <c r="O547" s="42"/>
      <c r="P547" s="10"/>
    </row>
    <row r="548" spans="1:16" x14ac:dyDescent="0.25">
      <c r="A548" s="5"/>
      <c r="B548" s="22"/>
      <c r="C548" s="22"/>
      <c r="D548" s="18"/>
      <c r="E548" s="24"/>
      <c r="F548" s="13"/>
      <c r="G548" s="13"/>
      <c r="H548" s="7"/>
      <c r="I548" s="13"/>
      <c r="J548" s="9"/>
      <c r="K548" s="10"/>
      <c r="L548" s="10"/>
      <c r="M548" s="11"/>
      <c r="N548" s="10"/>
      <c r="O548" s="42"/>
      <c r="P548" s="10"/>
    </row>
    <row r="549" spans="1:16" x14ac:dyDescent="0.25">
      <c r="A549" s="5"/>
      <c r="B549" s="22"/>
      <c r="C549" s="22"/>
      <c r="D549" s="18"/>
      <c r="E549" s="24"/>
      <c r="F549" s="13"/>
      <c r="G549" s="13"/>
      <c r="H549" s="7"/>
      <c r="I549" s="13"/>
      <c r="J549" s="9"/>
      <c r="K549" s="10"/>
      <c r="L549" s="10"/>
      <c r="M549" s="11"/>
      <c r="N549" s="10"/>
      <c r="O549" s="42"/>
      <c r="P549" s="10"/>
    </row>
    <row r="550" spans="1:16" x14ac:dyDescent="0.25">
      <c r="A550" s="5"/>
      <c r="B550" s="22"/>
      <c r="C550" s="22"/>
      <c r="D550" s="18"/>
      <c r="E550" s="24"/>
      <c r="F550" s="13"/>
      <c r="G550" s="13"/>
      <c r="H550" s="7"/>
      <c r="I550" s="13"/>
      <c r="J550" s="9"/>
      <c r="K550" s="10"/>
      <c r="L550" s="10"/>
      <c r="M550" s="11"/>
      <c r="N550" s="10"/>
      <c r="O550" s="42"/>
      <c r="P550" s="10"/>
    </row>
    <row r="551" spans="1:16" x14ac:dyDescent="0.25">
      <c r="A551" s="5"/>
      <c r="B551" s="22"/>
      <c r="C551" s="22"/>
      <c r="D551" s="18"/>
      <c r="E551" s="24"/>
      <c r="F551" s="13"/>
      <c r="G551" s="13"/>
      <c r="H551" s="7"/>
      <c r="I551" s="13"/>
      <c r="J551" s="9"/>
      <c r="K551" s="10"/>
      <c r="L551" s="10"/>
      <c r="M551" s="11"/>
      <c r="N551" s="10"/>
      <c r="O551" s="42"/>
      <c r="P551" s="10"/>
    </row>
    <row r="552" spans="1:16" x14ac:dyDescent="0.25">
      <c r="A552" s="5"/>
      <c r="B552" s="22"/>
      <c r="C552" s="22"/>
      <c r="D552" s="18"/>
      <c r="E552" s="24"/>
      <c r="F552" s="13"/>
      <c r="G552" s="13"/>
      <c r="H552" s="7"/>
      <c r="I552" s="13"/>
      <c r="J552" s="9"/>
      <c r="K552" s="10"/>
      <c r="L552" s="10"/>
      <c r="M552" s="11"/>
      <c r="N552" s="10"/>
      <c r="O552" s="42"/>
      <c r="P552" s="10"/>
    </row>
    <row r="553" spans="1:16" x14ac:dyDescent="0.25">
      <c r="A553" s="5"/>
      <c r="B553" s="22"/>
      <c r="C553" s="22"/>
      <c r="D553" s="18"/>
      <c r="E553" s="24"/>
      <c r="F553" s="13"/>
      <c r="G553" s="13"/>
      <c r="H553" s="7"/>
      <c r="I553" s="13"/>
      <c r="J553" s="9"/>
      <c r="K553" s="10"/>
      <c r="L553" s="10"/>
      <c r="M553" s="11"/>
      <c r="N553" s="10"/>
      <c r="O553" s="42"/>
      <c r="P553" s="10"/>
    </row>
    <row r="554" spans="1:16" x14ac:dyDescent="0.25">
      <c r="A554" s="5"/>
      <c r="B554" s="22"/>
      <c r="C554" s="22"/>
      <c r="D554" s="18"/>
      <c r="E554" s="24"/>
      <c r="F554" s="13"/>
      <c r="G554" s="13"/>
      <c r="H554" s="7"/>
      <c r="I554" s="13"/>
      <c r="J554" s="9"/>
      <c r="K554" s="10"/>
      <c r="L554" s="10"/>
      <c r="M554" s="11"/>
      <c r="N554" s="10"/>
      <c r="O554" s="42"/>
      <c r="P554" s="10"/>
    </row>
    <row r="555" spans="1:16" x14ac:dyDescent="0.25">
      <c r="A555" s="5"/>
      <c r="B555" s="22"/>
      <c r="C555" s="22"/>
      <c r="D555" s="18"/>
      <c r="E555" s="24"/>
      <c r="F555" s="13"/>
      <c r="G555" s="13"/>
      <c r="H555" s="7"/>
      <c r="I555" s="13"/>
      <c r="J555" s="9"/>
      <c r="K555" s="10"/>
      <c r="L555" s="10"/>
      <c r="M555" s="11"/>
      <c r="N555" s="10"/>
      <c r="O555" s="42"/>
      <c r="P555" s="10"/>
    </row>
    <row r="556" spans="1:16" x14ac:dyDescent="0.25">
      <c r="A556" s="5"/>
      <c r="B556" s="22"/>
      <c r="C556" s="22"/>
      <c r="D556" s="18"/>
      <c r="E556" s="24"/>
      <c r="F556" s="13"/>
      <c r="G556" s="13"/>
      <c r="H556" s="7"/>
      <c r="I556" s="13"/>
      <c r="J556" s="9"/>
      <c r="K556" s="10"/>
      <c r="L556" s="10"/>
      <c r="M556" s="11"/>
      <c r="N556" s="10"/>
      <c r="O556" s="42"/>
      <c r="P556" s="10"/>
    </row>
    <row r="557" spans="1:16" x14ac:dyDescent="0.25">
      <c r="A557" s="5"/>
      <c r="B557" s="22"/>
      <c r="C557" s="22"/>
      <c r="D557" s="18"/>
      <c r="E557" s="24"/>
      <c r="F557" s="13"/>
      <c r="G557" s="13"/>
      <c r="H557" s="7"/>
      <c r="I557" s="13"/>
      <c r="J557" s="9"/>
      <c r="K557" s="10"/>
      <c r="L557" s="10"/>
      <c r="M557" s="11"/>
      <c r="N557" s="10"/>
      <c r="O557" s="42"/>
      <c r="P557" s="10"/>
    </row>
    <row r="558" spans="1:16" x14ac:dyDescent="0.25">
      <c r="A558" s="5"/>
      <c r="B558" s="22"/>
      <c r="C558" s="22"/>
      <c r="D558" s="18"/>
      <c r="E558" s="24"/>
      <c r="F558" s="13"/>
      <c r="G558" s="13"/>
      <c r="H558" s="7"/>
      <c r="I558" s="13"/>
      <c r="J558" s="9"/>
      <c r="K558" s="10"/>
      <c r="L558" s="10"/>
      <c r="M558" s="11"/>
      <c r="N558" s="10"/>
      <c r="O558" s="42"/>
      <c r="P558" s="10"/>
    </row>
    <row r="559" spans="1:16" x14ac:dyDescent="0.25">
      <c r="A559" s="5"/>
      <c r="B559" s="22"/>
      <c r="C559" s="22"/>
      <c r="D559" s="18"/>
      <c r="E559" s="24"/>
      <c r="F559" s="13"/>
      <c r="G559" s="13"/>
      <c r="H559" s="7"/>
      <c r="I559" s="13"/>
      <c r="J559" s="9"/>
      <c r="K559" s="10"/>
      <c r="L559" s="10"/>
      <c r="M559" s="11"/>
      <c r="N559" s="10"/>
      <c r="O559" s="42"/>
      <c r="P559" s="10"/>
    </row>
    <row r="560" spans="1:16" x14ac:dyDescent="0.25">
      <c r="A560" s="5"/>
      <c r="B560" s="22"/>
      <c r="C560" s="22"/>
      <c r="D560" s="18"/>
      <c r="E560" s="24"/>
      <c r="F560" s="13"/>
      <c r="G560" s="13"/>
      <c r="H560" s="7"/>
      <c r="I560" s="13"/>
      <c r="J560" s="9"/>
      <c r="K560" s="10"/>
      <c r="L560" s="10"/>
      <c r="M560" s="11"/>
      <c r="N560" s="10"/>
      <c r="O560" s="42"/>
      <c r="P560" s="10"/>
    </row>
    <row r="561" spans="1:16" x14ac:dyDescent="0.25">
      <c r="A561" s="5"/>
      <c r="B561" s="22"/>
      <c r="C561" s="22"/>
      <c r="D561" s="18"/>
      <c r="E561" s="24"/>
      <c r="F561" s="13"/>
      <c r="G561" s="13"/>
      <c r="H561" s="7"/>
      <c r="I561" s="13"/>
      <c r="J561" s="9"/>
      <c r="K561" s="10"/>
      <c r="L561" s="10"/>
      <c r="M561" s="11"/>
      <c r="N561" s="10"/>
      <c r="O561" s="42"/>
      <c r="P561" s="10"/>
    </row>
    <row r="562" spans="1:16" x14ac:dyDescent="0.25">
      <c r="A562" s="5"/>
      <c r="B562" s="22"/>
      <c r="C562" s="22"/>
      <c r="D562" s="18"/>
      <c r="E562" s="24"/>
      <c r="F562" s="13"/>
      <c r="G562" s="13"/>
      <c r="H562" s="7"/>
      <c r="I562" s="13"/>
      <c r="J562" s="9"/>
      <c r="K562" s="10"/>
      <c r="L562" s="10"/>
      <c r="M562" s="11"/>
      <c r="N562" s="10"/>
      <c r="O562" s="42"/>
      <c r="P562" s="10"/>
    </row>
    <row r="563" spans="1:16" x14ac:dyDescent="0.25">
      <c r="A563" s="5"/>
      <c r="B563" s="22"/>
      <c r="C563" s="22"/>
      <c r="D563" s="18"/>
      <c r="E563" s="24"/>
      <c r="F563" s="13"/>
      <c r="G563" s="13"/>
      <c r="H563" s="7"/>
      <c r="I563" s="13"/>
      <c r="J563" s="9"/>
      <c r="K563" s="10"/>
      <c r="L563" s="10"/>
      <c r="M563" s="11"/>
      <c r="N563" s="10"/>
      <c r="O563" s="42"/>
      <c r="P563" s="10"/>
    </row>
    <row r="564" spans="1:16" x14ac:dyDescent="0.25">
      <c r="A564" s="5"/>
      <c r="B564" s="22"/>
      <c r="C564" s="22"/>
      <c r="D564" s="18"/>
      <c r="E564" s="24"/>
      <c r="F564" s="13"/>
      <c r="G564" s="13"/>
      <c r="H564" s="7"/>
      <c r="I564" s="13"/>
      <c r="J564" s="9"/>
      <c r="K564" s="10"/>
      <c r="L564" s="10"/>
      <c r="M564" s="11"/>
      <c r="N564" s="10"/>
      <c r="O564" s="42"/>
      <c r="P564" s="10"/>
    </row>
    <row r="565" spans="1:16" x14ac:dyDescent="0.25">
      <c r="A565" s="5"/>
      <c r="B565" s="22"/>
      <c r="C565" s="22"/>
      <c r="D565" s="18"/>
      <c r="E565" s="24"/>
      <c r="F565" s="13"/>
      <c r="G565" s="13"/>
      <c r="H565" s="7"/>
      <c r="I565" s="13"/>
      <c r="J565" s="9"/>
      <c r="K565" s="10"/>
      <c r="L565" s="10"/>
      <c r="M565" s="11"/>
      <c r="N565" s="10"/>
      <c r="O565" s="42"/>
      <c r="P565" s="10"/>
    </row>
    <row r="566" spans="1:16" x14ac:dyDescent="0.25">
      <c r="A566" s="5"/>
      <c r="B566" s="22"/>
      <c r="C566" s="22"/>
      <c r="D566" s="18"/>
      <c r="E566" s="24"/>
      <c r="F566" s="13"/>
      <c r="G566" s="13"/>
      <c r="H566" s="7"/>
      <c r="I566" s="13"/>
      <c r="J566" s="9"/>
      <c r="K566" s="10"/>
      <c r="L566" s="10"/>
      <c r="M566" s="11"/>
      <c r="N566" s="10"/>
      <c r="O566" s="42"/>
      <c r="P566" s="10"/>
    </row>
    <row r="567" spans="1:16" x14ac:dyDescent="0.25">
      <c r="A567" s="5"/>
      <c r="B567" s="22"/>
      <c r="C567" s="22"/>
      <c r="D567" s="18"/>
      <c r="E567" s="24"/>
      <c r="F567" s="13"/>
      <c r="G567" s="13"/>
      <c r="H567" s="7"/>
      <c r="I567" s="13"/>
      <c r="J567" s="9"/>
      <c r="K567" s="10"/>
      <c r="L567" s="10"/>
      <c r="M567" s="11"/>
      <c r="N567" s="10"/>
      <c r="O567" s="42"/>
      <c r="P567" s="10"/>
    </row>
    <row r="568" spans="1:16" x14ac:dyDescent="0.25">
      <c r="A568" s="5"/>
      <c r="B568" s="22"/>
      <c r="C568" s="22"/>
      <c r="D568" s="18"/>
      <c r="E568" s="24"/>
      <c r="F568" s="13"/>
      <c r="G568" s="13"/>
      <c r="H568" s="7"/>
      <c r="I568" s="13"/>
      <c r="J568" s="9"/>
      <c r="K568" s="10"/>
      <c r="L568" s="10"/>
      <c r="M568" s="11"/>
      <c r="N568" s="10"/>
      <c r="O568" s="42"/>
      <c r="P568" s="10"/>
    </row>
    <row r="569" spans="1:16" x14ac:dyDescent="0.25">
      <c r="A569" s="5"/>
      <c r="B569" s="22"/>
      <c r="C569" s="22"/>
      <c r="D569" s="18"/>
      <c r="E569" s="24"/>
      <c r="F569" s="13"/>
      <c r="G569" s="13"/>
      <c r="H569" s="7"/>
      <c r="I569" s="13"/>
      <c r="J569" s="9"/>
      <c r="K569" s="10"/>
      <c r="L569" s="10"/>
      <c r="M569" s="11"/>
      <c r="N569" s="10"/>
      <c r="O569" s="42"/>
      <c r="P569" s="10"/>
    </row>
    <row r="570" spans="1:16" x14ac:dyDescent="0.25">
      <c r="A570" s="5"/>
      <c r="B570" s="22"/>
      <c r="C570" s="22"/>
      <c r="D570" s="18"/>
      <c r="E570" s="24"/>
      <c r="F570" s="13"/>
      <c r="G570" s="13"/>
      <c r="H570" s="7"/>
      <c r="I570" s="13"/>
      <c r="J570" s="9"/>
      <c r="K570" s="10"/>
      <c r="L570" s="10"/>
      <c r="M570" s="11"/>
      <c r="N570" s="10"/>
      <c r="O570" s="42"/>
      <c r="P570" s="10"/>
    </row>
    <row r="571" spans="1:16" x14ac:dyDescent="0.25">
      <c r="A571" s="5"/>
      <c r="B571" s="22"/>
      <c r="C571" s="22"/>
      <c r="D571" s="18"/>
      <c r="E571" s="24"/>
      <c r="F571" s="13"/>
      <c r="G571" s="13"/>
      <c r="H571" s="7"/>
      <c r="I571" s="13"/>
      <c r="J571" s="9"/>
      <c r="K571" s="10"/>
      <c r="L571" s="10"/>
      <c r="M571" s="11"/>
      <c r="N571" s="10"/>
      <c r="O571" s="42"/>
      <c r="P571" s="10"/>
    </row>
    <row r="572" spans="1:16" x14ac:dyDescent="0.25">
      <c r="A572" s="5"/>
      <c r="B572" s="22"/>
      <c r="C572" s="22"/>
      <c r="D572" s="18"/>
      <c r="E572" s="24"/>
      <c r="F572" s="13"/>
      <c r="G572" s="13"/>
      <c r="H572" s="7"/>
      <c r="I572" s="13"/>
      <c r="J572" s="9"/>
      <c r="K572" s="10"/>
      <c r="L572" s="10"/>
      <c r="M572" s="11"/>
      <c r="N572" s="10"/>
      <c r="O572" s="42"/>
      <c r="P572" s="10"/>
    </row>
    <row r="573" spans="1:16" x14ac:dyDescent="0.25">
      <c r="A573" s="5"/>
      <c r="B573" s="22"/>
      <c r="C573" s="22"/>
      <c r="D573" s="18"/>
      <c r="E573" s="24"/>
      <c r="F573" s="13"/>
      <c r="G573" s="13"/>
      <c r="H573" s="7"/>
      <c r="I573" s="13"/>
      <c r="J573" s="9"/>
      <c r="K573" s="10"/>
      <c r="L573" s="10"/>
      <c r="M573" s="11"/>
      <c r="N573" s="10"/>
      <c r="O573" s="42"/>
      <c r="P573" s="10"/>
    </row>
    <row r="574" spans="1:16" x14ac:dyDescent="0.25">
      <c r="A574" s="5"/>
      <c r="B574" s="22"/>
      <c r="C574" s="22"/>
      <c r="D574" s="18"/>
      <c r="E574" s="24"/>
      <c r="F574" s="13"/>
      <c r="G574" s="13"/>
      <c r="H574" s="7"/>
      <c r="I574" s="13"/>
      <c r="J574" s="9"/>
      <c r="K574" s="10"/>
      <c r="L574" s="10"/>
      <c r="M574" s="11"/>
      <c r="N574" s="10"/>
      <c r="O574" s="42"/>
      <c r="P574" s="10"/>
    </row>
    <row r="575" spans="1:16" x14ac:dyDescent="0.25">
      <c r="A575" s="5"/>
      <c r="B575" s="22"/>
      <c r="C575" s="22"/>
      <c r="D575" s="18"/>
      <c r="E575" s="24"/>
      <c r="F575" s="13"/>
      <c r="G575" s="13"/>
      <c r="H575" s="7"/>
      <c r="I575" s="13"/>
      <c r="J575" s="9"/>
      <c r="K575" s="10"/>
      <c r="L575" s="10"/>
      <c r="M575" s="11"/>
      <c r="N575" s="10"/>
      <c r="O575" s="42"/>
      <c r="P575" s="10"/>
    </row>
    <row r="576" spans="1:16" x14ac:dyDescent="0.25">
      <c r="A576" s="5"/>
      <c r="B576" s="22"/>
      <c r="C576" s="22"/>
      <c r="D576" s="18"/>
      <c r="E576" s="24"/>
      <c r="F576" s="13"/>
      <c r="G576" s="13"/>
      <c r="H576" s="7"/>
      <c r="I576" s="13"/>
      <c r="J576" s="9"/>
      <c r="K576" s="10"/>
      <c r="L576" s="10"/>
      <c r="M576" s="11"/>
      <c r="N576" s="10"/>
      <c r="O576" s="42"/>
      <c r="P576" s="10"/>
    </row>
    <row r="577" spans="1:16" x14ac:dyDescent="0.25">
      <c r="A577" s="5"/>
      <c r="B577" s="22"/>
      <c r="C577" s="22"/>
      <c r="D577" s="18"/>
      <c r="E577" s="24"/>
      <c r="F577" s="13"/>
      <c r="G577" s="13"/>
      <c r="H577" s="7"/>
      <c r="I577" s="13"/>
      <c r="J577" s="9"/>
      <c r="K577" s="10"/>
      <c r="L577" s="10"/>
      <c r="M577" s="11"/>
      <c r="N577" s="10"/>
      <c r="O577" s="42"/>
      <c r="P577" s="10"/>
    </row>
    <row r="578" spans="1:16" x14ac:dyDescent="0.25">
      <c r="A578" s="5"/>
      <c r="B578" s="22"/>
      <c r="C578" s="22"/>
      <c r="D578" s="18"/>
      <c r="E578" s="24"/>
      <c r="F578" s="13"/>
      <c r="G578" s="13"/>
      <c r="H578" s="7"/>
      <c r="I578" s="13"/>
      <c r="J578" s="9"/>
      <c r="K578" s="10"/>
      <c r="L578" s="10"/>
      <c r="M578" s="11"/>
      <c r="N578" s="10"/>
      <c r="O578" s="42"/>
      <c r="P578" s="10"/>
    </row>
    <row r="579" spans="1:16" x14ac:dyDescent="0.25">
      <c r="A579" s="5"/>
      <c r="B579" s="22"/>
      <c r="C579" s="22"/>
      <c r="D579" s="18"/>
      <c r="E579" s="24"/>
      <c r="F579" s="13"/>
      <c r="G579" s="13"/>
      <c r="H579" s="7"/>
      <c r="I579" s="13"/>
      <c r="J579" s="9"/>
      <c r="K579" s="10"/>
      <c r="L579" s="10"/>
      <c r="M579" s="11"/>
      <c r="N579" s="10"/>
      <c r="O579" s="42"/>
      <c r="P579" s="10"/>
    </row>
    <row r="580" spans="1:16" x14ac:dyDescent="0.25">
      <c r="A580" s="5"/>
      <c r="B580" s="22"/>
      <c r="C580" s="22"/>
      <c r="D580" s="18"/>
      <c r="E580" s="24"/>
      <c r="F580" s="13"/>
      <c r="G580" s="13"/>
      <c r="H580" s="7"/>
      <c r="I580" s="13"/>
      <c r="J580" s="9"/>
      <c r="K580" s="10"/>
      <c r="L580" s="10"/>
      <c r="M580" s="11"/>
      <c r="N580" s="10"/>
      <c r="O580" s="42"/>
      <c r="P580" s="10"/>
    </row>
    <row r="581" spans="1:16" x14ac:dyDescent="0.25">
      <c r="A581" s="5"/>
      <c r="B581" s="22"/>
      <c r="C581" s="22"/>
      <c r="D581" s="18"/>
      <c r="E581" s="24"/>
      <c r="F581" s="13"/>
      <c r="G581" s="13"/>
      <c r="H581" s="7"/>
      <c r="I581" s="13"/>
      <c r="J581" s="9"/>
      <c r="K581" s="10"/>
      <c r="L581" s="10"/>
      <c r="M581" s="11"/>
      <c r="N581" s="10"/>
      <c r="O581" s="42"/>
      <c r="P581" s="10"/>
    </row>
    <row r="582" spans="1:16" x14ac:dyDescent="0.25">
      <c r="A582" s="5"/>
      <c r="B582" s="22"/>
      <c r="C582" s="22"/>
      <c r="D582" s="18"/>
      <c r="E582" s="24"/>
      <c r="F582" s="13"/>
      <c r="G582" s="13"/>
      <c r="H582" s="7"/>
      <c r="I582" s="13"/>
      <c r="J582" s="9"/>
      <c r="K582" s="10"/>
      <c r="L582" s="10"/>
      <c r="M582" s="11"/>
      <c r="N582" s="10"/>
      <c r="O582" s="42"/>
      <c r="P582" s="10"/>
    </row>
    <row r="583" spans="1:16" x14ac:dyDescent="0.25">
      <c r="A583" s="5"/>
      <c r="B583" s="22"/>
      <c r="C583" s="22"/>
      <c r="D583" s="18"/>
      <c r="E583" s="24"/>
      <c r="F583" s="13"/>
      <c r="G583" s="13"/>
      <c r="H583" s="7"/>
      <c r="I583" s="13"/>
      <c r="J583" s="9"/>
      <c r="K583" s="10"/>
      <c r="L583" s="10"/>
      <c r="M583" s="11"/>
      <c r="N583" s="10"/>
      <c r="O583" s="42"/>
      <c r="P583" s="10"/>
    </row>
    <row r="584" spans="1:16" x14ac:dyDescent="0.25">
      <c r="A584" s="5"/>
      <c r="B584" s="22"/>
      <c r="C584" s="22"/>
      <c r="D584" s="18"/>
      <c r="E584" s="24"/>
      <c r="F584" s="13"/>
      <c r="G584" s="13"/>
      <c r="H584" s="7"/>
      <c r="I584" s="13"/>
      <c r="J584" s="9"/>
      <c r="K584" s="10"/>
      <c r="L584" s="10"/>
      <c r="M584" s="11"/>
      <c r="N584" s="10"/>
      <c r="O584" s="42"/>
      <c r="P584" s="10"/>
    </row>
    <row r="585" spans="1:16" x14ac:dyDescent="0.25">
      <c r="A585" s="5"/>
      <c r="B585" s="22"/>
      <c r="C585" s="22"/>
      <c r="D585" s="18"/>
      <c r="E585" s="24"/>
      <c r="F585" s="13"/>
      <c r="G585" s="13"/>
      <c r="H585" s="7"/>
      <c r="I585" s="13"/>
      <c r="J585" s="9"/>
      <c r="K585" s="10"/>
      <c r="L585" s="10"/>
      <c r="M585" s="11"/>
      <c r="N585" s="10"/>
      <c r="O585" s="42"/>
      <c r="P585" s="10"/>
    </row>
    <row r="586" spans="1:16" x14ac:dyDescent="0.25">
      <c r="A586" s="5"/>
      <c r="B586" s="22"/>
      <c r="C586" s="22"/>
      <c r="D586" s="18"/>
      <c r="E586" s="24"/>
      <c r="F586" s="13"/>
      <c r="G586" s="13"/>
      <c r="H586" s="7"/>
      <c r="I586" s="13"/>
      <c r="J586" s="9"/>
      <c r="K586" s="10"/>
      <c r="L586" s="10"/>
      <c r="M586" s="11"/>
      <c r="N586" s="10"/>
      <c r="O586" s="42"/>
      <c r="P586" s="10"/>
    </row>
    <row r="587" spans="1:16" x14ac:dyDescent="0.25">
      <c r="A587" s="5"/>
      <c r="B587" s="22"/>
      <c r="C587" s="22"/>
      <c r="D587" s="18"/>
      <c r="E587" s="24"/>
      <c r="F587" s="13"/>
      <c r="G587" s="13"/>
      <c r="H587" s="7"/>
      <c r="I587" s="13"/>
      <c r="J587" s="9"/>
      <c r="K587" s="10"/>
      <c r="L587" s="10"/>
      <c r="M587" s="11"/>
      <c r="N587" s="10"/>
      <c r="O587" s="42"/>
      <c r="P587" s="10"/>
    </row>
    <row r="588" spans="1:16" x14ac:dyDescent="0.25">
      <c r="A588" s="5"/>
      <c r="B588" s="22"/>
      <c r="C588" s="22"/>
      <c r="D588" s="18"/>
      <c r="E588" s="24"/>
      <c r="F588" s="13"/>
      <c r="G588" s="13"/>
      <c r="H588" s="7"/>
      <c r="I588" s="13"/>
      <c r="J588" s="9"/>
      <c r="K588" s="10"/>
      <c r="L588" s="10"/>
      <c r="M588" s="11"/>
      <c r="N588" s="10"/>
      <c r="O588" s="42"/>
      <c r="P588" s="10"/>
    </row>
    <row r="589" spans="1:16" x14ac:dyDescent="0.25">
      <c r="A589" s="5"/>
      <c r="B589" s="22"/>
      <c r="C589" s="22"/>
      <c r="D589" s="18"/>
      <c r="E589" s="24"/>
      <c r="F589" s="13"/>
      <c r="G589" s="13"/>
      <c r="H589" s="7"/>
      <c r="I589" s="13"/>
      <c r="J589" s="9"/>
      <c r="K589" s="10"/>
      <c r="L589" s="10"/>
      <c r="M589" s="11"/>
      <c r="N589" s="10"/>
      <c r="O589" s="42"/>
      <c r="P589" s="10"/>
    </row>
    <row r="590" spans="1:16" x14ac:dyDescent="0.25">
      <c r="A590" s="5"/>
      <c r="B590" s="22"/>
      <c r="C590" s="22"/>
      <c r="D590" s="18"/>
      <c r="E590" s="24"/>
      <c r="F590" s="13"/>
      <c r="G590" s="13"/>
      <c r="H590" s="7"/>
      <c r="I590" s="13"/>
      <c r="J590" s="9"/>
      <c r="K590" s="10"/>
      <c r="L590" s="10"/>
      <c r="M590" s="11"/>
      <c r="N590" s="10"/>
      <c r="O590" s="42"/>
      <c r="P590" s="10"/>
    </row>
    <row r="591" spans="1:16" x14ac:dyDescent="0.25">
      <c r="A591" s="5"/>
      <c r="B591" s="22"/>
      <c r="C591" s="22"/>
      <c r="D591" s="18"/>
      <c r="E591" s="24"/>
      <c r="F591" s="13"/>
      <c r="G591" s="13"/>
      <c r="H591" s="7"/>
      <c r="I591" s="13"/>
      <c r="J591" s="9"/>
      <c r="K591" s="10"/>
      <c r="L591" s="10"/>
      <c r="M591" s="11"/>
      <c r="N591" s="10"/>
      <c r="O591" s="42"/>
      <c r="P591" s="10"/>
    </row>
    <row r="592" spans="1:16" x14ac:dyDescent="0.25">
      <c r="A592" s="5"/>
      <c r="B592" s="22"/>
      <c r="C592" s="22"/>
      <c r="D592" s="18"/>
      <c r="E592" s="24"/>
      <c r="F592" s="13"/>
      <c r="G592" s="13"/>
      <c r="H592" s="7"/>
      <c r="I592" s="13"/>
      <c r="J592" s="9"/>
      <c r="K592" s="10"/>
      <c r="L592" s="10"/>
      <c r="M592" s="11"/>
      <c r="N592" s="10"/>
      <c r="O592" s="42"/>
      <c r="P592" s="10"/>
    </row>
    <row r="593" spans="1:16" x14ac:dyDescent="0.25">
      <c r="A593" s="5"/>
      <c r="B593" s="22"/>
      <c r="C593" s="22"/>
      <c r="D593" s="18"/>
      <c r="E593" s="24"/>
      <c r="F593" s="13"/>
      <c r="G593" s="13"/>
      <c r="H593" s="7"/>
      <c r="I593" s="13"/>
      <c r="J593" s="9"/>
      <c r="K593" s="10"/>
      <c r="L593" s="10"/>
      <c r="M593" s="11"/>
      <c r="N593" s="10"/>
      <c r="O593" s="42"/>
      <c r="P593" s="10"/>
    </row>
    <row r="594" spans="1:16" x14ac:dyDescent="0.25">
      <c r="A594" s="5"/>
      <c r="B594" s="22"/>
      <c r="C594" s="22"/>
      <c r="D594" s="18"/>
      <c r="E594" s="24"/>
      <c r="F594" s="13"/>
      <c r="G594" s="13"/>
      <c r="H594" s="7"/>
      <c r="I594" s="13"/>
      <c r="J594" s="9"/>
      <c r="K594" s="10"/>
      <c r="L594" s="10"/>
      <c r="M594" s="11"/>
      <c r="N594" s="10"/>
      <c r="O594" s="42"/>
      <c r="P594" s="10"/>
    </row>
    <row r="595" spans="1:16" x14ac:dyDescent="0.25">
      <c r="A595" s="5"/>
      <c r="B595" s="22"/>
      <c r="C595" s="22"/>
      <c r="D595" s="18"/>
      <c r="E595" s="24"/>
      <c r="F595" s="13"/>
      <c r="G595" s="13"/>
      <c r="H595" s="7"/>
      <c r="I595" s="13"/>
      <c r="J595" s="9"/>
      <c r="K595" s="10"/>
      <c r="L595" s="10"/>
      <c r="M595" s="11"/>
      <c r="N595" s="10"/>
      <c r="O595" s="42"/>
      <c r="P595" s="10"/>
    </row>
    <row r="596" spans="1:16" x14ac:dyDescent="0.25">
      <c r="A596" s="5"/>
      <c r="B596" s="22"/>
      <c r="C596" s="22"/>
      <c r="D596" s="18"/>
      <c r="E596" s="24"/>
      <c r="F596" s="13"/>
      <c r="G596" s="13"/>
      <c r="H596" s="7"/>
      <c r="I596" s="13"/>
      <c r="J596" s="9"/>
      <c r="K596" s="10"/>
      <c r="L596" s="10"/>
      <c r="M596" s="11"/>
      <c r="N596" s="10"/>
      <c r="O596" s="42"/>
      <c r="P596" s="10"/>
    </row>
    <row r="597" spans="1:16" x14ac:dyDescent="0.25">
      <c r="A597" s="5"/>
      <c r="B597" s="22"/>
      <c r="C597" s="22"/>
      <c r="D597" s="18"/>
      <c r="E597" s="24"/>
      <c r="F597" s="13"/>
      <c r="G597" s="13"/>
      <c r="H597" s="7"/>
      <c r="I597" s="13"/>
      <c r="J597" s="9"/>
      <c r="K597" s="10"/>
      <c r="L597" s="10"/>
      <c r="M597" s="11"/>
      <c r="N597" s="10"/>
      <c r="O597" s="42"/>
      <c r="P597" s="10"/>
    </row>
    <row r="598" spans="1:16" x14ac:dyDescent="0.25">
      <c r="A598" s="5"/>
      <c r="B598" s="22"/>
      <c r="C598" s="22"/>
      <c r="D598" s="18"/>
      <c r="E598" s="24"/>
      <c r="F598" s="13"/>
      <c r="G598" s="13"/>
      <c r="H598" s="7"/>
      <c r="I598" s="13"/>
      <c r="J598" s="9"/>
      <c r="K598" s="10"/>
      <c r="L598" s="10"/>
      <c r="M598" s="11"/>
      <c r="N598" s="10"/>
      <c r="O598" s="42"/>
      <c r="P598" s="10"/>
    </row>
    <row r="599" spans="1:16" x14ac:dyDescent="0.25">
      <c r="A599" s="5"/>
      <c r="B599" s="22"/>
      <c r="C599" s="22"/>
      <c r="D599" s="18"/>
      <c r="E599" s="24"/>
      <c r="F599" s="13"/>
      <c r="G599" s="13"/>
      <c r="H599" s="7"/>
      <c r="I599" s="13"/>
      <c r="J599" s="9"/>
      <c r="K599" s="10"/>
      <c r="L599" s="10"/>
      <c r="M599" s="11"/>
      <c r="N599" s="10"/>
      <c r="O599" s="42"/>
      <c r="P599" s="10"/>
    </row>
    <row r="600" spans="1:16" x14ac:dyDescent="0.25">
      <c r="A600" s="5"/>
      <c r="B600" s="22"/>
      <c r="C600" s="22"/>
      <c r="D600" s="18"/>
      <c r="E600" s="24"/>
      <c r="F600" s="13"/>
      <c r="G600" s="13"/>
      <c r="H600" s="7"/>
      <c r="I600" s="13"/>
      <c r="J600" s="9"/>
      <c r="K600" s="10"/>
      <c r="L600" s="10"/>
      <c r="M600" s="11"/>
      <c r="N600" s="10"/>
      <c r="O600" s="42"/>
      <c r="P600" s="10"/>
    </row>
    <row r="601" spans="1:16" x14ac:dyDescent="0.25">
      <c r="A601" s="5"/>
      <c r="B601" s="22"/>
      <c r="C601" s="22"/>
      <c r="D601" s="18"/>
      <c r="E601" s="24"/>
      <c r="F601" s="13"/>
      <c r="G601" s="13"/>
      <c r="H601" s="7"/>
      <c r="I601" s="13"/>
      <c r="J601" s="9"/>
      <c r="K601" s="10"/>
      <c r="L601" s="10"/>
      <c r="M601" s="11"/>
      <c r="N601" s="10"/>
      <c r="O601" s="42"/>
      <c r="P601" s="10"/>
    </row>
    <row r="602" spans="1:16" x14ac:dyDescent="0.25">
      <c r="A602" s="5"/>
      <c r="B602" s="22"/>
      <c r="C602" s="22"/>
      <c r="D602" s="18"/>
      <c r="E602" s="24"/>
      <c r="F602" s="13"/>
      <c r="G602" s="13"/>
      <c r="H602" s="7"/>
      <c r="I602" s="13"/>
      <c r="J602" s="9"/>
      <c r="K602" s="10"/>
      <c r="L602" s="10"/>
      <c r="M602" s="11"/>
      <c r="N602" s="10"/>
      <c r="O602" s="42"/>
      <c r="P602" s="10"/>
    </row>
    <row r="603" spans="1:16" x14ac:dyDescent="0.25">
      <c r="A603" s="5"/>
      <c r="B603" s="22"/>
      <c r="C603" s="22"/>
      <c r="D603" s="18"/>
      <c r="E603" s="24"/>
      <c r="F603" s="13"/>
      <c r="G603" s="13"/>
      <c r="H603" s="7"/>
      <c r="I603" s="13"/>
      <c r="J603" s="9"/>
      <c r="K603" s="10"/>
      <c r="L603" s="10"/>
      <c r="M603" s="11"/>
      <c r="N603" s="10"/>
      <c r="O603" s="42"/>
      <c r="P603" s="10"/>
    </row>
    <row r="604" spans="1:16" x14ac:dyDescent="0.25">
      <c r="A604" s="5"/>
      <c r="B604" s="22"/>
      <c r="C604" s="22"/>
      <c r="D604" s="18"/>
      <c r="E604" s="24"/>
      <c r="F604" s="13"/>
      <c r="G604" s="13"/>
      <c r="H604" s="7"/>
      <c r="I604" s="13"/>
      <c r="J604" s="9"/>
      <c r="K604" s="10"/>
      <c r="L604" s="10"/>
      <c r="M604" s="11"/>
      <c r="N604" s="10"/>
      <c r="O604" s="42"/>
      <c r="P604" s="10"/>
    </row>
    <row r="605" spans="1:16" x14ac:dyDescent="0.25">
      <c r="A605" s="5"/>
      <c r="B605" s="22"/>
      <c r="C605" s="22"/>
      <c r="D605" s="18"/>
      <c r="E605" s="24"/>
      <c r="F605" s="13"/>
      <c r="G605" s="13"/>
      <c r="H605" s="7"/>
      <c r="I605" s="13"/>
      <c r="J605" s="9"/>
      <c r="K605" s="10"/>
      <c r="L605" s="10"/>
      <c r="M605" s="11"/>
      <c r="N605" s="10"/>
      <c r="O605" s="42"/>
      <c r="P605" s="10"/>
    </row>
    <row r="606" spans="1:16" x14ac:dyDescent="0.25">
      <c r="A606" s="5"/>
      <c r="B606" s="22"/>
      <c r="C606" s="22"/>
      <c r="D606" s="18"/>
      <c r="E606" s="24"/>
      <c r="F606" s="13"/>
      <c r="G606" s="13"/>
      <c r="H606" s="7"/>
      <c r="I606" s="13"/>
      <c r="J606" s="9"/>
      <c r="K606" s="10"/>
      <c r="L606" s="10"/>
      <c r="M606" s="11"/>
      <c r="N606" s="10"/>
      <c r="O606" s="42"/>
      <c r="P606" s="10"/>
    </row>
    <row r="607" spans="1:16" x14ac:dyDescent="0.25">
      <c r="A607" s="5"/>
      <c r="B607" s="22"/>
      <c r="C607" s="22"/>
      <c r="D607" s="18"/>
      <c r="E607" s="24"/>
      <c r="F607" s="13"/>
      <c r="G607" s="13"/>
      <c r="H607" s="7"/>
      <c r="I607" s="13"/>
      <c r="J607" s="9"/>
      <c r="K607" s="10"/>
      <c r="L607" s="10"/>
      <c r="M607" s="11"/>
      <c r="N607" s="10"/>
      <c r="O607" s="42"/>
      <c r="P607" s="10"/>
    </row>
    <row r="608" spans="1:16" x14ac:dyDescent="0.25">
      <c r="A608" s="5"/>
      <c r="B608" s="22"/>
      <c r="C608" s="22"/>
      <c r="D608" s="18"/>
      <c r="E608" s="24"/>
      <c r="F608" s="13"/>
      <c r="G608" s="13"/>
      <c r="H608" s="7"/>
      <c r="I608" s="13"/>
      <c r="J608" s="9"/>
      <c r="K608" s="10"/>
      <c r="L608" s="10"/>
      <c r="M608" s="11"/>
      <c r="N608" s="10"/>
      <c r="O608" s="42"/>
      <c r="P608" s="10"/>
    </row>
    <row r="609" spans="1:16" x14ac:dyDescent="0.25">
      <c r="A609" s="5"/>
      <c r="B609" s="22"/>
      <c r="C609" s="22"/>
      <c r="D609" s="18"/>
      <c r="E609" s="24"/>
      <c r="F609" s="13"/>
      <c r="G609" s="13"/>
      <c r="H609" s="7"/>
      <c r="I609" s="13"/>
      <c r="J609" s="9"/>
      <c r="K609" s="10"/>
      <c r="L609" s="10"/>
      <c r="M609" s="11"/>
      <c r="N609" s="10"/>
      <c r="O609" s="42"/>
      <c r="P609" s="10"/>
    </row>
    <row r="610" spans="1:16" x14ac:dyDescent="0.25">
      <c r="A610" s="5"/>
      <c r="B610" s="22"/>
      <c r="C610" s="22"/>
      <c r="D610" s="18"/>
      <c r="E610" s="24"/>
      <c r="F610" s="13"/>
      <c r="G610" s="13"/>
      <c r="H610" s="7"/>
      <c r="I610" s="13"/>
      <c r="J610" s="9"/>
      <c r="K610" s="10"/>
      <c r="L610" s="10"/>
      <c r="M610" s="11"/>
      <c r="N610" s="10"/>
      <c r="O610" s="42"/>
      <c r="P610" s="10"/>
    </row>
    <row r="611" spans="1:16" x14ac:dyDescent="0.25">
      <c r="A611" s="5"/>
      <c r="B611" s="22"/>
      <c r="C611" s="22"/>
      <c r="D611" s="18"/>
      <c r="E611" s="24"/>
      <c r="F611" s="13"/>
      <c r="G611" s="13"/>
      <c r="H611" s="7"/>
      <c r="I611" s="13"/>
      <c r="J611" s="9"/>
      <c r="K611" s="10"/>
      <c r="L611" s="10"/>
      <c r="M611" s="11"/>
      <c r="N611" s="10"/>
      <c r="O611" s="42"/>
      <c r="P611" s="10"/>
    </row>
    <row r="612" spans="1:16" x14ac:dyDescent="0.25">
      <c r="A612" s="5"/>
      <c r="B612" s="22"/>
      <c r="C612" s="22"/>
      <c r="D612" s="18"/>
      <c r="E612" s="24"/>
      <c r="F612" s="13"/>
      <c r="G612" s="13"/>
      <c r="H612" s="7"/>
      <c r="I612" s="13"/>
      <c r="J612" s="9"/>
      <c r="K612" s="10"/>
      <c r="L612" s="10"/>
      <c r="M612" s="11"/>
      <c r="N612" s="10"/>
      <c r="O612" s="42"/>
      <c r="P612" s="10"/>
    </row>
    <row r="613" spans="1:16" x14ac:dyDescent="0.25">
      <c r="A613" s="5"/>
      <c r="B613" s="22"/>
      <c r="C613" s="22"/>
      <c r="D613" s="18"/>
      <c r="E613" s="24"/>
      <c r="F613" s="13"/>
      <c r="G613" s="13"/>
      <c r="H613" s="7"/>
      <c r="I613" s="13"/>
      <c r="J613" s="9"/>
      <c r="K613" s="10"/>
      <c r="L613" s="10"/>
      <c r="M613" s="11"/>
      <c r="N613" s="10"/>
      <c r="O613" s="42"/>
      <c r="P613" s="10"/>
    </row>
    <row r="614" spans="1:16" x14ac:dyDescent="0.25">
      <c r="A614" s="5"/>
      <c r="B614" s="22"/>
      <c r="C614" s="22"/>
      <c r="D614" s="18"/>
      <c r="E614" s="24"/>
      <c r="F614" s="13"/>
      <c r="G614" s="13"/>
      <c r="H614" s="7"/>
      <c r="I614" s="13"/>
      <c r="J614" s="9"/>
      <c r="K614" s="10"/>
      <c r="L614" s="10"/>
      <c r="M614" s="11"/>
      <c r="N614" s="10"/>
      <c r="O614" s="42"/>
      <c r="P614" s="10"/>
    </row>
    <row r="615" spans="1:16" x14ac:dyDescent="0.25">
      <c r="A615" s="5"/>
      <c r="B615" s="22"/>
      <c r="C615" s="22"/>
      <c r="D615" s="18"/>
      <c r="E615" s="24"/>
      <c r="F615" s="13"/>
      <c r="G615" s="13"/>
      <c r="H615" s="7"/>
      <c r="I615" s="13"/>
      <c r="J615" s="9"/>
      <c r="K615" s="10"/>
      <c r="L615" s="10"/>
      <c r="M615" s="11"/>
      <c r="N615" s="10"/>
      <c r="O615" s="42"/>
      <c r="P615" s="10"/>
    </row>
    <row r="616" spans="1:16" x14ac:dyDescent="0.25">
      <c r="A616" s="5"/>
      <c r="B616" s="22"/>
      <c r="C616" s="22"/>
      <c r="D616" s="18"/>
      <c r="E616" s="24"/>
      <c r="F616" s="13"/>
      <c r="G616" s="13"/>
      <c r="H616" s="7"/>
      <c r="I616" s="13"/>
      <c r="J616" s="9"/>
      <c r="K616" s="10"/>
      <c r="L616" s="10"/>
      <c r="M616" s="11"/>
      <c r="N616" s="10"/>
      <c r="O616" s="42"/>
      <c r="P616" s="10"/>
    </row>
    <row r="617" spans="1:16" x14ac:dyDescent="0.25">
      <c r="A617" s="5"/>
      <c r="B617" s="22"/>
      <c r="C617" s="22"/>
      <c r="D617" s="18"/>
      <c r="E617" s="24"/>
      <c r="F617" s="13"/>
      <c r="G617" s="13"/>
      <c r="H617" s="7"/>
      <c r="I617" s="13"/>
      <c r="J617" s="9"/>
      <c r="K617" s="10"/>
      <c r="L617" s="10"/>
      <c r="M617" s="11"/>
      <c r="N617" s="10"/>
      <c r="O617" s="42"/>
      <c r="P617" s="10"/>
    </row>
    <row r="618" spans="1:16" x14ac:dyDescent="0.25">
      <c r="A618" s="5"/>
      <c r="B618" s="22"/>
      <c r="C618" s="22"/>
      <c r="D618" s="18"/>
      <c r="E618" s="24"/>
      <c r="F618" s="13"/>
      <c r="G618" s="13"/>
      <c r="H618" s="7"/>
      <c r="I618" s="13"/>
      <c r="J618" s="9"/>
      <c r="K618" s="10"/>
      <c r="L618" s="10"/>
      <c r="M618" s="11"/>
      <c r="N618" s="10"/>
      <c r="O618" s="42"/>
      <c r="P618" s="10"/>
    </row>
    <row r="619" spans="1:16" x14ac:dyDescent="0.25">
      <c r="A619" s="5"/>
      <c r="B619" s="22"/>
      <c r="C619" s="22"/>
      <c r="D619" s="18"/>
      <c r="E619" s="24"/>
      <c r="F619" s="13"/>
      <c r="G619" s="13"/>
      <c r="H619" s="7"/>
      <c r="I619" s="13"/>
      <c r="J619" s="9"/>
      <c r="K619" s="10"/>
      <c r="L619" s="10"/>
      <c r="M619" s="11"/>
      <c r="N619" s="10"/>
      <c r="O619" s="42"/>
      <c r="P619" s="10"/>
    </row>
    <row r="620" spans="1:16" x14ac:dyDescent="0.25">
      <c r="A620" s="5"/>
      <c r="B620" s="22"/>
      <c r="C620" s="22"/>
      <c r="D620" s="18"/>
      <c r="E620" s="24"/>
      <c r="F620" s="13"/>
      <c r="G620" s="13"/>
      <c r="H620" s="7"/>
      <c r="I620" s="13"/>
      <c r="J620" s="9"/>
      <c r="K620" s="10"/>
      <c r="L620" s="10"/>
      <c r="M620" s="11"/>
      <c r="N620" s="10"/>
      <c r="O620" s="42"/>
      <c r="P620" s="10"/>
    </row>
    <row r="621" spans="1:16" x14ac:dyDescent="0.25">
      <c r="A621" s="5"/>
      <c r="B621" s="22"/>
      <c r="C621" s="22"/>
      <c r="D621" s="18"/>
      <c r="E621" s="24"/>
      <c r="F621" s="13"/>
      <c r="G621" s="13"/>
      <c r="H621" s="7"/>
      <c r="I621" s="13"/>
      <c r="J621" s="9"/>
      <c r="K621" s="10"/>
      <c r="L621" s="10"/>
      <c r="M621" s="11"/>
      <c r="N621" s="10"/>
      <c r="O621" s="42"/>
      <c r="P621" s="10"/>
    </row>
    <row r="622" spans="1:16" x14ac:dyDescent="0.25">
      <c r="A622" s="5"/>
      <c r="B622" s="22"/>
      <c r="C622" s="22"/>
      <c r="D622" s="18"/>
      <c r="E622" s="24"/>
      <c r="F622" s="13"/>
      <c r="G622" s="13"/>
      <c r="H622" s="7"/>
      <c r="I622" s="13"/>
      <c r="J622" s="9"/>
      <c r="K622" s="10"/>
      <c r="L622" s="10"/>
      <c r="M622" s="11"/>
      <c r="N622" s="10"/>
      <c r="O622" s="42"/>
      <c r="P622" s="10"/>
    </row>
    <row r="623" spans="1:16" x14ac:dyDescent="0.25">
      <c r="A623" s="5"/>
      <c r="B623" s="22"/>
      <c r="C623" s="22"/>
      <c r="D623" s="18"/>
      <c r="E623" s="24"/>
      <c r="F623" s="13"/>
      <c r="G623" s="13"/>
      <c r="H623" s="7"/>
      <c r="I623" s="13"/>
      <c r="J623" s="9"/>
      <c r="K623" s="10"/>
      <c r="L623" s="10"/>
      <c r="M623" s="11"/>
      <c r="N623" s="10"/>
      <c r="O623" s="42"/>
      <c r="P623" s="10"/>
    </row>
    <row r="624" spans="1:16" x14ac:dyDescent="0.25">
      <c r="A624" s="5"/>
      <c r="B624" s="22"/>
      <c r="C624" s="22"/>
      <c r="D624" s="18"/>
      <c r="E624" s="24"/>
      <c r="F624" s="13"/>
      <c r="G624" s="13"/>
      <c r="H624" s="7"/>
      <c r="I624" s="13"/>
      <c r="J624" s="9"/>
      <c r="K624" s="10"/>
      <c r="L624" s="10"/>
      <c r="M624" s="11"/>
      <c r="N624" s="10"/>
      <c r="O624" s="42"/>
      <c r="P624" s="10"/>
    </row>
    <row r="625" spans="1:16" x14ac:dyDescent="0.25">
      <c r="A625" s="5"/>
      <c r="B625" s="22"/>
      <c r="C625" s="22"/>
      <c r="D625" s="18"/>
      <c r="E625" s="24"/>
      <c r="F625" s="13"/>
      <c r="G625" s="13"/>
      <c r="H625" s="7"/>
      <c r="I625" s="13"/>
      <c r="J625" s="9"/>
      <c r="K625" s="10"/>
      <c r="L625" s="10"/>
      <c r="M625" s="11"/>
      <c r="N625" s="10"/>
      <c r="O625" s="42"/>
      <c r="P625" s="10"/>
    </row>
    <row r="626" spans="1:16" x14ac:dyDescent="0.25">
      <c r="A626" s="5"/>
      <c r="B626" s="22"/>
      <c r="C626" s="22"/>
      <c r="D626" s="18"/>
      <c r="E626" s="24"/>
      <c r="F626" s="13"/>
      <c r="G626" s="13"/>
      <c r="H626" s="7"/>
      <c r="I626" s="13"/>
      <c r="J626" s="9"/>
      <c r="K626" s="10"/>
      <c r="L626" s="10"/>
      <c r="M626" s="11"/>
      <c r="N626" s="10"/>
      <c r="O626" s="42"/>
      <c r="P626" s="10"/>
    </row>
    <row r="627" spans="1:16" x14ac:dyDescent="0.25">
      <c r="A627" s="5"/>
      <c r="B627" s="22"/>
      <c r="C627" s="22"/>
      <c r="D627" s="18"/>
      <c r="E627" s="24"/>
      <c r="F627" s="13"/>
      <c r="G627" s="13"/>
      <c r="H627" s="7"/>
      <c r="I627" s="13"/>
      <c r="J627" s="9"/>
      <c r="K627" s="10"/>
      <c r="L627" s="10"/>
      <c r="M627" s="11"/>
      <c r="N627" s="10"/>
      <c r="O627" s="42"/>
      <c r="P627" s="10"/>
    </row>
    <row r="628" spans="1:16" x14ac:dyDescent="0.25">
      <c r="A628" s="5"/>
      <c r="B628" s="22"/>
      <c r="C628" s="22"/>
      <c r="D628" s="18"/>
      <c r="E628" s="24"/>
      <c r="F628" s="13"/>
      <c r="G628" s="13"/>
      <c r="H628" s="7"/>
      <c r="I628" s="13"/>
      <c r="J628" s="9"/>
      <c r="K628" s="10"/>
      <c r="L628" s="10"/>
      <c r="M628" s="11"/>
      <c r="N628" s="10"/>
      <c r="O628" s="42"/>
      <c r="P628" s="10"/>
    </row>
    <row r="629" spans="1:16" x14ac:dyDescent="0.25">
      <c r="A629" s="5"/>
      <c r="B629" s="22"/>
      <c r="C629" s="22"/>
      <c r="D629" s="18"/>
      <c r="E629" s="24"/>
      <c r="F629" s="13"/>
      <c r="G629" s="13"/>
      <c r="H629" s="7"/>
      <c r="I629" s="13"/>
      <c r="J629" s="9"/>
      <c r="K629" s="10"/>
      <c r="L629" s="10"/>
      <c r="M629" s="11"/>
      <c r="N629" s="10"/>
      <c r="O629" s="42"/>
      <c r="P629" s="10"/>
    </row>
    <row r="630" spans="1:16" x14ac:dyDescent="0.25">
      <c r="A630" s="5"/>
      <c r="B630" s="22"/>
      <c r="C630" s="22"/>
      <c r="D630" s="18"/>
      <c r="E630" s="24"/>
      <c r="F630" s="13"/>
      <c r="G630" s="13"/>
      <c r="H630" s="7"/>
      <c r="I630" s="13"/>
      <c r="J630" s="9"/>
      <c r="K630" s="10"/>
      <c r="L630" s="10"/>
      <c r="M630" s="11"/>
      <c r="N630" s="10"/>
      <c r="O630" s="42"/>
      <c r="P630" s="10"/>
    </row>
    <row r="631" spans="1:16" x14ac:dyDescent="0.25">
      <c r="A631" s="5"/>
      <c r="B631" s="22"/>
      <c r="C631" s="22"/>
      <c r="D631" s="18"/>
      <c r="E631" s="24"/>
      <c r="F631" s="13"/>
      <c r="G631" s="13"/>
      <c r="H631" s="7"/>
      <c r="I631" s="13"/>
      <c r="J631" s="9"/>
      <c r="K631" s="10"/>
      <c r="L631" s="10"/>
      <c r="M631" s="11"/>
      <c r="N631" s="10"/>
      <c r="O631" s="42"/>
      <c r="P631" s="10"/>
    </row>
    <row r="632" spans="1:16" x14ac:dyDescent="0.25">
      <c r="A632" s="5"/>
      <c r="B632" s="22"/>
      <c r="C632" s="22"/>
      <c r="D632" s="18"/>
      <c r="E632" s="24"/>
      <c r="F632" s="13"/>
      <c r="G632" s="13"/>
      <c r="H632" s="7"/>
      <c r="I632" s="13"/>
      <c r="J632" s="9"/>
      <c r="K632" s="10"/>
      <c r="L632" s="10"/>
      <c r="M632" s="11"/>
      <c r="N632" s="10"/>
      <c r="O632" s="42"/>
      <c r="P632" s="10"/>
    </row>
    <row r="633" spans="1:16" x14ac:dyDescent="0.25">
      <c r="A633" s="5"/>
      <c r="B633" s="22"/>
      <c r="C633" s="22"/>
      <c r="D633" s="18"/>
      <c r="E633" s="24"/>
      <c r="F633" s="13"/>
      <c r="G633" s="13"/>
      <c r="H633" s="7"/>
      <c r="I633" s="13"/>
      <c r="J633" s="9"/>
      <c r="K633" s="10"/>
      <c r="L633" s="10"/>
      <c r="M633" s="11"/>
      <c r="N633" s="10"/>
      <c r="O633" s="42"/>
      <c r="P633" s="10"/>
    </row>
    <row r="634" spans="1:16" x14ac:dyDescent="0.25">
      <c r="A634" s="5"/>
      <c r="B634" s="22"/>
      <c r="C634" s="22"/>
      <c r="D634" s="18"/>
      <c r="E634" s="24"/>
      <c r="F634" s="13"/>
      <c r="G634" s="13"/>
      <c r="H634" s="7"/>
      <c r="I634" s="13"/>
      <c r="J634" s="9"/>
      <c r="K634" s="10"/>
      <c r="L634" s="10"/>
      <c r="M634" s="11"/>
      <c r="N634" s="10"/>
      <c r="O634" s="42"/>
      <c r="P634" s="10"/>
    </row>
    <row r="635" spans="1:16" x14ac:dyDescent="0.25">
      <c r="A635" s="5"/>
      <c r="B635" s="22"/>
      <c r="C635" s="22"/>
      <c r="D635" s="18"/>
      <c r="E635" s="24"/>
      <c r="F635" s="13"/>
      <c r="G635" s="13"/>
      <c r="H635" s="7"/>
      <c r="I635" s="13"/>
      <c r="J635" s="9"/>
      <c r="K635" s="10"/>
      <c r="L635" s="10"/>
      <c r="M635" s="11"/>
      <c r="N635" s="10"/>
      <c r="O635" s="42"/>
      <c r="P635" s="10"/>
    </row>
    <row r="636" spans="1:16" x14ac:dyDescent="0.25">
      <c r="A636" s="5"/>
      <c r="B636" s="22"/>
      <c r="C636" s="22"/>
      <c r="D636" s="18"/>
      <c r="E636" s="24"/>
      <c r="F636" s="13"/>
      <c r="G636" s="13"/>
      <c r="H636" s="7"/>
      <c r="I636" s="13"/>
      <c r="J636" s="9"/>
      <c r="K636" s="10"/>
      <c r="L636" s="10"/>
      <c r="M636" s="11"/>
      <c r="N636" s="10"/>
      <c r="O636" s="42"/>
      <c r="P636" s="10"/>
    </row>
    <row r="637" spans="1:16" x14ac:dyDescent="0.25">
      <c r="A637" s="5"/>
      <c r="B637" s="22"/>
      <c r="C637" s="22"/>
      <c r="D637" s="18"/>
      <c r="E637" s="24"/>
      <c r="F637" s="13"/>
      <c r="G637" s="13"/>
      <c r="H637" s="7"/>
      <c r="I637" s="13"/>
      <c r="J637" s="9"/>
      <c r="K637" s="10"/>
      <c r="L637" s="10"/>
      <c r="M637" s="11"/>
      <c r="N637" s="10"/>
      <c r="O637" s="42"/>
      <c r="P637" s="10"/>
    </row>
    <row r="638" spans="1:16" x14ac:dyDescent="0.25">
      <c r="A638" s="5"/>
      <c r="B638" s="22"/>
      <c r="C638" s="22"/>
      <c r="D638" s="18"/>
      <c r="E638" s="24"/>
      <c r="F638" s="13"/>
      <c r="G638" s="13"/>
      <c r="H638" s="7"/>
      <c r="I638" s="13"/>
      <c r="J638" s="9"/>
      <c r="K638" s="10"/>
      <c r="L638" s="10"/>
      <c r="M638" s="11"/>
      <c r="N638" s="10"/>
      <c r="O638" s="42"/>
      <c r="P638" s="10"/>
    </row>
    <row r="639" spans="1:16" x14ac:dyDescent="0.25">
      <c r="A639" s="5"/>
      <c r="B639" s="22"/>
      <c r="C639" s="22"/>
      <c r="D639" s="18"/>
      <c r="E639" s="24"/>
      <c r="F639" s="13"/>
      <c r="G639" s="13"/>
      <c r="H639" s="7"/>
      <c r="I639" s="13"/>
      <c r="J639" s="9"/>
      <c r="K639" s="10"/>
      <c r="L639" s="10"/>
      <c r="M639" s="11"/>
      <c r="N639" s="10"/>
      <c r="O639" s="42"/>
      <c r="P639" s="10"/>
    </row>
    <row r="640" spans="1:16" x14ac:dyDescent="0.25">
      <c r="A640" s="5"/>
      <c r="B640" s="22"/>
      <c r="C640" s="22"/>
      <c r="D640" s="18"/>
      <c r="E640" s="24"/>
      <c r="F640" s="13"/>
      <c r="G640" s="13"/>
      <c r="H640" s="7"/>
      <c r="I640" s="13"/>
      <c r="J640" s="9"/>
      <c r="K640" s="10"/>
      <c r="L640" s="10"/>
      <c r="M640" s="11"/>
      <c r="N640" s="10"/>
      <c r="O640" s="42"/>
      <c r="P640" s="10"/>
    </row>
    <row r="641" spans="1:16" x14ac:dyDescent="0.25">
      <c r="A641" s="5"/>
      <c r="B641" s="22"/>
      <c r="C641" s="22"/>
      <c r="D641" s="18"/>
      <c r="E641" s="24"/>
      <c r="F641" s="13"/>
      <c r="G641" s="13"/>
      <c r="H641" s="7"/>
      <c r="I641" s="13"/>
      <c r="J641" s="9"/>
      <c r="K641" s="10"/>
      <c r="L641" s="10"/>
      <c r="M641" s="11"/>
      <c r="N641" s="10"/>
      <c r="O641" s="42"/>
      <c r="P641" s="10"/>
    </row>
    <row r="642" spans="1:16" x14ac:dyDescent="0.25">
      <c r="A642" s="5"/>
      <c r="B642" s="22"/>
      <c r="C642" s="22"/>
      <c r="D642" s="18"/>
      <c r="E642" s="24"/>
      <c r="F642" s="13"/>
      <c r="G642" s="13"/>
      <c r="H642" s="7"/>
      <c r="I642" s="13"/>
      <c r="J642" s="9"/>
      <c r="K642" s="10"/>
      <c r="L642" s="10"/>
      <c r="M642" s="11"/>
      <c r="N642" s="10"/>
      <c r="O642" s="42"/>
      <c r="P642" s="10"/>
    </row>
    <row r="643" spans="1:16" x14ac:dyDescent="0.25">
      <c r="A643" s="5"/>
      <c r="B643" s="22"/>
      <c r="C643" s="22"/>
      <c r="D643" s="18"/>
      <c r="E643" s="24"/>
      <c r="F643" s="13"/>
      <c r="G643" s="13"/>
      <c r="H643" s="7"/>
      <c r="I643" s="13"/>
      <c r="J643" s="9"/>
      <c r="K643" s="10"/>
      <c r="L643" s="10"/>
      <c r="M643" s="11"/>
      <c r="N643" s="10"/>
      <c r="O643" s="42"/>
      <c r="P643" s="10"/>
    </row>
    <row r="644" spans="1:16" x14ac:dyDescent="0.25">
      <c r="A644" s="5"/>
      <c r="B644" s="22"/>
      <c r="C644" s="22"/>
      <c r="D644" s="18"/>
      <c r="E644" s="24"/>
      <c r="F644" s="13"/>
      <c r="G644" s="13"/>
      <c r="H644" s="7"/>
      <c r="I644" s="13"/>
      <c r="J644" s="9"/>
      <c r="K644" s="10"/>
      <c r="L644" s="10"/>
      <c r="M644" s="11"/>
      <c r="N644" s="10"/>
      <c r="O644" s="42"/>
      <c r="P644" s="10"/>
    </row>
    <row r="645" spans="1:16" x14ac:dyDescent="0.25">
      <c r="A645" s="5"/>
      <c r="B645" s="22"/>
      <c r="C645" s="22"/>
      <c r="D645" s="18"/>
      <c r="E645" s="24"/>
      <c r="F645" s="13"/>
      <c r="G645" s="13"/>
      <c r="H645" s="7"/>
      <c r="I645" s="13"/>
      <c r="J645" s="9"/>
      <c r="K645" s="10"/>
      <c r="L645" s="10"/>
      <c r="M645" s="11"/>
      <c r="N645" s="10"/>
      <c r="O645" s="42"/>
      <c r="P645" s="10"/>
    </row>
    <row r="646" spans="1:16" x14ac:dyDescent="0.25">
      <c r="A646" s="5"/>
      <c r="B646" s="22"/>
      <c r="C646" s="22"/>
      <c r="D646" s="18"/>
      <c r="E646" s="24"/>
      <c r="F646" s="13"/>
      <c r="G646" s="13"/>
      <c r="H646" s="7"/>
      <c r="I646" s="13"/>
      <c r="J646" s="9"/>
      <c r="K646" s="10"/>
      <c r="L646" s="10"/>
      <c r="M646" s="11"/>
      <c r="N646" s="10"/>
      <c r="O646" s="42"/>
      <c r="P646" s="10"/>
    </row>
    <row r="647" spans="1:16" x14ac:dyDescent="0.25">
      <c r="A647" s="5"/>
      <c r="B647" s="22"/>
      <c r="C647" s="22"/>
      <c r="D647" s="18"/>
      <c r="E647" s="24"/>
      <c r="F647" s="13"/>
      <c r="G647" s="13"/>
      <c r="H647" s="7"/>
      <c r="I647" s="13"/>
      <c r="J647" s="9"/>
      <c r="K647" s="10"/>
      <c r="L647" s="10"/>
      <c r="M647" s="11"/>
      <c r="N647" s="10"/>
      <c r="O647" s="42"/>
      <c r="P647" s="10"/>
    </row>
    <row r="648" spans="1:16" x14ac:dyDescent="0.25">
      <c r="A648" s="5"/>
      <c r="B648" s="22"/>
      <c r="C648" s="22"/>
      <c r="D648" s="18"/>
      <c r="E648" s="24"/>
      <c r="F648" s="13"/>
      <c r="G648" s="13"/>
      <c r="H648" s="7"/>
      <c r="I648" s="13"/>
      <c r="J648" s="9"/>
      <c r="K648" s="10"/>
      <c r="L648" s="10"/>
      <c r="M648" s="11"/>
      <c r="N648" s="10"/>
      <c r="O648" s="42"/>
      <c r="P648" s="10"/>
    </row>
    <row r="649" spans="1:16" x14ac:dyDescent="0.25">
      <c r="A649" s="5"/>
      <c r="B649" s="22"/>
      <c r="C649" s="22"/>
      <c r="D649" s="18"/>
      <c r="E649" s="24"/>
      <c r="F649" s="13"/>
      <c r="G649" s="13"/>
      <c r="H649" s="7"/>
      <c r="I649" s="13"/>
      <c r="J649" s="9"/>
      <c r="K649" s="10"/>
      <c r="L649" s="10"/>
      <c r="M649" s="11"/>
      <c r="N649" s="10"/>
      <c r="O649" s="42"/>
      <c r="P649" s="10"/>
    </row>
    <row r="650" spans="1:16" x14ac:dyDescent="0.25">
      <c r="A650" s="5"/>
      <c r="B650" s="22"/>
      <c r="C650" s="22"/>
      <c r="D650" s="18"/>
      <c r="E650" s="24"/>
      <c r="F650" s="13"/>
      <c r="G650" s="13"/>
      <c r="H650" s="7"/>
      <c r="I650" s="13"/>
      <c r="J650" s="9"/>
      <c r="K650" s="10"/>
      <c r="L650" s="10"/>
      <c r="M650" s="11"/>
      <c r="N650" s="10"/>
      <c r="O650" s="42"/>
      <c r="P650" s="10"/>
    </row>
    <row r="651" spans="1:16" x14ac:dyDescent="0.25">
      <c r="A651" s="5"/>
      <c r="B651" s="22"/>
      <c r="C651" s="22"/>
      <c r="D651" s="18"/>
      <c r="E651" s="24"/>
      <c r="F651" s="13"/>
      <c r="G651" s="13"/>
      <c r="H651" s="7"/>
      <c r="I651" s="13"/>
      <c r="J651" s="9"/>
      <c r="K651" s="10"/>
      <c r="L651" s="10"/>
      <c r="M651" s="11"/>
      <c r="N651" s="10"/>
      <c r="O651" s="42"/>
      <c r="P651" s="10"/>
    </row>
    <row r="652" spans="1:16" x14ac:dyDescent="0.25">
      <c r="A652" s="5"/>
      <c r="B652" s="22"/>
      <c r="C652" s="22"/>
      <c r="D652" s="18"/>
      <c r="E652" s="24"/>
      <c r="F652" s="13"/>
      <c r="G652" s="13"/>
      <c r="H652" s="7"/>
      <c r="I652" s="13"/>
      <c r="J652" s="9"/>
      <c r="K652" s="10"/>
      <c r="L652" s="10"/>
      <c r="M652" s="11"/>
      <c r="N652" s="10"/>
      <c r="O652" s="42"/>
      <c r="P652" s="10"/>
    </row>
    <row r="653" spans="1:16" x14ac:dyDescent="0.25">
      <c r="A653" s="5"/>
      <c r="B653" s="22"/>
      <c r="C653" s="22"/>
      <c r="D653" s="18"/>
      <c r="E653" s="24"/>
      <c r="F653" s="13"/>
      <c r="G653" s="13"/>
      <c r="H653" s="7"/>
      <c r="I653" s="13"/>
      <c r="J653" s="9"/>
      <c r="K653" s="10"/>
      <c r="L653" s="10"/>
      <c r="M653" s="11"/>
      <c r="N653" s="10"/>
      <c r="O653" s="42"/>
      <c r="P653" s="10"/>
    </row>
    <row r="654" spans="1:16" x14ac:dyDescent="0.25">
      <c r="A654" s="5"/>
      <c r="B654" s="22"/>
      <c r="C654" s="22"/>
      <c r="D654" s="18"/>
      <c r="E654" s="24"/>
      <c r="F654" s="13"/>
      <c r="G654" s="13"/>
      <c r="H654" s="7"/>
      <c r="I654" s="13"/>
      <c r="J654" s="9"/>
      <c r="K654" s="10"/>
      <c r="L654" s="10"/>
      <c r="M654" s="11"/>
      <c r="N654" s="10"/>
      <c r="O654" s="42"/>
      <c r="P654" s="10"/>
    </row>
    <row r="655" spans="1:16" x14ac:dyDescent="0.25">
      <c r="A655" s="5"/>
      <c r="B655" s="22"/>
      <c r="C655" s="22"/>
      <c r="D655" s="18"/>
      <c r="E655" s="24"/>
      <c r="F655" s="13"/>
      <c r="G655" s="13"/>
      <c r="H655" s="7"/>
      <c r="I655" s="13"/>
      <c r="J655" s="9"/>
      <c r="K655" s="10"/>
      <c r="L655" s="10"/>
      <c r="M655" s="11"/>
      <c r="N655" s="10"/>
      <c r="O655" s="42"/>
      <c r="P655" s="10"/>
    </row>
    <row r="656" spans="1:16" x14ac:dyDescent="0.25">
      <c r="A656" s="5"/>
      <c r="B656" s="22"/>
      <c r="C656" s="22"/>
      <c r="D656" s="18"/>
      <c r="E656" s="24"/>
      <c r="F656" s="13"/>
      <c r="G656" s="13"/>
      <c r="H656" s="7"/>
      <c r="I656" s="13"/>
      <c r="J656" s="9"/>
      <c r="K656" s="10"/>
      <c r="L656" s="10"/>
      <c r="M656" s="11"/>
      <c r="N656" s="10"/>
      <c r="O656" s="42"/>
      <c r="P656" s="10"/>
    </row>
    <row r="657" spans="1:16" x14ac:dyDescent="0.25">
      <c r="A657" s="5"/>
      <c r="B657" s="22"/>
      <c r="C657" s="22"/>
      <c r="D657" s="18"/>
      <c r="E657" s="24"/>
      <c r="F657" s="13"/>
      <c r="G657" s="13"/>
      <c r="H657" s="7"/>
      <c r="I657" s="13"/>
      <c r="J657" s="9"/>
      <c r="K657" s="10"/>
      <c r="L657" s="10"/>
      <c r="M657" s="11"/>
      <c r="N657" s="10"/>
      <c r="O657" s="42"/>
      <c r="P657" s="10"/>
    </row>
    <row r="658" spans="1:16" x14ac:dyDescent="0.25">
      <c r="A658" s="5"/>
      <c r="B658" s="22"/>
      <c r="C658" s="22"/>
      <c r="D658" s="18"/>
      <c r="E658" s="24"/>
      <c r="F658" s="13"/>
      <c r="G658" s="13"/>
      <c r="H658" s="7"/>
      <c r="I658" s="13"/>
      <c r="J658" s="9"/>
      <c r="K658" s="10"/>
      <c r="L658" s="10"/>
      <c r="M658" s="11"/>
      <c r="N658" s="10"/>
      <c r="O658" s="42"/>
      <c r="P658" s="10"/>
    </row>
    <row r="659" spans="1:16" x14ac:dyDescent="0.25">
      <c r="A659" s="5"/>
      <c r="B659" s="22"/>
      <c r="C659" s="22"/>
      <c r="D659" s="18"/>
      <c r="E659" s="24"/>
      <c r="F659" s="13"/>
      <c r="G659" s="13"/>
      <c r="H659" s="7"/>
      <c r="I659" s="13"/>
      <c r="J659" s="9"/>
      <c r="K659" s="10"/>
      <c r="L659" s="10"/>
      <c r="M659" s="11"/>
      <c r="N659" s="10"/>
      <c r="O659" s="42"/>
      <c r="P659" s="10"/>
    </row>
    <row r="660" spans="1:16" x14ac:dyDescent="0.25">
      <c r="A660" s="5"/>
      <c r="B660" s="22"/>
      <c r="C660" s="22"/>
      <c r="D660" s="18"/>
      <c r="E660" s="24"/>
      <c r="F660" s="13"/>
      <c r="G660" s="13"/>
      <c r="H660" s="7"/>
      <c r="I660" s="13"/>
      <c r="J660" s="9"/>
      <c r="K660" s="10"/>
      <c r="L660" s="10"/>
      <c r="M660" s="11"/>
      <c r="N660" s="10"/>
      <c r="O660" s="42"/>
      <c r="P660" s="10"/>
    </row>
    <row r="661" spans="1:16" x14ac:dyDescent="0.25">
      <c r="A661" s="5"/>
      <c r="B661" s="22"/>
      <c r="C661" s="22"/>
      <c r="D661" s="18"/>
      <c r="E661" s="24"/>
      <c r="F661" s="13"/>
      <c r="G661" s="13"/>
      <c r="H661" s="7"/>
      <c r="I661" s="13"/>
      <c r="J661" s="9"/>
      <c r="K661" s="10"/>
      <c r="L661" s="10"/>
      <c r="M661" s="11"/>
      <c r="N661" s="10"/>
      <c r="O661" s="42"/>
      <c r="P661" s="10"/>
    </row>
    <row r="662" spans="1:16" x14ac:dyDescent="0.25">
      <c r="A662" s="5"/>
      <c r="B662" s="22"/>
      <c r="C662" s="22"/>
      <c r="D662" s="18"/>
      <c r="E662" s="24"/>
      <c r="F662" s="13"/>
      <c r="G662" s="13"/>
      <c r="H662" s="7"/>
      <c r="I662" s="13"/>
      <c r="J662" s="9"/>
      <c r="K662" s="10"/>
      <c r="L662" s="10"/>
      <c r="M662" s="11"/>
      <c r="N662" s="10"/>
      <c r="O662" s="42"/>
      <c r="P662" s="10"/>
    </row>
    <row r="663" spans="1:16" x14ac:dyDescent="0.25">
      <c r="A663" s="5"/>
      <c r="B663" s="22"/>
      <c r="C663" s="22"/>
      <c r="D663" s="18"/>
      <c r="E663" s="24"/>
      <c r="F663" s="13"/>
      <c r="G663" s="13"/>
      <c r="H663" s="7"/>
      <c r="I663" s="13"/>
      <c r="J663" s="9"/>
      <c r="K663" s="10"/>
      <c r="L663" s="10"/>
      <c r="M663" s="11"/>
      <c r="N663" s="10"/>
      <c r="O663" s="42"/>
      <c r="P663" s="10"/>
    </row>
    <row r="664" spans="1:16" x14ac:dyDescent="0.25">
      <c r="A664" s="5"/>
      <c r="B664" s="22"/>
      <c r="C664" s="22"/>
      <c r="D664" s="18"/>
      <c r="E664" s="24"/>
      <c r="F664" s="13"/>
      <c r="G664" s="13"/>
      <c r="H664" s="7"/>
      <c r="I664" s="13"/>
      <c r="J664" s="9"/>
      <c r="K664" s="10"/>
      <c r="L664" s="10"/>
      <c r="M664" s="11"/>
      <c r="N664" s="10"/>
      <c r="O664" s="42"/>
      <c r="P664" s="10"/>
    </row>
    <row r="665" spans="1:16" x14ac:dyDescent="0.25">
      <c r="A665" s="5"/>
      <c r="B665" s="22"/>
      <c r="C665" s="22"/>
      <c r="D665" s="18"/>
      <c r="E665" s="24"/>
      <c r="F665" s="13"/>
      <c r="G665" s="13"/>
      <c r="H665" s="7"/>
      <c r="I665" s="13"/>
      <c r="J665" s="9"/>
      <c r="K665" s="10"/>
      <c r="L665" s="10"/>
      <c r="M665" s="11"/>
      <c r="N665" s="10"/>
      <c r="O665" s="42"/>
      <c r="P665" s="10"/>
    </row>
    <row r="666" spans="1:16" x14ac:dyDescent="0.25">
      <c r="A666" s="5"/>
      <c r="B666" s="22"/>
      <c r="C666" s="22"/>
      <c r="D666" s="18"/>
      <c r="E666" s="24"/>
      <c r="F666" s="13"/>
      <c r="G666" s="13"/>
      <c r="H666" s="7"/>
      <c r="I666" s="13"/>
      <c r="J666" s="9"/>
      <c r="K666" s="10"/>
      <c r="L666" s="10"/>
      <c r="M666" s="11"/>
      <c r="N666" s="10"/>
      <c r="O666" s="42"/>
      <c r="P666" s="10"/>
    </row>
    <row r="667" spans="1:16" x14ac:dyDescent="0.25">
      <c r="A667" s="5"/>
      <c r="B667" s="22"/>
      <c r="C667" s="22"/>
      <c r="D667" s="18"/>
      <c r="E667" s="24"/>
      <c r="F667" s="13"/>
      <c r="G667" s="13"/>
      <c r="H667" s="7"/>
      <c r="I667" s="13"/>
      <c r="J667" s="9"/>
      <c r="K667" s="10"/>
      <c r="L667" s="10"/>
      <c r="M667" s="11"/>
      <c r="N667" s="10"/>
      <c r="O667" s="42"/>
      <c r="P667" s="10"/>
    </row>
    <row r="668" spans="1:16" x14ac:dyDescent="0.25">
      <c r="A668" s="5"/>
      <c r="B668" s="22"/>
      <c r="C668" s="22"/>
      <c r="D668" s="18"/>
      <c r="E668" s="24"/>
      <c r="F668" s="13"/>
      <c r="G668" s="13"/>
      <c r="H668" s="7"/>
      <c r="I668" s="13"/>
      <c r="J668" s="9"/>
      <c r="K668" s="10"/>
      <c r="L668" s="10"/>
      <c r="M668" s="11"/>
      <c r="N668" s="10"/>
      <c r="O668" s="42"/>
      <c r="P668" s="10"/>
    </row>
    <row r="669" spans="1:16" x14ac:dyDescent="0.25">
      <c r="A669" s="5"/>
      <c r="B669" s="22"/>
      <c r="C669" s="22"/>
      <c r="D669" s="18"/>
      <c r="E669" s="24"/>
      <c r="F669" s="13"/>
      <c r="G669" s="13"/>
      <c r="H669" s="7"/>
      <c r="I669" s="13"/>
      <c r="J669" s="9"/>
      <c r="K669" s="10"/>
      <c r="L669" s="10"/>
      <c r="M669" s="11"/>
      <c r="N669" s="10"/>
      <c r="O669" s="42"/>
      <c r="P669" s="10"/>
    </row>
    <row r="670" spans="1:16" x14ac:dyDescent="0.25">
      <c r="A670" s="5"/>
      <c r="B670" s="22"/>
      <c r="C670" s="22"/>
      <c r="D670" s="18"/>
      <c r="E670" s="24"/>
      <c r="F670" s="13"/>
      <c r="G670" s="13"/>
      <c r="H670" s="7"/>
      <c r="I670" s="13"/>
      <c r="J670" s="9"/>
      <c r="K670" s="10"/>
      <c r="L670" s="10"/>
      <c r="M670" s="11"/>
      <c r="N670" s="10"/>
      <c r="O670" s="42"/>
      <c r="P670" s="10"/>
    </row>
    <row r="671" spans="1:16" x14ac:dyDescent="0.25">
      <c r="A671" s="5"/>
      <c r="B671" s="22"/>
      <c r="C671" s="22"/>
      <c r="D671" s="18"/>
      <c r="E671" s="24"/>
      <c r="F671" s="13"/>
      <c r="G671" s="13"/>
      <c r="H671" s="7"/>
      <c r="I671" s="13"/>
      <c r="J671" s="9"/>
      <c r="K671" s="10"/>
      <c r="L671" s="10"/>
      <c r="M671" s="11"/>
      <c r="N671" s="10"/>
      <c r="O671" s="42"/>
      <c r="P671" s="10"/>
    </row>
    <row r="672" spans="1:16" x14ac:dyDescent="0.25">
      <c r="A672" s="5"/>
      <c r="B672" s="22"/>
      <c r="C672" s="22"/>
      <c r="D672" s="18"/>
      <c r="E672" s="24"/>
      <c r="F672" s="13"/>
      <c r="G672" s="13"/>
      <c r="H672" s="7"/>
      <c r="I672" s="13"/>
      <c r="J672" s="9"/>
      <c r="K672" s="10"/>
      <c r="L672" s="10"/>
      <c r="M672" s="11"/>
      <c r="N672" s="10"/>
      <c r="O672" s="42"/>
      <c r="P672" s="10"/>
    </row>
    <row r="673" spans="1:16" x14ac:dyDescent="0.25">
      <c r="A673" s="5"/>
      <c r="B673" s="22"/>
      <c r="C673" s="22"/>
      <c r="D673" s="18"/>
      <c r="E673" s="24"/>
      <c r="F673" s="13"/>
      <c r="G673" s="13"/>
      <c r="H673" s="7"/>
      <c r="I673" s="13"/>
      <c r="J673" s="9"/>
      <c r="K673" s="10"/>
      <c r="L673" s="10"/>
      <c r="M673" s="11"/>
      <c r="N673" s="10"/>
      <c r="O673" s="42"/>
      <c r="P673" s="10"/>
    </row>
    <row r="674" spans="1:16" x14ac:dyDescent="0.25">
      <c r="A674" s="5"/>
      <c r="B674" s="22"/>
      <c r="C674" s="22"/>
      <c r="D674" s="18"/>
      <c r="E674" s="24"/>
      <c r="F674" s="13"/>
      <c r="G674" s="13"/>
      <c r="H674" s="7"/>
      <c r="I674" s="13"/>
      <c r="J674" s="9"/>
      <c r="K674" s="10"/>
      <c r="L674" s="10"/>
      <c r="M674" s="11"/>
      <c r="N674" s="10"/>
      <c r="O674" s="42"/>
      <c r="P674" s="10"/>
    </row>
    <row r="675" spans="1:16" x14ac:dyDescent="0.25">
      <c r="A675" s="5"/>
      <c r="B675" s="22"/>
      <c r="C675" s="22"/>
      <c r="D675" s="18"/>
      <c r="E675" s="24"/>
      <c r="F675" s="13"/>
      <c r="G675" s="13"/>
      <c r="H675" s="7"/>
      <c r="I675" s="13"/>
      <c r="J675" s="9"/>
      <c r="K675" s="10"/>
      <c r="L675" s="10"/>
      <c r="M675" s="11"/>
      <c r="N675" s="10"/>
      <c r="O675" s="42"/>
      <c r="P675" s="10"/>
    </row>
    <row r="676" spans="1:16" x14ac:dyDescent="0.25">
      <c r="A676" s="5"/>
      <c r="B676" s="22"/>
      <c r="C676" s="22"/>
      <c r="D676" s="18"/>
      <c r="E676" s="24"/>
      <c r="F676" s="13"/>
      <c r="G676" s="13"/>
      <c r="H676" s="7"/>
      <c r="I676" s="13"/>
      <c r="J676" s="9"/>
      <c r="K676" s="10"/>
      <c r="L676" s="10"/>
      <c r="M676" s="11"/>
      <c r="N676" s="10"/>
      <c r="O676" s="42"/>
      <c r="P676" s="10"/>
    </row>
    <row r="677" spans="1:16" x14ac:dyDescent="0.25">
      <c r="A677" s="5"/>
      <c r="B677" s="22"/>
      <c r="C677" s="22"/>
      <c r="D677" s="18"/>
      <c r="E677" s="24"/>
      <c r="F677" s="13"/>
      <c r="G677" s="13"/>
      <c r="H677" s="7"/>
      <c r="I677" s="13"/>
      <c r="J677" s="9"/>
      <c r="K677" s="10"/>
      <c r="L677" s="10"/>
      <c r="M677" s="11"/>
      <c r="N677" s="10"/>
      <c r="O677" s="42"/>
      <c r="P677" s="10"/>
    </row>
    <row r="678" spans="1:16" x14ac:dyDescent="0.25">
      <c r="A678" s="5"/>
      <c r="B678" s="22"/>
      <c r="C678" s="22"/>
      <c r="D678" s="18"/>
      <c r="E678" s="24"/>
      <c r="F678" s="13"/>
      <c r="G678" s="13"/>
      <c r="H678" s="7"/>
      <c r="I678" s="13"/>
      <c r="J678" s="9"/>
      <c r="K678" s="10"/>
      <c r="L678" s="10"/>
      <c r="M678" s="11"/>
      <c r="N678" s="10"/>
      <c r="O678" s="42"/>
      <c r="P678" s="10"/>
    </row>
    <row r="679" spans="1:16" x14ac:dyDescent="0.25">
      <c r="A679" s="5"/>
      <c r="B679" s="22"/>
      <c r="C679" s="22"/>
      <c r="D679" s="18"/>
      <c r="E679" s="24"/>
      <c r="F679" s="13"/>
      <c r="G679" s="13"/>
      <c r="H679" s="7"/>
      <c r="I679" s="13"/>
      <c r="J679" s="9"/>
      <c r="K679" s="10"/>
      <c r="L679" s="10"/>
      <c r="M679" s="11"/>
      <c r="N679" s="10"/>
      <c r="O679" s="42"/>
      <c r="P679" s="10"/>
    </row>
    <row r="680" spans="1:16" x14ac:dyDescent="0.25">
      <c r="A680" s="5"/>
      <c r="B680" s="22"/>
      <c r="C680" s="22"/>
      <c r="D680" s="18"/>
      <c r="E680" s="24"/>
      <c r="F680" s="13"/>
      <c r="G680" s="13"/>
      <c r="H680" s="7"/>
      <c r="I680" s="13"/>
      <c r="J680" s="9"/>
      <c r="K680" s="10"/>
      <c r="L680" s="10"/>
      <c r="M680" s="11"/>
      <c r="N680" s="10"/>
      <c r="O680" s="42"/>
      <c r="P680" s="10"/>
    </row>
    <row r="681" spans="1:16" x14ac:dyDescent="0.25">
      <c r="A681" s="5"/>
      <c r="B681" s="22"/>
      <c r="C681" s="22"/>
      <c r="D681" s="18"/>
      <c r="E681" s="24"/>
      <c r="F681" s="13"/>
      <c r="G681" s="13"/>
      <c r="H681" s="7"/>
      <c r="I681" s="13"/>
      <c r="J681" s="9"/>
      <c r="K681" s="10"/>
      <c r="L681" s="10"/>
      <c r="M681" s="11"/>
      <c r="N681" s="10"/>
      <c r="O681" s="42"/>
      <c r="P681" s="10"/>
    </row>
    <row r="682" spans="1:16" x14ac:dyDescent="0.25">
      <c r="A682" s="5"/>
      <c r="B682" s="22"/>
      <c r="C682" s="22"/>
      <c r="D682" s="18"/>
      <c r="E682" s="24"/>
      <c r="F682" s="13"/>
      <c r="G682" s="13"/>
      <c r="H682" s="7"/>
      <c r="I682" s="13"/>
      <c r="J682" s="9"/>
      <c r="K682" s="10"/>
      <c r="L682" s="10"/>
      <c r="M682" s="11"/>
      <c r="N682" s="10"/>
      <c r="O682" s="42"/>
      <c r="P682" s="10"/>
    </row>
    <row r="683" spans="1:16" x14ac:dyDescent="0.25">
      <c r="A683" s="5"/>
      <c r="B683" s="22"/>
      <c r="C683" s="22"/>
      <c r="D683" s="18"/>
      <c r="E683" s="24"/>
      <c r="F683" s="13"/>
      <c r="G683" s="13"/>
      <c r="H683" s="7"/>
      <c r="I683" s="13"/>
      <c r="J683" s="9"/>
      <c r="K683" s="10"/>
      <c r="L683" s="10"/>
      <c r="M683" s="11"/>
      <c r="N683" s="10"/>
      <c r="O683" s="42"/>
      <c r="P683" s="10"/>
    </row>
    <row r="684" spans="1:16" x14ac:dyDescent="0.25">
      <c r="A684" s="5"/>
      <c r="B684" s="22"/>
      <c r="C684" s="22"/>
      <c r="D684" s="18"/>
      <c r="E684" s="24"/>
      <c r="F684" s="13"/>
      <c r="G684" s="13"/>
      <c r="H684" s="7"/>
      <c r="I684" s="13"/>
      <c r="J684" s="9"/>
      <c r="K684" s="10"/>
      <c r="L684" s="10"/>
      <c r="M684" s="11"/>
      <c r="N684" s="10"/>
      <c r="O684" s="42"/>
      <c r="P684" s="10"/>
    </row>
    <row r="685" spans="1:16" x14ac:dyDescent="0.25">
      <c r="A685" s="5"/>
      <c r="B685" s="22"/>
      <c r="C685" s="22"/>
      <c r="D685" s="18"/>
      <c r="E685" s="24"/>
      <c r="F685" s="13"/>
      <c r="G685" s="13"/>
      <c r="H685" s="7"/>
      <c r="I685" s="13"/>
      <c r="J685" s="9"/>
      <c r="K685" s="10"/>
      <c r="L685" s="10"/>
      <c r="M685" s="11"/>
      <c r="N685" s="10"/>
      <c r="O685" s="42"/>
      <c r="P685" s="10"/>
    </row>
    <row r="686" spans="1:16" x14ac:dyDescent="0.25">
      <c r="A686" s="5"/>
      <c r="B686" s="22"/>
      <c r="C686" s="22"/>
      <c r="D686" s="18"/>
      <c r="E686" s="24"/>
      <c r="F686" s="13"/>
      <c r="G686" s="13"/>
      <c r="H686" s="7"/>
      <c r="I686" s="13"/>
      <c r="J686" s="9"/>
      <c r="K686" s="10"/>
      <c r="L686" s="10"/>
      <c r="M686" s="11"/>
      <c r="N686" s="10"/>
      <c r="O686" s="42"/>
      <c r="P686" s="10"/>
    </row>
    <row r="687" spans="1:16" x14ac:dyDescent="0.25">
      <c r="A687" s="5"/>
      <c r="B687" s="22"/>
      <c r="C687" s="22"/>
      <c r="D687" s="18"/>
      <c r="E687" s="24"/>
      <c r="F687" s="13"/>
      <c r="G687" s="13"/>
      <c r="H687" s="7"/>
      <c r="I687" s="13"/>
      <c r="J687" s="9"/>
      <c r="K687" s="10"/>
      <c r="L687" s="10"/>
      <c r="M687" s="11"/>
      <c r="N687" s="10"/>
      <c r="O687" s="42"/>
      <c r="P687" s="10"/>
    </row>
    <row r="688" spans="1:16" x14ac:dyDescent="0.25">
      <c r="A688" s="5"/>
      <c r="B688" s="22"/>
      <c r="C688" s="22"/>
      <c r="D688" s="18"/>
      <c r="E688" s="24"/>
      <c r="F688" s="13"/>
      <c r="G688" s="13"/>
      <c r="H688" s="7"/>
      <c r="I688" s="13"/>
      <c r="J688" s="9"/>
      <c r="K688" s="10"/>
      <c r="L688" s="10"/>
      <c r="M688" s="11"/>
      <c r="N688" s="10"/>
      <c r="O688" s="42"/>
      <c r="P688" s="10"/>
    </row>
    <row r="689" spans="1:16" x14ac:dyDescent="0.25">
      <c r="A689" s="5"/>
      <c r="B689" s="22"/>
      <c r="C689" s="22"/>
      <c r="D689" s="18"/>
      <c r="E689" s="24"/>
      <c r="F689" s="13"/>
      <c r="G689" s="13"/>
      <c r="H689" s="7"/>
      <c r="I689" s="13"/>
      <c r="J689" s="9"/>
      <c r="K689" s="10"/>
      <c r="L689" s="10"/>
      <c r="M689" s="11"/>
      <c r="N689" s="10"/>
      <c r="O689" s="42"/>
      <c r="P689" s="10"/>
    </row>
    <row r="690" spans="1:16" x14ac:dyDescent="0.25">
      <c r="A690" s="5"/>
      <c r="B690" s="22"/>
      <c r="C690" s="22"/>
      <c r="D690" s="18"/>
      <c r="E690" s="24"/>
      <c r="F690" s="13"/>
      <c r="G690" s="13"/>
      <c r="H690" s="7"/>
      <c r="I690" s="13"/>
      <c r="J690" s="9"/>
      <c r="K690" s="10"/>
      <c r="L690" s="10"/>
      <c r="M690" s="11"/>
      <c r="N690" s="10"/>
      <c r="O690" s="42"/>
      <c r="P690" s="10"/>
    </row>
    <row r="691" spans="1:16" x14ac:dyDescent="0.25">
      <c r="A691" s="5"/>
      <c r="B691" s="22"/>
      <c r="C691" s="22"/>
      <c r="D691" s="18"/>
      <c r="E691" s="24"/>
      <c r="F691" s="13"/>
      <c r="G691" s="13"/>
      <c r="H691" s="7"/>
      <c r="I691" s="13"/>
      <c r="J691" s="9"/>
      <c r="K691" s="10"/>
      <c r="L691" s="10"/>
      <c r="M691" s="11"/>
      <c r="N691" s="10"/>
      <c r="O691" s="42"/>
      <c r="P691" s="10"/>
    </row>
    <row r="692" spans="1:16" x14ac:dyDescent="0.25">
      <c r="A692" s="5"/>
      <c r="B692" s="22"/>
      <c r="C692" s="22"/>
      <c r="D692" s="18"/>
      <c r="E692" s="24"/>
      <c r="F692" s="13"/>
      <c r="G692" s="13"/>
      <c r="H692" s="7"/>
      <c r="I692" s="13"/>
      <c r="J692" s="9"/>
      <c r="K692" s="10"/>
      <c r="L692" s="10"/>
      <c r="M692" s="11"/>
      <c r="N692" s="10"/>
      <c r="O692" s="42"/>
      <c r="P692" s="10"/>
    </row>
    <row r="693" spans="1:16" x14ac:dyDescent="0.25">
      <c r="A693" s="5"/>
      <c r="B693" s="22"/>
      <c r="C693" s="22"/>
      <c r="D693" s="18"/>
      <c r="E693" s="24"/>
      <c r="F693" s="13"/>
      <c r="G693" s="13"/>
      <c r="H693" s="7"/>
      <c r="I693" s="13"/>
      <c r="J693" s="9"/>
      <c r="K693" s="10"/>
      <c r="L693" s="10"/>
      <c r="M693" s="11"/>
      <c r="N693" s="10"/>
      <c r="O693" s="42"/>
      <c r="P693" s="10"/>
    </row>
    <row r="694" spans="1:16" x14ac:dyDescent="0.25">
      <c r="A694" s="5"/>
      <c r="B694" s="22"/>
      <c r="C694" s="22"/>
      <c r="D694" s="18"/>
      <c r="E694" s="24"/>
      <c r="F694" s="13"/>
      <c r="G694" s="13"/>
      <c r="H694" s="7"/>
      <c r="I694" s="13"/>
      <c r="J694" s="9"/>
      <c r="K694" s="10"/>
      <c r="L694" s="10"/>
      <c r="M694" s="11"/>
      <c r="N694" s="10"/>
      <c r="O694" s="42"/>
      <c r="P694" s="10"/>
    </row>
    <row r="695" spans="1:16" x14ac:dyDescent="0.25">
      <c r="A695" s="5"/>
      <c r="B695" s="22"/>
      <c r="C695" s="22"/>
      <c r="D695" s="18"/>
      <c r="E695" s="24"/>
      <c r="F695" s="13"/>
      <c r="G695" s="13"/>
      <c r="H695" s="7"/>
      <c r="I695" s="13"/>
      <c r="J695" s="9"/>
      <c r="K695" s="10"/>
      <c r="L695" s="10"/>
      <c r="M695" s="11"/>
      <c r="N695" s="10"/>
      <c r="O695" s="42"/>
      <c r="P695" s="10"/>
    </row>
    <row r="696" spans="1:16" x14ac:dyDescent="0.25">
      <c r="A696" s="5"/>
      <c r="B696" s="22"/>
      <c r="C696" s="22"/>
      <c r="D696" s="18"/>
      <c r="E696" s="24"/>
      <c r="F696" s="13"/>
      <c r="G696" s="13"/>
      <c r="H696" s="7"/>
      <c r="I696" s="13"/>
      <c r="J696" s="9"/>
      <c r="K696" s="10"/>
      <c r="L696" s="10"/>
      <c r="M696" s="11"/>
      <c r="N696" s="10"/>
      <c r="O696" s="42"/>
      <c r="P696" s="10"/>
    </row>
    <row r="697" spans="1:16" x14ac:dyDescent="0.25">
      <c r="A697" s="5"/>
      <c r="B697" s="22"/>
      <c r="C697" s="22"/>
      <c r="D697" s="18"/>
      <c r="E697" s="24"/>
      <c r="F697" s="13"/>
      <c r="G697" s="13"/>
      <c r="H697" s="7"/>
      <c r="I697" s="13"/>
      <c r="J697" s="9"/>
      <c r="K697" s="10"/>
      <c r="L697" s="10"/>
      <c r="M697" s="11"/>
      <c r="N697" s="10"/>
      <c r="O697" s="42"/>
      <c r="P697" s="10"/>
    </row>
    <row r="698" spans="1:16" x14ac:dyDescent="0.25">
      <c r="A698" s="5"/>
      <c r="B698" s="22"/>
      <c r="C698" s="22"/>
      <c r="D698" s="18"/>
      <c r="E698" s="24"/>
      <c r="F698" s="13"/>
      <c r="G698" s="13"/>
      <c r="H698" s="7"/>
      <c r="I698" s="13"/>
      <c r="J698" s="9"/>
      <c r="K698" s="10"/>
      <c r="L698" s="10"/>
      <c r="M698" s="11"/>
      <c r="N698" s="10"/>
      <c r="O698" s="42"/>
      <c r="P698" s="10"/>
    </row>
    <row r="699" spans="1:16" x14ac:dyDescent="0.25">
      <c r="A699" s="5"/>
      <c r="B699" s="22"/>
      <c r="C699" s="22"/>
      <c r="D699" s="18"/>
      <c r="E699" s="24"/>
      <c r="F699" s="13"/>
      <c r="G699" s="13"/>
      <c r="H699" s="7"/>
      <c r="I699" s="13"/>
      <c r="J699" s="9"/>
      <c r="K699" s="10"/>
      <c r="L699" s="10"/>
      <c r="M699" s="11"/>
      <c r="N699" s="10"/>
      <c r="O699" s="42"/>
      <c r="P699" s="10"/>
    </row>
    <row r="700" spans="1:16" x14ac:dyDescent="0.25">
      <c r="A700" s="5"/>
      <c r="B700" s="22"/>
      <c r="C700" s="22"/>
      <c r="D700" s="18"/>
      <c r="E700" s="24"/>
      <c r="F700" s="13"/>
      <c r="G700" s="13"/>
      <c r="H700" s="7"/>
      <c r="I700" s="13"/>
      <c r="J700" s="9"/>
      <c r="K700" s="10"/>
      <c r="L700" s="10"/>
      <c r="M700" s="11"/>
      <c r="N700" s="10"/>
      <c r="O700" s="42"/>
      <c r="P700" s="10"/>
    </row>
    <row r="701" spans="1:16" x14ac:dyDescent="0.25">
      <c r="A701" s="5"/>
      <c r="B701" s="22"/>
      <c r="C701" s="22"/>
      <c r="D701" s="18"/>
      <c r="E701" s="24"/>
      <c r="F701" s="13"/>
      <c r="G701" s="13"/>
      <c r="H701" s="7"/>
      <c r="I701" s="13"/>
      <c r="J701" s="9"/>
      <c r="K701" s="10"/>
      <c r="L701" s="10"/>
      <c r="M701" s="11"/>
      <c r="N701" s="10"/>
      <c r="O701" s="42"/>
      <c r="P701" s="10"/>
    </row>
    <row r="702" spans="1:16" x14ac:dyDescent="0.25">
      <c r="A702" s="5"/>
      <c r="B702" s="22"/>
      <c r="C702" s="22"/>
      <c r="D702" s="18"/>
      <c r="E702" s="24"/>
      <c r="F702" s="13"/>
      <c r="G702" s="13"/>
      <c r="H702" s="7"/>
      <c r="I702" s="13"/>
      <c r="J702" s="9"/>
      <c r="K702" s="10"/>
      <c r="L702" s="10"/>
      <c r="M702" s="11"/>
      <c r="N702" s="10"/>
      <c r="O702" s="42"/>
      <c r="P702" s="10"/>
    </row>
    <row r="703" spans="1:16" x14ac:dyDescent="0.25">
      <c r="A703" s="5"/>
      <c r="B703" s="22"/>
      <c r="C703" s="22"/>
      <c r="D703" s="18"/>
      <c r="E703" s="24"/>
      <c r="F703" s="13"/>
      <c r="G703" s="13"/>
      <c r="H703" s="7"/>
      <c r="I703" s="13"/>
      <c r="J703" s="9"/>
      <c r="K703" s="10"/>
      <c r="L703" s="10"/>
      <c r="M703" s="11"/>
      <c r="N703" s="10"/>
      <c r="O703" s="42"/>
      <c r="P703" s="10"/>
    </row>
    <row r="704" spans="1:16" x14ac:dyDescent="0.25">
      <c r="A704" s="5"/>
      <c r="B704" s="22"/>
      <c r="C704" s="22"/>
      <c r="D704" s="18"/>
      <c r="E704" s="24"/>
      <c r="F704" s="13"/>
      <c r="G704" s="13"/>
      <c r="H704" s="7"/>
      <c r="I704" s="13"/>
      <c r="J704" s="9"/>
      <c r="K704" s="10"/>
      <c r="L704" s="10"/>
      <c r="M704" s="11"/>
      <c r="N704" s="10"/>
      <c r="O704" s="42"/>
      <c r="P704" s="10"/>
    </row>
    <row r="705" spans="1:16" x14ac:dyDescent="0.25">
      <c r="A705" s="5"/>
      <c r="B705" s="22"/>
      <c r="C705" s="22"/>
      <c r="D705" s="18"/>
      <c r="E705" s="24"/>
      <c r="F705" s="13"/>
      <c r="G705" s="13"/>
      <c r="H705" s="7"/>
      <c r="I705" s="13"/>
      <c r="J705" s="9"/>
      <c r="K705" s="10"/>
      <c r="L705" s="10"/>
      <c r="M705" s="11"/>
      <c r="N705" s="10"/>
      <c r="O705" s="42"/>
      <c r="P705" s="10"/>
    </row>
    <row r="706" spans="1:16" x14ac:dyDescent="0.25">
      <c r="A706" s="5"/>
      <c r="B706" s="22"/>
      <c r="C706" s="22"/>
      <c r="D706" s="18"/>
      <c r="E706" s="24"/>
      <c r="F706" s="13"/>
      <c r="G706" s="13"/>
      <c r="H706" s="7"/>
      <c r="I706" s="13"/>
      <c r="J706" s="9"/>
      <c r="K706" s="10"/>
      <c r="L706" s="10"/>
      <c r="M706" s="11"/>
      <c r="N706" s="10"/>
      <c r="O706" s="42"/>
      <c r="P706" s="10"/>
    </row>
    <row r="707" spans="1:16" x14ac:dyDescent="0.25">
      <c r="A707" s="5"/>
      <c r="B707" s="22"/>
      <c r="C707" s="22"/>
      <c r="D707" s="18"/>
      <c r="E707" s="24"/>
      <c r="F707" s="13"/>
      <c r="G707" s="13"/>
      <c r="H707" s="7"/>
      <c r="I707" s="13"/>
      <c r="J707" s="9"/>
      <c r="K707" s="10"/>
      <c r="L707" s="10"/>
      <c r="M707" s="11"/>
      <c r="N707" s="10"/>
      <c r="O707" s="42"/>
      <c r="P707" s="10"/>
    </row>
    <row r="708" spans="1:16" x14ac:dyDescent="0.25">
      <c r="A708" s="5"/>
      <c r="B708" s="22"/>
      <c r="C708" s="22"/>
      <c r="D708" s="18"/>
      <c r="E708" s="24"/>
      <c r="F708" s="13"/>
      <c r="G708" s="13"/>
      <c r="H708" s="7"/>
      <c r="I708" s="13"/>
      <c r="J708" s="9"/>
      <c r="K708" s="10"/>
      <c r="L708" s="10"/>
      <c r="M708" s="11"/>
      <c r="N708" s="10"/>
      <c r="O708" s="42"/>
      <c r="P708" s="10"/>
    </row>
    <row r="709" spans="1:16" x14ac:dyDescent="0.25">
      <c r="A709" s="5"/>
      <c r="B709" s="22"/>
      <c r="C709" s="22"/>
      <c r="D709" s="18"/>
      <c r="E709" s="24"/>
      <c r="F709" s="13"/>
      <c r="G709" s="13"/>
      <c r="H709" s="7"/>
      <c r="I709" s="13"/>
      <c r="J709" s="9"/>
      <c r="K709" s="10"/>
      <c r="L709" s="10"/>
      <c r="M709" s="11"/>
      <c r="N709" s="10"/>
      <c r="O709" s="42"/>
      <c r="P709" s="10"/>
    </row>
    <row r="710" spans="1:16" x14ac:dyDescent="0.25">
      <c r="A710" s="5"/>
      <c r="B710" s="22"/>
      <c r="C710" s="22"/>
      <c r="D710" s="18"/>
      <c r="E710" s="24"/>
      <c r="F710" s="13"/>
      <c r="G710" s="13"/>
      <c r="H710" s="7"/>
      <c r="I710" s="13"/>
      <c r="J710" s="9"/>
      <c r="K710" s="10"/>
      <c r="L710" s="10"/>
      <c r="M710" s="11"/>
      <c r="N710" s="10"/>
      <c r="O710" s="42"/>
      <c r="P710" s="10"/>
    </row>
    <row r="711" spans="1:16" x14ac:dyDescent="0.25">
      <c r="A711" s="5"/>
      <c r="B711" s="22"/>
      <c r="C711" s="22"/>
      <c r="D711" s="18"/>
      <c r="E711" s="24"/>
      <c r="F711" s="13"/>
      <c r="G711" s="13"/>
      <c r="H711" s="7"/>
      <c r="I711" s="13"/>
      <c r="J711" s="9"/>
      <c r="K711" s="10"/>
      <c r="L711" s="10"/>
      <c r="M711" s="11"/>
      <c r="N711" s="10"/>
      <c r="O711" s="42"/>
      <c r="P711" s="10"/>
    </row>
    <row r="712" spans="1:16" x14ac:dyDescent="0.25">
      <c r="A712" s="5"/>
      <c r="B712" s="22"/>
      <c r="C712" s="22"/>
      <c r="D712" s="18"/>
      <c r="E712" s="24"/>
      <c r="F712" s="13"/>
      <c r="G712" s="13"/>
      <c r="H712" s="7"/>
      <c r="I712" s="13"/>
      <c r="J712" s="9"/>
      <c r="K712" s="10"/>
      <c r="L712" s="10"/>
      <c r="M712" s="11"/>
      <c r="N712" s="10"/>
      <c r="O712" s="42"/>
      <c r="P712" s="10"/>
    </row>
    <row r="713" spans="1:16" x14ac:dyDescent="0.25">
      <c r="A713" s="5"/>
      <c r="B713" s="22"/>
      <c r="C713" s="22"/>
      <c r="D713" s="18"/>
      <c r="E713" s="24"/>
      <c r="F713" s="13"/>
      <c r="G713" s="13"/>
      <c r="H713" s="7"/>
      <c r="I713" s="13"/>
      <c r="J713" s="9"/>
      <c r="K713" s="10"/>
      <c r="L713" s="10"/>
      <c r="M713" s="11"/>
      <c r="N713" s="10"/>
      <c r="O713" s="42"/>
      <c r="P713" s="10"/>
    </row>
    <row r="714" spans="1:16" x14ac:dyDescent="0.25">
      <c r="A714" s="5"/>
      <c r="B714" s="22"/>
      <c r="C714" s="22"/>
      <c r="D714" s="18"/>
      <c r="E714" s="24"/>
      <c r="F714" s="13"/>
      <c r="G714" s="13"/>
      <c r="H714" s="7"/>
      <c r="I714" s="13"/>
      <c r="J714" s="9"/>
      <c r="K714" s="10"/>
      <c r="L714" s="10"/>
      <c r="M714" s="11"/>
      <c r="N714" s="10"/>
      <c r="O714" s="42"/>
      <c r="P714" s="10"/>
    </row>
    <row r="715" spans="1:16" x14ac:dyDescent="0.25">
      <c r="A715" s="5"/>
      <c r="B715" s="22"/>
      <c r="C715" s="22"/>
      <c r="D715" s="18"/>
      <c r="E715" s="24"/>
      <c r="F715" s="13"/>
      <c r="G715" s="13"/>
      <c r="H715" s="7"/>
      <c r="I715" s="13"/>
      <c r="J715" s="9"/>
      <c r="K715" s="10"/>
      <c r="L715" s="10"/>
      <c r="M715" s="11"/>
      <c r="N715" s="10"/>
      <c r="O715" s="42"/>
      <c r="P715" s="10"/>
    </row>
    <row r="716" spans="1:16" x14ac:dyDescent="0.25">
      <c r="A716" s="5"/>
      <c r="B716" s="22"/>
      <c r="C716" s="22"/>
      <c r="D716" s="18"/>
      <c r="E716" s="24"/>
      <c r="F716" s="13"/>
      <c r="G716" s="13"/>
      <c r="H716" s="7"/>
      <c r="I716" s="13"/>
      <c r="J716" s="9"/>
      <c r="K716" s="10"/>
      <c r="L716" s="10"/>
      <c r="M716" s="11"/>
      <c r="N716" s="10"/>
      <c r="O716" s="42"/>
      <c r="P716" s="10"/>
    </row>
    <row r="717" spans="1:16" x14ac:dyDescent="0.25">
      <c r="A717" s="5"/>
      <c r="B717" s="22"/>
      <c r="C717" s="22"/>
      <c r="D717" s="18"/>
      <c r="E717" s="24"/>
      <c r="F717" s="13"/>
      <c r="G717" s="13"/>
      <c r="H717" s="7"/>
      <c r="I717" s="13"/>
      <c r="J717" s="9"/>
      <c r="K717" s="10"/>
      <c r="L717" s="10"/>
      <c r="M717" s="11"/>
      <c r="N717" s="10"/>
      <c r="O717" s="42"/>
      <c r="P717" s="10"/>
    </row>
    <row r="718" spans="1:16" x14ac:dyDescent="0.25">
      <c r="A718" s="5"/>
      <c r="B718" s="22"/>
      <c r="C718" s="22"/>
      <c r="D718" s="18"/>
      <c r="E718" s="24"/>
      <c r="F718" s="13"/>
      <c r="G718" s="13"/>
      <c r="H718" s="7"/>
      <c r="I718" s="13"/>
      <c r="J718" s="9"/>
      <c r="K718" s="10"/>
      <c r="L718" s="10"/>
      <c r="M718" s="11"/>
      <c r="N718" s="10"/>
      <c r="O718" s="42"/>
      <c r="P718" s="10"/>
    </row>
    <row r="719" spans="1:16" x14ac:dyDescent="0.25">
      <c r="A719" s="5"/>
      <c r="B719" s="22"/>
      <c r="C719" s="22"/>
      <c r="D719" s="18"/>
      <c r="E719" s="24"/>
      <c r="F719" s="13"/>
      <c r="G719" s="13"/>
      <c r="H719" s="7"/>
      <c r="I719" s="13"/>
      <c r="J719" s="9"/>
      <c r="K719" s="10"/>
      <c r="L719" s="10"/>
      <c r="M719" s="11"/>
      <c r="N719" s="10"/>
      <c r="O719" s="42"/>
      <c r="P719" s="10"/>
    </row>
    <row r="720" spans="1:16" x14ac:dyDescent="0.25">
      <c r="A720" s="5"/>
      <c r="B720" s="22"/>
      <c r="C720" s="22"/>
      <c r="D720" s="18"/>
      <c r="E720" s="24"/>
      <c r="F720" s="13"/>
      <c r="G720" s="13"/>
      <c r="H720" s="7"/>
      <c r="I720" s="13"/>
      <c r="J720" s="9"/>
      <c r="K720" s="10"/>
      <c r="L720" s="10"/>
      <c r="M720" s="11"/>
      <c r="N720" s="10"/>
      <c r="O720" s="42"/>
      <c r="P720" s="10"/>
    </row>
    <row r="721" spans="1:16" x14ac:dyDescent="0.25">
      <c r="A721" s="5"/>
      <c r="B721" s="22"/>
      <c r="C721" s="22"/>
      <c r="D721" s="18"/>
      <c r="E721" s="24"/>
      <c r="F721" s="13"/>
      <c r="G721" s="13"/>
      <c r="H721" s="7"/>
      <c r="I721" s="13"/>
      <c r="J721" s="9"/>
      <c r="K721" s="10"/>
      <c r="L721" s="10"/>
      <c r="M721" s="11"/>
      <c r="N721" s="10"/>
      <c r="O721" s="42"/>
      <c r="P721" s="10"/>
    </row>
    <row r="722" spans="1:16" x14ac:dyDescent="0.25">
      <c r="A722" s="5"/>
      <c r="B722" s="22"/>
      <c r="C722" s="22"/>
      <c r="D722" s="18"/>
      <c r="E722" s="24"/>
      <c r="F722" s="13"/>
      <c r="G722" s="13"/>
      <c r="H722" s="7"/>
      <c r="I722" s="13"/>
      <c r="J722" s="9"/>
      <c r="K722" s="10"/>
      <c r="L722" s="10"/>
      <c r="M722" s="11"/>
      <c r="N722" s="10"/>
      <c r="O722" s="42"/>
      <c r="P722" s="10"/>
    </row>
    <row r="723" spans="1:16" x14ac:dyDescent="0.25">
      <c r="A723" s="5"/>
      <c r="B723" s="22"/>
      <c r="C723" s="22"/>
      <c r="D723" s="18"/>
      <c r="E723" s="24"/>
      <c r="F723" s="13"/>
      <c r="G723" s="13"/>
      <c r="H723" s="7"/>
      <c r="I723" s="13"/>
      <c r="J723" s="9"/>
      <c r="K723" s="10"/>
      <c r="L723" s="10"/>
      <c r="M723" s="11"/>
      <c r="N723" s="10"/>
      <c r="O723" s="42"/>
      <c r="P723" s="10"/>
    </row>
    <row r="724" spans="1:16" x14ac:dyDescent="0.25">
      <c r="A724" s="5"/>
      <c r="B724" s="22"/>
      <c r="C724" s="22"/>
      <c r="D724" s="18"/>
      <c r="E724" s="24"/>
      <c r="F724" s="13"/>
      <c r="G724" s="13"/>
      <c r="H724" s="7"/>
      <c r="I724" s="13"/>
      <c r="J724" s="9"/>
      <c r="K724" s="10"/>
      <c r="L724" s="10"/>
      <c r="M724" s="11"/>
      <c r="N724" s="10"/>
      <c r="O724" s="42"/>
      <c r="P724" s="10"/>
    </row>
    <row r="725" spans="1:16" x14ac:dyDescent="0.25">
      <c r="A725" s="5"/>
      <c r="B725" s="22"/>
      <c r="C725" s="22"/>
      <c r="D725" s="18"/>
      <c r="E725" s="24"/>
      <c r="F725" s="13"/>
      <c r="G725" s="13"/>
      <c r="H725" s="7"/>
      <c r="I725" s="13"/>
      <c r="J725" s="9"/>
      <c r="K725" s="10"/>
      <c r="L725" s="10"/>
      <c r="M725" s="11"/>
      <c r="N725" s="10"/>
      <c r="O725" s="42"/>
      <c r="P725" s="10"/>
    </row>
    <row r="726" spans="1:16" x14ac:dyDescent="0.25">
      <c r="A726" s="5"/>
      <c r="B726" s="22"/>
      <c r="C726" s="22"/>
      <c r="D726" s="18"/>
      <c r="E726" s="24"/>
      <c r="F726" s="13"/>
      <c r="G726" s="13"/>
      <c r="H726" s="7"/>
      <c r="I726" s="13"/>
      <c r="J726" s="9"/>
      <c r="K726" s="10"/>
      <c r="L726" s="10"/>
      <c r="M726" s="11"/>
      <c r="N726" s="10"/>
      <c r="O726" s="42"/>
      <c r="P726" s="10"/>
    </row>
    <row r="727" spans="1:16" x14ac:dyDescent="0.25">
      <c r="A727" s="5"/>
      <c r="B727" s="22"/>
      <c r="C727" s="22"/>
      <c r="D727" s="18"/>
      <c r="E727" s="24"/>
      <c r="F727" s="13"/>
      <c r="G727" s="13"/>
      <c r="H727" s="7"/>
      <c r="I727" s="13"/>
      <c r="J727" s="9"/>
      <c r="K727" s="10"/>
      <c r="L727" s="10"/>
      <c r="M727" s="11"/>
      <c r="N727" s="10"/>
      <c r="O727" s="42"/>
      <c r="P727" s="10"/>
    </row>
    <row r="728" spans="1:16" x14ac:dyDescent="0.25">
      <c r="A728" s="5"/>
      <c r="B728" s="22"/>
      <c r="C728" s="22"/>
      <c r="D728" s="18"/>
      <c r="E728" s="24"/>
      <c r="F728" s="13"/>
      <c r="G728" s="13"/>
      <c r="H728" s="7"/>
      <c r="I728" s="13"/>
      <c r="J728" s="9"/>
      <c r="K728" s="10"/>
      <c r="L728" s="10"/>
      <c r="M728" s="11"/>
      <c r="N728" s="10"/>
      <c r="O728" s="42"/>
      <c r="P728" s="10"/>
    </row>
    <row r="729" spans="1:16" x14ac:dyDescent="0.25">
      <c r="A729" s="5"/>
      <c r="B729" s="22"/>
      <c r="C729" s="22"/>
      <c r="D729" s="18"/>
      <c r="E729" s="24"/>
      <c r="F729" s="13"/>
      <c r="G729" s="13"/>
      <c r="H729" s="7"/>
      <c r="I729" s="13"/>
      <c r="J729" s="9"/>
      <c r="K729" s="10"/>
      <c r="L729" s="10"/>
      <c r="M729" s="11"/>
      <c r="N729" s="10"/>
      <c r="O729" s="42"/>
      <c r="P729" s="10"/>
    </row>
    <row r="730" spans="1:16" x14ac:dyDescent="0.25">
      <c r="A730" s="5"/>
      <c r="B730" s="22"/>
      <c r="C730" s="22"/>
      <c r="D730" s="18"/>
      <c r="E730" s="24"/>
      <c r="F730" s="13"/>
      <c r="G730" s="13"/>
      <c r="H730" s="7"/>
      <c r="I730" s="13"/>
      <c r="J730" s="9"/>
      <c r="K730" s="10"/>
      <c r="L730" s="10"/>
      <c r="M730" s="11"/>
      <c r="N730" s="10"/>
      <c r="O730" s="42"/>
      <c r="P730" s="10"/>
    </row>
    <row r="731" spans="1:16" x14ac:dyDescent="0.25">
      <c r="A731" s="5"/>
      <c r="B731" s="22"/>
      <c r="C731" s="22"/>
      <c r="D731" s="18"/>
      <c r="E731" s="24"/>
      <c r="F731" s="13"/>
      <c r="G731" s="13"/>
      <c r="H731" s="7"/>
      <c r="I731" s="13"/>
      <c r="J731" s="9"/>
      <c r="K731" s="10"/>
      <c r="L731" s="10"/>
      <c r="M731" s="11"/>
      <c r="N731" s="10"/>
      <c r="O731" s="42"/>
      <c r="P731" s="10"/>
    </row>
    <row r="732" spans="1:16" x14ac:dyDescent="0.25">
      <c r="A732" s="5"/>
      <c r="B732" s="22"/>
      <c r="C732" s="22"/>
      <c r="D732" s="18"/>
      <c r="E732" s="24"/>
      <c r="F732" s="13"/>
      <c r="G732" s="13"/>
      <c r="H732" s="7"/>
      <c r="I732" s="13"/>
      <c r="J732" s="9"/>
      <c r="K732" s="10"/>
      <c r="L732" s="10"/>
      <c r="M732" s="11"/>
      <c r="N732" s="10"/>
      <c r="O732" s="42"/>
      <c r="P732" s="10"/>
    </row>
    <row r="733" spans="1:16" x14ac:dyDescent="0.25">
      <c r="A733" s="5"/>
      <c r="B733" s="22"/>
      <c r="C733" s="22"/>
      <c r="D733" s="18"/>
      <c r="E733" s="24"/>
      <c r="F733" s="13"/>
      <c r="G733" s="13"/>
      <c r="H733" s="7"/>
      <c r="I733" s="13"/>
      <c r="J733" s="9"/>
      <c r="K733" s="10"/>
      <c r="L733" s="10"/>
      <c r="M733" s="11"/>
      <c r="N733" s="10"/>
      <c r="O733" s="42"/>
      <c r="P733" s="10"/>
    </row>
    <row r="734" spans="1:16" x14ac:dyDescent="0.25">
      <c r="A734" s="5"/>
      <c r="B734" s="22"/>
      <c r="C734" s="22"/>
      <c r="D734" s="18"/>
      <c r="E734" s="24"/>
      <c r="F734" s="13"/>
      <c r="G734" s="13"/>
      <c r="H734" s="7"/>
      <c r="I734" s="13"/>
      <c r="J734" s="9"/>
      <c r="K734" s="10"/>
      <c r="L734" s="10"/>
      <c r="M734" s="11"/>
      <c r="N734" s="10"/>
      <c r="O734" s="42"/>
      <c r="P734" s="10"/>
    </row>
    <row r="735" spans="1:16" x14ac:dyDescent="0.25">
      <c r="A735" s="5"/>
      <c r="B735" s="22"/>
      <c r="C735" s="22"/>
      <c r="D735" s="18"/>
      <c r="E735" s="24"/>
      <c r="F735" s="13"/>
      <c r="G735" s="13"/>
      <c r="H735" s="7"/>
      <c r="I735" s="13"/>
      <c r="J735" s="9"/>
      <c r="K735" s="10"/>
      <c r="L735" s="10"/>
      <c r="M735" s="11"/>
      <c r="N735" s="10"/>
      <c r="O735" s="42"/>
      <c r="P735" s="10"/>
    </row>
    <row r="736" spans="1:16" x14ac:dyDescent="0.25">
      <c r="A736" s="5"/>
      <c r="B736" s="22"/>
      <c r="C736" s="22"/>
      <c r="D736" s="18"/>
      <c r="E736" s="24"/>
      <c r="F736" s="13"/>
      <c r="G736" s="13"/>
      <c r="H736" s="7"/>
      <c r="I736" s="13"/>
      <c r="J736" s="9"/>
      <c r="K736" s="10"/>
      <c r="L736" s="10"/>
      <c r="M736" s="11"/>
      <c r="N736" s="10"/>
      <c r="O736" s="42"/>
      <c r="P736" s="10"/>
    </row>
    <row r="737" spans="1:16" x14ac:dyDescent="0.25">
      <c r="A737" s="5"/>
      <c r="B737" s="22"/>
      <c r="C737" s="22"/>
      <c r="D737" s="18"/>
      <c r="E737" s="24"/>
      <c r="F737" s="13"/>
      <c r="G737" s="13"/>
      <c r="H737" s="7"/>
      <c r="I737" s="13"/>
      <c r="J737" s="9"/>
      <c r="K737" s="10"/>
      <c r="L737" s="10"/>
      <c r="M737" s="11"/>
      <c r="N737" s="10"/>
      <c r="O737" s="42"/>
      <c r="P737" s="10"/>
    </row>
    <row r="738" spans="1:16" x14ac:dyDescent="0.25">
      <c r="A738" s="5"/>
      <c r="B738" s="22"/>
      <c r="C738" s="22"/>
      <c r="D738" s="18"/>
      <c r="E738" s="24"/>
      <c r="F738" s="13"/>
      <c r="G738" s="13"/>
      <c r="H738" s="7"/>
      <c r="I738" s="13"/>
      <c r="J738" s="9"/>
      <c r="K738" s="10"/>
      <c r="L738" s="10"/>
      <c r="M738" s="11"/>
      <c r="N738" s="10"/>
      <c r="O738" s="42"/>
      <c r="P738" s="10"/>
    </row>
    <row r="739" spans="1:16" x14ac:dyDescent="0.25">
      <c r="A739" s="5"/>
      <c r="B739" s="22"/>
      <c r="C739" s="22"/>
      <c r="D739" s="18"/>
      <c r="E739" s="24"/>
      <c r="F739" s="13"/>
      <c r="G739" s="13"/>
      <c r="H739" s="7"/>
      <c r="I739" s="13"/>
      <c r="J739" s="9"/>
      <c r="K739" s="10"/>
      <c r="L739" s="10"/>
      <c r="M739" s="11"/>
      <c r="N739" s="10"/>
      <c r="O739" s="42"/>
      <c r="P739" s="10"/>
    </row>
    <row r="740" spans="1:16" x14ac:dyDescent="0.25">
      <c r="A740" s="5"/>
      <c r="B740" s="22"/>
      <c r="C740" s="22"/>
      <c r="D740" s="18"/>
      <c r="E740" s="24"/>
      <c r="F740" s="13"/>
      <c r="G740" s="13"/>
      <c r="H740" s="7"/>
      <c r="I740" s="13"/>
      <c r="J740" s="9"/>
      <c r="K740" s="10"/>
      <c r="L740" s="10"/>
      <c r="M740" s="11"/>
      <c r="N740" s="10"/>
      <c r="O740" s="42"/>
      <c r="P740" s="10"/>
    </row>
    <row r="741" spans="1:16" x14ac:dyDescent="0.25">
      <c r="A741" s="5"/>
      <c r="B741" s="22"/>
      <c r="C741" s="22"/>
      <c r="D741" s="18"/>
      <c r="E741" s="24"/>
      <c r="F741" s="13"/>
      <c r="G741" s="13"/>
      <c r="H741" s="7"/>
      <c r="I741" s="13"/>
      <c r="J741" s="9"/>
      <c r="K741" s="10"/>
      <c r="L741" s="10"/>
      <c r="M741" s="11"/>
      <c r="N741" s="10"/>
      <c r="O741" s="42"/>
      <c r="P741" s="10"/>
    </row>
    <row r="742" spans="1:16" x14ac:dyDescent="0.25">
      <c r="A742" s="5"/>
      <c r="B742" s="22"/>
      <c r="C742" s="22"/>
      <c r="D742" s="18"/>
      <c r="E742" s="24"/>
      <c r="F742" s="13"/>
      <c r="G742" s="13"/>
      <c r="H742" s="7"/>
      <c r="I742" s="13"/>
      <c r="J742" s="9"/>
      <c r="K742" s="10"/>
      <c r="L742" s="10"/>
      <c r="M742" s="11"/>
      <c r="N742" s="10"/>
      <c r="O742" s="42"/>
      <c r="P742" s="10"/>
    </row>
    <row r="743" spans="1:16" x14ac:dyDescent="0.25">
      <c r="A743" s="5"/>
      <c r="B743" s="22"/>
      <c r="C743" s="22"/>
      <c r="D743" s="18"/>
      <c r="E743" s="24"/>
      <c r="F743" s="13"/>
      <c r="G743" s="13"/>
      <c r="H743" s="7"/>
      <c r="I743" s="13"/>
      <c r="J743" s="9"/>
      <c r="K743" s="10"/>
      <c r="L743" s="10"/>
      <c r="M743" s="11"/>
      <c r="N743" s="10"/>
      <c r="O743" s="42"/>
      <c r="P743" s="10"/>
    </row>
    <row r="744" spans="1:16" x14ac:dyDescent="0.25">
      <c r="A744" s="5"/>
      <c r="B744" s="22"/>
      <c r="C744" s="22"/>
      <c r="D744" s="18"/>
      <c r="E744" s="24"/>
      <c r="F744" s="13"/>
      <c r="G744" s="13"/>
      <c r="H744" s="7"/>
      <c r="I744" s="13"/>
      <c r="J744" s="9"/>
      <c r="K744" s="10"/>
      <c r="L744" s="10"/>
      <c r="M744" s="11"/>
      <c r="N744" s="10"/>
      <c r="O744" s="42"/>
      <c r="P744" s="10"/>
    </row>
    <row r="745" spans="1:16" x14ac:dyDescent="0.25">
      <c r="A745" s="5"/>
      <c r="B745" s="22"/>
      <c r="C745" s="22"/>
      <c r="D745" s="18"/>
      <c r="E745" s="24"/>
      <c r="F745" s="13"/>
      <c r="G745" s="13"/>
      <c r="H745" s="7"/>
      <c r="I745" s="13"/>
      <c r="J745" s="9"/>
      <c r="K745" s="10"/>
      <c r="L745" s="10"/>
      <c r="M745" s="11"/>
      <c r="N745" s="10"/>
      <c r="O745" s="42"/>
      <c r="P745" s="10"/>
    </row>
    <row r="746" spans="1:16" x14ac:dyDescent="0.25">
      <c r="A746" s="5"/>
      <c r="B746" s="22"/>
      <c r="C746" s="22"/>
      <c r="D746" s="18"/>
      <c r="E746" s="24"/>
      <c r="F746" s="13"/>
      <c r="G746" s="13"/>
      <c r="H746" s="7"/>
      <c r="I746" s="13"/>
      <c r="J746" s="9"/>
      <c r="K746" s="10"/>
      <c r="L746" s="10"/>
      <c r="M746" s="11"/>
      <c r="N746" s="10"/>
      <c r="O746" s="42"/>
      <c r="P746" s="10"/>
    </row>
    <row r="747" spans="1:16" x14ac:dyDescent="0.25">
      <c r="A747" s="5"/>
      <c r="B747" s="22"/>
      <c r="C747" s="22"/>
      <c r="D747" s="18"/>
      <c r="E747" s="24"/>
      <c r="F747" s="13"/>
      <c r="G747" s="13"/>
      <c r="H747" s="7"/>
      <c r="I747" s="13"/>
      <c r="J747" s="9"/>
      <c r="K747" s="10"/>
      <c r="L747" s="10"/>
      <c r="M747" s="11"/>
      <c r="N747" s="10"/>
      <c r="O747" s="42"/>
      <c r="P747" s="10"/>
    </row>
    <row r="748" spans="1:16" x14ac:dyDescent="0.25">
      <c r="A748" s="5"/>
      <c r="B748" s="22"/>
      <c r="C748" s="22"/>
      <c r="D748" s="18"/>
      <c r="E748" s="24"/>
      <c r="F748" s="13"/>
      <c r="G748" s="13"/>
      <c r="H748" s="7"/>
      <c r="I748" s="13"/>
      <c r="J748" s="9"/>
      <c r="K748" s="10"/>
      <c r="L748" s="10"/>
      <c r="M748" s="11"/>
      <c r="N748" s="10"/>
      <c r="O748" s="42"/>
      <c r="P748" s="10"/>
    </row>
    <row r="749" spans="1:16" x14ac:dyDescent="0.25">
      <c r="A749" s="5"/>
      <c r="B749" s="22"/>
      <c r="C749" s="22"/>
      <c r="D749" s="18"/>
      <c r="E749" s="24"/>
      <c r="F749" s="13"/>
      <c r="G749" s="13"/>
      <c r="H749" s="7"/>
      <c r="I749" s="13"/>
      <c r="J749" s="9"/>
      <c r="K749" s="10"/>
      <c r="L749" s="10"/>
      <c r="M749" s="11"/>
      <c r="N749" s="10"/>
      <c r="O749" s="42"/>
      <c r="P749" s="10"/>
    </row>
    <row r="750" spans="1:16" x14ac:dyDescent="0.25">
      <c r="A750" s="5"/>
      <c r="B750" s="22"/>
      <c r="C750" s="22"/>
      <c r="D750" s="18"/>
      <c r="E750" s="24"/>
      <c r="F750" s="13"/>
      <c r="G750" s="13"/>
      <c r="H750" s="7"/>
      <c r="I750" s="13"/>
      <c r="J750" s="9"/>
      <c r="K750" s="10"/>
      <c r="L750" s="10"/>
      <c r="M750" s="11"/>
      <c r="N750" s="10"/>
      <c r="O750" s="42"/>
      <c r="P750" s="10"/>
    </row>
    <row r="751" spans="1:16" x14ac:dyDescent="0.25">
      <c r="A751" s="5"/>
      <c r="B751" s="22"/>
      <c r="C751" s="22"/>
      <c r="D751" s="18"/>
      <c r="E751" s="24"/>
      <c r="F751" s="13"/>
      <c r="G751" s="13"/>
      <c r="H751" s="7"/>
      <c r="I751" s="13"/>
      <c r="J751" s="9"/>
      <c r="K751" s="10"/>
      <c r="L751" s="10"/>
      <c r="M751" s="11"/>
      <c r="N751" s="10"/>
      <c r="O751" s="42"/>
      <c r="P751" s="10"/>
    </row>
    <row r="752" spans="1:16" x14ac:dyDescent="0.25">
      <c r="A752" s="5"/>
      <c r="B752" s="22"/>
      <c r="C752" s="22"/>
      <c r="D752" s="18"/>
      <c r="E752" s="24"/>
      <c r="F752" s="13"/>
      <c r="G752" s="13"/>
      <c r="H752" s="7"/>
      <c r="I752" s="13"/>
      <c r="J752" s="9"/>
      <c r="K752" s="10"/>
      <c r="L752" s="10"/>
      <c r="M752" s="11"/>
      <c r="N752" s="10"/>
      <c r="O752" s="42"/>
      <c r="P752" s="10"/>
    </row>
    <row r="753" spans="1:16" x14ac:dyDescent="0.25">
      <c r="A753" s="5"/>
      <c r="B753" s="22"/>
      <c r="C753" s="22"/>
      <c r="D753" s="18"/>
      <c r="E753" s="24"/>
      <c r="F753" s="13"/>
      <c r="G753" s="13"/>
      <c r="H753" s="7"/>
      <c r="I753" s="13"/>
      <c r="J753" s="9"/>
      <c r="K753" s="10"/>
      <c r="L753" s="10"/>
      <c r="M753" s="11"/>
      <c r="N753" s="10"/>
      <c r="O753" s="42"/>
      <c r="P753" s="10"/>
    </row>
    <row r="754" spans="1:16" x14ac:dyDescent="0.25">
      <c r="A754" s="5"/>
      <c r="B754" s="22"/>
      <c r="C754" s="22"/>
      <c r="D754" s="18"/>
      <c r="E754" s="24"/>
      <c r="F754" s="13"/>
      <c r="G754" s="13"/>
      <c r="H754" s="7"/>
      <c r="I754" s="13"/>
      <c r="J754" s="9"/>
      <c r="K754" s="10"/>
      <c r="L754" s="10"/>
      <c r="M754" s="11"/>
      <c r="N754" s="10"/>
      <c r="O754" s="42"/>
      <c r="P754" s="10"/>
    </row>
    <row r="755" spans="1:16" x14ac:dyDescent="0.25">
      <c r="A755" s="5"/>
      <c r="B755" s="22"/>
      <c r="C755" s="22"/>
      <c r="D755" s="18"/>
      <c r="E755" s="24"/>
      <c r="F755" s="13"/>
      <c r="G755" s="13"/>
      <c r="H755" s="7"/>
      <c r="I755" s="13"/>
      <c r="J755" s="9"/>
      <c r="K755" s="10"/>
      <c r="L755" s="10"/>
      <c r="M755" s="11"/>
      <c r="N755" s="10"/>
      <c r="O755" s="42"/>
      <c r="P755" s="10"/>
    </row>
    <row r="756" spans="1:16" x14ac:dyDescent="0.25">
      <c r="A756" s="5"/>
      <c r="B756" s="22"/>
      <c r="C756" s="22"/>
      <c r="D756" s="19"/>
      <c r="E756" s="24"/>
      <c r="F756" s="13"/>
      <c r="G756" s="13"/>
      <c r="H756" s="7"/>
      <c r="I756" s="13"/>
      <c r="J756" s="9"/>
      <c r="K756" s="10"/>
      <c r="L756" s="10"/>
      <c r="M756" s="11"/>
      <c r="N756" s="10"/>
      <c r="O756" s="42"/>
      <c r="P756" s="10"/>
    </row>
    <row r="757" spans="1:16" x14ac:dyDescent="0.25">
      <c r="A757" s="5"/>
      <c r="B757" s="22"/>
      <c r="C757" s="22"/>
      <c r="D757" s="18"/>
      <c r="E757" s="24"/>
      <c r="F757" s="13"/>
      <c r="G757" s="13"/>
      <c r="H757" s="7"/>
      <c r="I757" s="13"/>
      <c r="J757" s="9"/>
      <c r="K757" s="10"/>
      <c r="L757" s="10"/>
      <c r="M757" s="11"/>
      <c r="N757" s="10"/>
      <c r="O757" s="42"/>
      <c r="P757" s="10"/>
    </row>
    <row r="758" spans="1:16" x14ac:dyDescent="0.25">
      <c r="A758" s="5"/>
      <c r="B758" s="22"/>
      <c r="C758" s="22"/>
      <c r="D758" s="18"/>
      <c r="E758" s="24"/>
      <c r="F758" s="13"/>
      <c r="G758" s="13"/>
      <c r="H758" s="7"/>
      <c r="I758" s="13"/>
      <c r="J758" s="9"/>
      <c r="K758" s="10"/>
      <c r="L758" s="10"/>
      <c r="M758" s="11"/>
      <c r="N758" s="10"/>
      <c r="O758" s="42"/>
      <c r="P758" s="10"/>
    </row>
    <row r="759" spans="1:16" x14ac:dyDescent="0.25">
      <c r="A759" s="5"/>
      <c r="B759" s="22"/>
      <c r="C759" s="22"/>
      <c r="D759" s="18"/>
      <c r="E759" s="24"/>
      <c r="F759" s="13"/>
      <c r="G759" s="13"/>
      <c r="H759" s="7"/>
      <c r="I759" s="13"/>
      <c r="J759" s="9"/>
      <c r="K759" s="10"/>
      <c r="L759" s="10"/>
      <c r="M759" s="11"/>
      <c r="N759" s="10"/>
      <c r="O759" s="42"/>
      <c r="P759" s="10"/>
    </row>
    <row r="760" spans="1:16" x14ac:dyDescent="0.25">
      <c r="A760" s="5"/>
      <c r="B760" s="22"/>
      <c r="C760" s="22"/>
      <c r="D760" s="18"/>
      <c r="E760" s="24"/>
      <c r="F760" s="13"/>
      <c r="G760" s="13"/>
      <c r="H760" s="7"/>
      <c r="I760" s="13"/>
      <c r="J760" s="9"/>
      <c r="K760" s="10"/>
      <c r="L760" s="10"/>
      <c r="M760" s="11"/>
      <c r="N760" s="10"/>
      <c r="O760" s="42"/>
      <c r="P760" s="10"/>
    </row>
    <row r="761" spans="1:16" x14ac:dyDescent="0.25">
      <c r="A761" s="5"/>
      <c r="B761" s="22"/>
      <c r="C761" s="22"/>
      <c r="D761" s="18"/>
      <c r="E761" s="24"/>
      <c r="F761" s="13"/>
      <c r="G761" s="13"/>
      <c r="H761" s="7"/>
      <c r="I761" s="13"/>
      <c r="J761" s="9"/>
      <c r="K761" s="10"/>
      <c r="L761" s="10"/>
      <c r="M761" s="11"/>
      <c r="N761" s="10"/>
      <c r="O761" s="42"/>
      <c r="P761" s="10"/>
    </row>
    <row r="762" spans="1:16" x14ac:dyDescent="0.25">
      <c r="A762" s="5"/>
      <c r="B762" s="22"/>
      <c r="C762" s="22"/>
      <c r="D762" s="18"/>
      <c r="E762" s="24"/>
      <c r="F762" s="13"/>
      <c r="G762" s="13"/>
      <c r="H762" s="7"/>
      <c r="I762" s="13"/>
      <c r="J762" s="9"/>
      <c r="K762" s="10"/>
      <c r="L762" s="10"/>
      <c r="M762" s="11"/>
      <c r="N762" s="10"/>
      <c r="O762" s="42"/>
      <c r="P762" s="10"/>
    </row>
    <row r="763" spans="1:16" x14ac:dyDescent="0.25">
      <c r="A763" s="5"/>
      <c r="B763" s="22"/>
      <c r="C763" s="22"/>
      <c r="D763" s="18"/>
      <c r="E763" s="24"/>
      <c r="F763" s="13"/>
      <c r="G763" s="13"/>
      <c r="H763" s="7"/>
      <c r="I763" s="13"/>
      <c r="J763" s="9"/>
      <c r="K763" s="10"/>
      <c r="L763" s="10"/>
      <c r="M763" s="11"/>
      <c r="N763" s="10"/>
      <c r="O763" s="42"/>
      <c r="P763" s="10"/>
    </row>
    <row r="764" spans="1:16" x14ac:dyDescent="0.25">
      <c r="A764" s="5"/>
      <c r="B764" s="22"/>
      <c r="C764" s="22"/>
      <c r="D764" s="18"/>
      <c r="E764" s="24"/>
      <c r="F764" s="13"/>
      <c r="G764" s="13"/>
      <c r="H764" s="7"/>
      <c r="I764" s="13"/>
      <c r="J764" s="9"/>
      <c r="K764" s="10"/>
      <c r="L764" s="10"/>
      <c r="M764" s="11"/>
      <c r="N764" s="10"/>
      <c r="O764" s="42"/>
      <c r="P764" s="10"/>
    </row>
    <row r="765" spans="1:16" x14ac:dyDescent="0.25">
      <c r="A765" s="5"/>
      <c r="B765" s="22"/>
      <c r="C765" s="22"/>
      <c r="D765" s="18"/>
      <c r="E765" s="24"/>
      <c r="F765" s="13"/>
      <c r="G765" s="13"/>
      <c r="H765" s="7"/>
      <c r="I765" s="13"/>
      <c r="J765" s="9"/>
      <c r="K765" s="10"/>
      <c r="L765" s="10"/>
      <c r="M765" s="11"/>
      <c r="N765" s="10"/>
      <c r="O765" s="42"/>
      <c r="P765" s="10"/>
    </row>
    <row r="766" spans="1:16" x14ac:dyDescent="0.25">
      <c r="A766" s="5"/>
      <c r="B766" s="22"/>
      <c r="C766" s="22"/>
      <c r="D766" s="18"/>
      <c r="E766" s="24"/>
      <c r="F766" s="13"/>
      <c r="G766" s="13"/>
      <c r="H766" s="7"/>
      <c r="I766" s="13"/>
      <c r="J766" s="9"/>
      <c r="K766" s="10"/>
      <c r="L766" s="10"/>
      <c r="M766" s="11"/>
      <c r="N766" s="10"/>
      <c r="O766" s="42"/>
      <c r="P766" s="10"/>
    </row>
    <row r="767" spans="1:16" x14ac:dyDescent="0.25">
      <c r="A767" s="5"/>
      <c r="B767" s="22"/>
      <c r="C767" s="22"/>
      <c r="D767" s="18"/>
      <c r="E767" s="24"/>
      <c r="F767" s="13"/>
      <c r="G767" s="13"/>
      <c r="H767" s="7"/>
      <c r="I767" s="13"/>
      <c r="J767" s="9"/>
      <c r="K767" s="10"/>
      <c r="L767" s="10"/>
      <c r="M767" s="11"/>
      <c r="N767" s="10"/>
      <c r="O767" s="42"/>
      <c r="P767" s="10"/>
    </row>
    <row r="768" spans="1:16" x14ac:dyDescent="0.25">
      <c r="A768" s="5"/>
      <c r="B768" s="22"/>
      <c r="C768" s="22"/>
      <c r="D768" s="18"/>
      <c r="E768" s="24"/>
      <c r="F768" s="13"/>
      <c r="G768" s="13"/>
      <c r="H768" s="7"/>
      <c r="I768" s="13"/>
      <c r="J768" s="9"/>
      <c r="K768" s="10"/>
      <c r="L768" s="10"/>
      <c r="M768" s="11"/>
      <c r="N768" s="10"/>
      <c r="O768" s="42"/>
      <c r="P768" s="10"/>
    </row>
    <row r="769" spans="1:16" x14ac:dyDescent="0.25">
      <c r="A769" s="5"/>
      <c r="B769" s="22"/>
      <c r="C769" s="22"/>
      <c r="D769" s="18"/>
      <c r="E769" s="24"/>
      <c r="F769" s="13"/>
      <c r="G769" s="13"/>
      <c r="H769" s="7"/>
      <c r="I769" s="13"/>
      <c r="J769" s="9"/>
      <c r="K769" s="10"/>
      <c r="L769" s="10"/>
      <c r="M769" s="11"/>
      <c r="N769" s="10"/>
      <c r="O769" s="42"/>
      <c r="P769" s="10"/>
    </row>
    <row r="770" spans="1:16" x14ac:dyDescent="0.25">
      <c r="A770" s="5"/>
      <c r="B770" s="22"/>
      <c r="C770" s="22"/>
      <c r="D770" s="18"/>
      <c r="E770" s="24"/>
      <c r="F770" s="13"/>
      <c r="G770" s="13"/>
      <c r="H770" s="7"/>
      <c r="I770" s="13"/>
      <c r="J770" s="9"/>
      <c r="K770" s="10"/>
      <c r="L770" s="10"/>
      <c r="M770" s="11"/>
      <c r="N770" s="10"/>
      <c r="O770" s="42"/>
      <c r="P770" s="10"/>
    </row>
    <row r="771" spans="1:16" x14ac:dyDescent="0.25">
      <c r="A771" s="5"/>
      <c r="B771" s="22"/>
      <c r="C771" s="22"/>
      <c r="D771" s="18"/>
      <c r="E771" s="24"/>
      <c r="F771" s="13"/>
      <c r="G771" s="13"/>
      <c r="H771" s="7"/>
      <c r="I771" s="13"/>
      <c r="J771" s="9"/>
      <c r="K771" s="10"/>
      <c r="L771" s="10"/>
      <c r="M771" s="11"/>
      <c r="N771" s="10"/>
      <c r="O771" s="42"/>
      <c r="P771" s="10"/>
    </row>
    <row r="772" spans="1:16" x14ac:dyDescent="0.25">
      <c r="A772" s="5"/>
      <c r="B772" s="22"/>
      <c r="C772" s="22"/>
      <c r="D772" s="18"/>
      <c r="E772" s="24"/>
      <c r="F772" s="13"/>
      <c r="G772" s="13"/>
      <c r="H772" s="7"/>
      <c r="I772" s="13"/>
      <c r="J772" s="9"/>
      <c r="K772" s="10"/>
      <c r="L772" s="10"/>
      <c r="M772" s="11"/>
      <c r="N772" s="10"/>
      <c r="O772" s="42"/>
      <c r="P772" s="10"/>
    </row>
    <row r="773" spans="1:16" x14ac:dyDescent="0.25">
      <c r="A773" s="5"/>
      <c r="B773" s="22"/>
      <c r="C773" s="22"/>
      <c r="D773" s="18"/>
      <c r="E773" s="24"/>
      <c r="F773" s="13"/>
      <c r="G773" s="13"/>
      <c r="H773" s="7"/>
      <c r="I773" s="13"/>
      <c r="J773" s="9"/>
      <c r="K773" s="10"/>
      <c r="L773" s="10"/>
      <c r="M773" s="11"/>
      <c r="N773" s="10"/>
      <c r="O773" s="42"/>
      <c r="P773" s="10"/>
    </row>
    <row r="774" spans="1:16" x14ac:dyDescent="0.25">
      <c r="A774" s="5"/>
      <c r="B774" s="22"/>
      <c r="C774" s="22"/>
      <c r="D774" s="18"/>
      <c r="E774" s="24"/>
      <c r="F774" s="13"/>
      <c r="G774" s="13"/>
      <c r="H774" s="7"/>
      <c r="I774" s="13"/>
      <c r="J774" s="9"/>
      <c r="K774" s="10"/>
      <c r="L774" s="10"/>
      <c r="M774" s="11"/>
      <c r="N774" s="10"/>
      <c r="O774" s="42"/>
      <c r="P774" s="10"/>
    </row>
    <row r="775" spans="1:16" x14ac:dyDescent="0.25">
      <c r="A775" s="5"/>
      <c r="B775" s="22"/>
      <c r="C775" s="22"/>
      <c r="D775" s="18"/>
      <c r="E775" s="24"/>
      <c r="F775" s="13"/>
      <c r="G775" s="13"/>
      <c r="H775" s="7"/>
      <c r="I775" s="13"/>
      <c r="J775" s="9"/>
      <c r="K775" s="10"/>
      <c r="L775" s="10"/>
      <c r="M775" s="11"/>
      <c r="N775" s="10"/>
      <c r="O775" s="42"/>
      <c r="P775" s="10"/>
    </row>
    <row r="776" spans="1:16" x14ac:dyDescent="0.25">
      <c r="A776" s="5"/>
      <c r="B776" s="22"/>
      <c r="C776" s="22"/>
      <c r="D776" s="18"/>
      <c r="E776" s="24"/>
      <c r="F776" s="13"/>
      <c r="G776" s="13"/>
      <c r="H776" s="7"/>
      <c r="I776" s="13"/>
      <c r="J776" s="9"/>
      <c r="K776" s="10"/>
      <c r="L776" s="10"/>
      <c r="M776" s="11"/>
      <c r="N776" s="10"/>
      <c r="O776" s="42"/>
      <c r="P776" s="10"/>
    </row>
    <row r="777" spans="1:16" x14ac:dyDescent="0.25">
      <c r="A777" s="5"/>
      <c r="B777" s="22"/>
      <c r="C777" s="22"/>
      <c r="D777" s="18"/>
      <c r="E777" s="24"/>
      <c r="F777" s="13"/>
      <c r="G777" s="13"/>
      <c r="H777" s="7"/>
      <c r="I777" s="13"/>
      <c r="J777" s="9"/>
      <c r="K777" s="10"/>
      <c r="L777" s="10"/>
      <c r="M777" s="11"/>
      <c r="N777" s="10"/>
      <c r="O777" s="42"/>
      <c r="P777" s="10"/>
    </row>
    <row r="778" spans="1:16" x14ac:dyDescent="0.25">
      <c r="A778" s="5"/>
      <c r="B778" s="22"/>
      <c r="C778" s="22"/>
      <c r="D778" s="18"/>
      <c r="E778" s="24"/>
      <c r="F778" s="13"/>
      <c r="G778" s="13"/>
      <c r="H778" s="7"/>
      <c r="I778" s="13"/>
      <c r="J778" s="9"/>
      <c r="K778" s="10"/>
      <c r="L778" s="10"/>
      <c r="M778" s="11"/>
      <c r="N778" s="10"/>
      <c r="O778" s="42"/>
      <c r="P778" s="10"/>
    </row>
    <row r="779" spans="1:16" x14ac:dyDescent="0.25">
      <c r="A779" s="5"/>
      <c r="B779" s="22"/>
      <c r="C779" s="22"/>
      <c r="D779" s="18"/>
      <c r="E779" s="24"/>
      <c r="F779" s="13"/>
      <c r="G779" s="13"/>
      <c r="H779" s="7"/>
      <c r="I779" s="13"/>
      <c r="J779" s="9"/>
      <c r="K779" s="10"/>
      <c r="L779" s="10"/>
      <c r="M779" s="11"/>
      <c r="N779" s="10"/>
      <c r="O779" s="42"/>
      <c r="P779" s="10"/>
    </row>
    <row r="780" spans="1:16" x14ac:dyDescent="0.25">
      <c r="A780" s="5"/>
      <c r="B780" s="22"/>
      <c r="C780" s="22"/>
      <c r="D780" s="18"/>
      <c r="E780" s="24"/>
      <c r="F780" s="13"/>
      <c r="G780" s="13"/>
      <c r="H780" s="7"/>
      <c r="I780" s="13"/>
      <c r="J780" s="9"/>
      <c r="K780" s="10"/>
      <c r="L780" s="10"/>
      <c r="M780" s="11"/>
      <c r="N780" s="10"/>
      <c r="O780" s="42"/>
      <c r="P780" s="10"/>
    </row>
    <row r="781" spans="1:16" x14ac:dyDescent="0.25">
      <c r="A781" s="5"/>
      <c r="B781" s="22"/>
      <c r="C781" s="22"/>
      <c r="D781" s="18"/>
      <c r="E781" s="24"/>
      <c r="F781" s="13"/>
      <c r="G781" s="13"/>
      <c r="H781" s="7"/>
      <c r="I781" s="13"/>
      <c r="J781" s="9"/>
      <c r="K781" s="10"/>
      <c r="L781" s="10"/>
      <c r="M781" s="11"/>
      <c r="N781" s="10"/>
      <c r="O781" s="42"/>
      <c r="P781" s="10"/>
    </row>
    <row r="782" spans="1:16" x14ac:dyDescent="0.25">
      <c r="A782" s="5"/>
      <c r="B782" s="22"/>
      <c r="C782" s="22"/>
      <c r="D782" s="18"/>
      <c r="E782" s="24"/>
      <c r="F782" s="13"/>
      <c r="G782" s="13"/>
      <c r="H782" s="7"/>
      <c r="I782" s="13"/>
      <c r="J782" s="9"/>
      <c r="K782" s="10"/>
      <c r="L782" s="10"/>
      <c r="M782" s="11"/>
      <c r="N782" s="10"/>
      <c r="O782" s="42"/>
      <c r="P782" s="10"/>
    </row>
    <row r="783" spans="1:16" x14ac:dyDescent="0.25">
      <c r="A783" s="5"/>
      <c r="B783" s="22"/>
      <c r="C783" s="22"/>
      <c r="D783" s="18"/>
      <c r="E783" s="24"/>
      <c r="F783" s="13"/>
      <c r="G783" s="13"/>
      <c r="H783" s="7"/>
      <c r="I783" s="13"/>
      <c r="J783" s="9"/>
      <c r="K783" s="10"/>
      <c r="L783" s="10"/>
      <c r="M783" s="11"/>
      <c r="N783" s="10"/>
      <c r="O783" s="42"/>
      <c r="P783" s="10"/>
    </row>
    <row r="784" spans="1:16" x14ac:dyDescent="0.25">
      <c r="A784" s="5"/>
      <c r="B784" s="22"/>
      <c r="C784" s="22"/>
      <c r="D784" s="18"/>
      <c r="E784" s="24"/>
      <c r="F784" s="13"/>
      <c r="G784" s="13"/>
      <c r="H784" s="7"/>
      <c r="I784" s="13"/>
      <c r="J784" s="9"/>
      <c r="K784" s="10"/>
      <c r="L784" s="10"/>
      <c r="M784" s="11"/>
      <c r="N784" s="10"/>
      <c r="O784" s="42"/>
      <c r="P784" s="10"/>
    </row>
    <row r="785" spans="1:16" x14ac:dyDescent="0.25">
      <c r="A785" s="5"/>
      <c r="B785" s="22"/>
      <c r="C785" s="22"/>
      <c r="D785" s="18"/>
      <c r="E785" s="24"/>
      <c r="F785" s="13"/>
      <c r="G785" s="13"/>
      <c r="H785" s="7"/>
      <c r="I785" s="13"/>
      <c r="J785" s="9"/>
      <c r="K785" s="10"/>
      <c r="L785" s="10"/>
      <c r="M785" s="11"/>
      <c r="N785" s="10"/>
      <c r="O785" s="42"/>
      <c r="P785" s="10"/>
    </row>
    <row r="786" spans="1:16" x14ac:dyDescent="0.25">
      <c r="A786" s="5"/>
      <c r="B786" s="22"/>
      <c r="C786" s="22"/>
      <c r="D786" s="18"/>
      <c r="E786" s="24"/>
      <c r="F786" s="13"/>
      <c r="G786" s="13"/>
      <c r="H786" s="7"/>
      <c r="I786" s="13"/>
      <c r="J786" s="9"/>
      <c r="K786" s="10"/>
      <c r="L786" s="10"/>
      <c r="M786" s="11"/>
      <c r="N786" s="10"/>
      <c r="O786" s="42"/>
      <c r="P786" s="10"/>
    </row>
    <row r="787" spans="1:16" x14ac:dyDescent="0.25">
      <c r="A787" s="5"/>
      <c r="B787" s="22"/>
      <c r="C787" s="22"/>
      <c r="D787" s="18"/>
      <c r="E787" s="24"/>
      <c r="F787" s="13"/>
      <c r="G787" s="13"/>
      <c r="H787" s="7"/>
      <c r="I787" s="13"/>
      <c r="J787" s="9"/>
      <c r="K787" s="10"/>
      <c r="L787" s="10"/>
      <c r="M787" s="11"/>
      <c r="N787" s="10"/>
      <c r="O787" s="42"/>
      <c r="P787" s="10"/>
    </row>
    <row r="788" spans="1:16" x14ac:dyDescent="0.25">
      <c r="A788" s="5"/>
      <c r="B788" s="22"/>
      <c r="C788" s="22"/>
      <c r="D788" s="18"/>
      <c r="E788" s="24"/>
      <c r="F788" s="13"/>
      <c r="G788" s="13"/>
      <c r="H788" s="7"/>
      <c r="I788" s="13"/>
      <c r="J788" s="9"/>
      <c r="K788" s="10"/>
      <c r="L788" s="10"/>
      <c r="M788" s="11"/>
      <c r="N788" s="10"/>
      <c r="O788" s="42"/>
      <c r="P788" s="10"/>
    </row>
    <row r="789" spans="1:16" x14ac:dyDescent="0.25">
      <c r="A789" s="5"/>
      <c r="B789" s="22"/>
      <c r="C789" s="22"/>
      <c r="D789" s="18"/>
      <c r="E789" s="24"/>
      <c r="F789" s="13"/>
      <c r="G789" s="13"/>
      <c r="H789" s="7"/>
      <c r="I789" s="13"/>
      <c r="J789" s="9"/>
      <c r="K789" s="10"/>
      <c r="L789" s="10"/>
      <c r="M789" s="11"/>
      <c r="N789" s="10"/>
      <c r="O789" s="42"/>
      <c r="P789" s="10"/>
    </row>
    <row r="790" spans="1:16" x14ac:dyDescent="0.25">
      <c r="A790" s="5"/>
      <c r="B790" s="22"/>
      <c r="C790" s="22"/>
      <c r="D790" s="18"/>
      <c r="E790" s="24"/>
      <c r="F790" s="13"/>
      <c r="G790" s="13"/>
      <c r="H790" s="7"/>
      <c r="I790" s="13"/>
      <c r="J790" s="9"/>
      <c r="K790" s="10"/>
      <c r="L790" s="10"/>
      <c r="M790" s="11"/>
      <c r="N790" s="10"/>
      <c r="O790" s="42"/>
      <c r="P790" s="10"/>
    </row>
    <row r="791" spans="1:16" x14ac:dyDescent="0.25">
      <c r="A791" s="5"/>
      <c r="B791" s="22"/>
      <c r="C791" s="22"/>
      <c r="D791" s="18"/>
      <c r="E791" s="24"/>
      <c r="F791" s="13"/>
      <c r="G791" s="13"/>
      <c r="H791" s="7"/>
      <c r="I791" s="13"/>
      <c r="J791" s="9"/>
      <c r="K791" s="10"/>
      <c r="L791" s="10"/>
      <c r="M791" s="11"/>
      <c r="N791" s="10"/>
      <c r="O791" s="42"/>
      <c r="P791" s="10"/>
    </row>
    <row r="792" spans="1:16" x14ac:dyDescent="0.25">
      <c r="A792" s="5"/>
      <c r="B792" s="22"/>
      <c r="C792" s="22"/>
      <c r="D792" s="18"/>
      <c r="E792" s="24"/>
      <c r="F792" s="13"/>
      <c r="G792" s="13"/>
      <c r="H792" s="7"/>
      <c r="I792" s="13"/>
      <c r="J792" s="9"/>
      <c r="K792" s="10"/>
      <c r="L792" s="10"/>
      <c r="M792" s="11"/>
      <c r="N792" s="10"/>
      <c r="O792" s="42"/>
      <c r="P792" s="10"/>
    </row>
    <row r="793" spans="1:16" x14ac:dyDescent="0.25">
      <c r="A793" s="5"/>
      <c r="B793" s="22"/>
      <c r="C793" s="22"/>
      <c r="D793" s="18"/>
      <c r="E793" s="24"/>
      <c r="F793" s="13"/>
      <c r="G793" s="13"/>
      <c r="H793" s="7"/>
      <c r="I793" s="13"/>
      <c r="J793" s="9"/>
      <c r="K793" s="10"/>
      <c r="L793" s="10"/>
      <c r="M793" s="11"/>
      <c r="N793" s="10"/>
      <c r="O793" s="42"/>
      <c r="P793" s="10"/>
    </row>
    <row r="794" spans="1:16" x14ac:dyDescent="0.25">
      <c r="A794" s="5"/>
      <c r="B794" s="22"/>
      <c r="C794" s="22"/>
      <c r="D794" s="18"/>
      <c r="E794" s="24"/>
      <c r="F794" s="13"/>
      <c r="G794" s="13"/>
      <c r="H794" s="7"/>
      <c r="I794" s="13"/>
      <c r="J794" s="9"/>
      <c r="K794" s="10"/>
      <c r="L794" s="10"/>
      <c r="M794" s="11"/>
      <c r="N794" s="10"/>
      <c r="O794" s="42"/>
      <c r="P794" s="10"/>
    </row>
    <row r="795" spans="1:16" x14ac:dyDescent="0.25">
      <c r="A795" s="5"/>
      <c r="B795" s="22"/>
      <c r="C795" s="22"/>
      <c r="D795" s="18"/>
      <c r="E795" s="24"/>
      <c r="F795" s="13"/>
      <c r="G795" s="13"/>
      <c r="H795" s="7"/>
      <c r="I795" s="13"/>
      <c r="J795" s="9"/>
      <c r="K795" s="10"/>
      <c r="L795" s="10"/>
      <c r="M795" s="11"/>
      <c r="N795" s="10"/>
      <c r="O795" s="42"/>
      <c r="P795" s="10"/>
    </row>
    <row r="796" spans="1:16" x14ac:dyDescent="0.25">
      <c r="A796" s="5"/>
      <c r="B796" s="22"/>
      <c r="C796" s="22"/>
      <c r="D796" s="18"/>
      <c r="E796" s="24"/>
      <c r="F796" s="13"/>
      <c r="G796" s="13"/>
      <c r="H796" s="7"/>
      <c r="I796" s="13"/>
      <c r="J796" s="9"/>
      <c r="K796" s="10"/>
      <c r="L796" s="10"/>
      <c r="M796" s="11"/>
      <c r="N796" s="10"/>
      <c r="O796" s="42"/>
      <c r="P796" s="10"/>
    </row>
    <row r="797" spans="1:16" x14ac:dyDescent="0.25">
      <c r="A797" s="5"/>
      <c r="B797" s="22"/>
      <c r="C797" s="22"/>
      <c r="D797" s="18"/>
      <c r="E797" s="24"/>
      <c r="F797" s="13"/>
      <c r="G797" s="13"/>
      <c r="H797" s="7"/>
      <c r="I797" s="13"/>
      <c r="J797" s="9"/>
      <c r="K797" s="10"/>
      <c r="L797" s="10"/>
      <c r="M797" s="11"/>
      <c r="N797" s="10"/>
      <c r="O797" s="42"/>
      <c r="P797" s="10"/>
    </row>
    <row r="798" spans="1:16" x14ac:dyDescent="0.25">
      <c r="A798" s="5"/>
      <c r="B798" s="22"/>
      <c r="C798" s="22"/>
      <c r="D798" s="18"/>
      <c r="E798" s="24"/>
      <c r="F798" s="13"/>
      <c r="G798" s="13"/>
      <c r="H798" s="7"/>
      <c r="I798" s="13"/>
      <c r="J798" s="9"/>
      <c r="K798" s="10"/>
      <c r="L798" s="10"/>
      <c r="M798" s="11"/>
      <c r="N798" s="10"/>
      <c r="O798" s="42"/>
      <c r="P798" s="10"/>
    </row>
    <row r="799" spans="1:16" x14ac:dyDescent="0.25">
      <c r="A799" s="5"/>
      <c r="B799" s="22"/>
      <c r="C799" s="22"/>
      <c r="D799" s="18"/>
      <c r="E799" s="24"/>
      <c r="F799" s="13"/>
      <c r="G799" s="13"/>
      <c r="H799" s="7"/>
      <c r="I799" s="13"/>
      <c r="J799" s="9"/>
      <c r="K799" s="10"/>
      <c r="L799" s="10"/>
      <c r="M799" s="11"/>
      <c r="N799" s="10"/>
      <c r="O799" s="42"/>
      <c r="P799" s="10"/>
    </row>
    <row r="800" spans="1:16" x14ac:dyDescent="0.25">
      <c r="A800" s="5"/>
      <c r="B800" s="22"/>
      <c r="C800" s="22"/>
      <c r="D800" s="18"/>
      <c r="E800" s="24"/>
      <c r="F800" s="13"/>
      <c r="G800" s="13"/>
      <c r="H800" s="7"/>
      <c r="I800" s="13"/>
      <c r="J800" s="9"/>
      <c r="K800" s="10"/>
      <c r="L800" s="10"/>
      <c r="M800" s="11"/>
      <c r="N800" s="10"/>
      <c r="O800" s="42"/>
      <c r="P800" s="10"/>
    </row>
    <row r="801" spans="1:16" x14ac:dyDescent="0.25">
      <c r="A801" s="5"/>
      <c r="B801" s="22"/>
      <c r="C801" s="22"/>
      <c r="D801" s="18"/>
      <c r="E801" s="24"/>
      <c r="F801" s="13"/>
      <c r="G801" s="13"/>
      <c r="H801" s="7"/>
      <c r="I801" s="13"/>
      <c r="J801" s="9"/>
      <c r="K801" s="10"/>
      <c r="L801" s="10"/>
      <c r="M801" s="11"/>
      <c r="N801" s="10"/>
      <c r="O801" s="42"/>
      <c r="P801" s="10"/>
    </row>
    <row r="802" spans="1:16" x14ac:dyDescent="0.25">
      <c r="A802" s="5"/>
      <c r="B802" s="22"/>
      <c r="C802" s="22"/>
      <c r="D802" s="18"/>
      <c r="E802" s="24"/>
      <c r="F802" s="13"/>
      <c r="G802" s="13"/>
      <c r="H802" s="7"/>
      <c r="I802" s="13"/>
      <c r="J802" s="9"/>
      <c r="K802" s="10"/>
      <c r="L802" s="10"/>
      <c r="M802" s="11"/>
      <c r="N802" s="10"/>
      <c r="O802" s="42"/>
      <c r="P802" s="10"/>
    </row>
    <row r="803" spans="1:16" x14ac:dyDescent="0.25">
      <c r="A803" s="5"/>
      <c r="B803" s="22"/>
      <c r="C803" s="22"/>
      <c r="D803" s="18"/>
      <c r="E803" s="24"/>
      <c r="F803" s="13"/>
      <c r="G803" s="13"/>
      <c r="H803" s="7"/>
      <c r="I803" s="13"/>
      <c r="J803" s="9"/>
      <c r="K803" s="10"/>
      <c r="L803" s="10"/>
      <c r="M803" s="11"/>
      <c r="N803" s="10"/>
      <c r="O803" s="42"/>
      <c r="P803" s="10"/>
    </row>
    <row r="804" spans="1:16" x14ac:dyDescent="0.25">
      <c r="A804" s="5"/>
      <c r="B804" s="22"/>
      <c r="C804" s="22"/>
      <c r="D804" s="18"/>
      <c r="E804" s="24"/>
      <c r="F804" s="13"/>
      <c r="G804" s="13"/>
      <c r="H804" s="7"/>
      <c r="I804" s="13"/>
      <c r="J804" s="9"/>
      <c r="K804" s="10"/>
      <c r="L804" s="10"/>
      <c r="M804" s="11"/>
      <c r="N804" s="10"/>
      <c r="O804" s="42"/>
      <c r="P804" s="10"/>
    </row>
    <row r="805" spans="1:16" x14ac:dyDescent="0.25">
      <c r="A805" s="5"/>
      <c r="B805" s="22"/>
      <c r="C805" s="22"/>
      <c r="D805" s="18"/>
      <c r="E805" s="24"/>
      <c r="F805" s="13"/>
      <c r="G805" s="13"/>
      <c r="H805" s="7"/>
      <c r="I805" s="13"/>
      <c r="J805" s="9"/>
      <c r="K805" s="10"/>
      <c r="L805" s="10"/>
      <c r="M805" s="11"/>
      <c r="N805" s="10"/>
      <c r="O805" s="42"/>
      <c r="P805" s="10"/>
    </row>
    <row r="806" spans="1:16" x14ac:dyDescent="0.25">
      <c r="A806" s="5"/>
      <c r="B806" s="22"/>
      <c r="C806" s="22"/>
      <c r="D806" s="18"/>
      <c r="E806" s="24"/>
      <c r="F806" s="13"/>
      <c r="G806" s="13"/>
      <c r="H806" s="7"/>
      <c r="I806" s="13"/>
      <c r="J806" s="9"/>
      <c r="K806" s="10"/>
      <c r="L806" s="10"/>
      <c r="M806" s="11"/>
      <c r="N806" s="10"/>
      <c r="O806" s="42"/>
      <c r="P806" s="10"/>
    </row>
    <row r="807" spans="1:16" x14ac:dyDescent="0.25">
      <c r="A807" s="5"/>
      <c r="B807" s="22"/>
      <c r="C807" s="22"/>
      <c r="D807" s="18"/>
      <c r="E807" s="24"/>
      <c r="F807" s="13"/>
      <c r="G807" s="13"/>
      <c r="H807" s="7"/>
      <c r="I807" s="13"/>
      <c r="J807" s="9"/>
      <c r="K807" s="10"/>
      <c r="L807" s="10"/>
      <c r="M807" s="11"/>
      <c r="N807" s="10"/>
      <c r="O807" s="42"/>
      <c r="P807" s="10"/>
    </row>
    <row r="808" spans="1:16" x14ac:dyDescent="0.25">
      <c r="A808" s="5"/>
      <c r="B808" s="22"/>
      <c r="C808" s="22"/>
      <c r="D808" s="18"/>
      <c r="E808" s="24"/>
      <c r="F808" s="13"/>
      <c r="G808" s="13"/>
      <c r="H808" s="7"/>
      <c r="I808" s="13"/>
      <c r="J808" s="9"/>
      <c r="K808" s="10"/>
      <c r="L808" s="10"/>
      <c r="M808" s="11"/>
      <c r="N808" s="10"/>
      <c r="O808" s="42"/>
      <c r="P808" s="10"/>
    </row>
    <row r="809" spans="1:16" x14ac:dyDescent="0.25">
      <c r="A809" s="5"/>
      <c r="B809" s="22"/>
      <c r="C809" s="22"/>
      <c r="D809" s="18"/>
      <c r="E809" s="24"/>
      <c r="F809" s="13"/>
      <c r="G809" s="13"/>
      <c r="H809" s="7"/>
      <c r="I809" s="13"/>
      <c r="J809" s="9"/>
      <c r="K809" s="10"/>
      <c r="L809" s="10"/>
      <c r="M809" s="11"/>
      <c r="N809" s="10"/>
      <c r="O809" s="42"/>
      <c r="P809" s="10"/>
    </row>
    <row r="810" spans="1:16" x14ac:dyDescent="0.25">
      <c r="A810" s="5"/>
      <c r="B810" s="22"/>
      <c r="C810" s="22"/>
      <c r="D810" s="18"/>
      <c r="E810" s="24"/>
      <c r="F810" s="13"/>
      <c r="G810" s="13"/>
      <c r="H810" s="7"/>
      <c r="I810" s="13"/>
      <c r="J810" s="9"/>
      <c r="K810" s="10"/>
      <c r="L810" s="10"/>
      <c r="M810" s="11"/>
      <c r="N810" s="10"/>
      <c r="O810" s="42"/>
      <c r="P810" s="10"/>
    </row>
    <row r="811" spans="1:16" x14ac:dyDescent="0.25">
      <c r="A811" s="5"/>
      <c r="B811" s="22"/>
      <c r="C811" s="22"/>
      <c r="D811" s="18"/>
      <c r="E811" s="24"/>
      <c r="F811" s="13"/>
      <c r="G811" s="13"/>
      <c r="H811" s="7"/>
      <c r="I811" s="13"/>
      <c r="J811" s="9"/>
      <c r="K811" s="10"/>
      <c r="L811" s="10"/>
      <c r="M811" s="11"/>
      <c r="N811" s="10"/>
      <c r="O811" s="42"/>
      <c r="P811" s="10"/>
    </row>
    <row r="812" spans="1:16" x14ac:dyDescent="0.25">
      <c r="A812" s="5"/>
      <c r="B812" s="22"/>
      <c r="C812" s="22"/>
      <c r="D812" s="18"/>
      <c r="E812" s="24"/>
      <c r="F812" s="13"/>
      <c r="G812" s="13"/>
      <c r="H812" s="7"/>
      <c r="I812" s="13"/>
      <c r="J812" s="9"/>
      <c r="K812" s="10"/>
      <c r="L812" s="10"/>
      <c r="M812" s="11"/>
      <c r="N812" s="10"/>
      <c r="O812" s="42"/>
      <c r="P812" s="10"/>
    </row>
    <row r="813" spans="1:16" x14ac:dyDescent="0.25">
      <c r="A813" s="5"/>
      <c r="B813" s="22"/>
      <c r="C813" s="22"/>
      <c r="D813" s="18"/>
      <c r="E813" s="24"/>
      <c r="F813" s="13"/>
      <c r="G813" s="13"/>
      <c r="H813" s="7"/>
      <c r="I813" s="13"/>
      <c r="J813" s="9"/>
      <c r="K813" s="10"/>
      <c r="L813" s="10"/>
      <c r="M813" s="11"/>
      <c r="N813" s="10"/>
      <c r="O813" s="42"/>
      <c r="P813" s="10"/>
    </row>
    <row r="814" spans="1:16" x14ac:dyDescent="0.25">
      <c r="A814" s="5"/>
      <c r="B814" s="22"/>
      <c r="C814" s="22"/>
      <c r="D814" s="18"/>
      <c r="E814" s="24"/>
      <c r="F814" s="13"/>
      <c r="G814" s="13"/>
      <c r="H814" s="7"/>
      <c r="I814" s="13"/>
      <c r="J814" s="9"/>
      <c r="K814" s="10"/>
      <c r="L814" s="10"/>
      <c r="M814" s="11"/>
      <c r="N814" s="10"/>
      <c r="O814" s="42"/>
      <c r="P814" s="10"/>
    </row>
    <row r="815" spans="1:16" x14ac:dyDescent="0.25">
      <c r="A815" s="5"/>
      <c r="B815" s="22"/>
      <c r="C815" s="22"/>
      <c r="D815" s="18"/>
      <c r="E815" s="24"/>
      <c r="F815" s="13"/>
      <c r="G815" s="13"/>
      <c r="H815" s="7"/>
      <c r="I815" s="13"/>
      <c r="J815" s="9"/>
      <c r="K815" s="10"/>
      <c r="L815" s="10"/>
      <c r="M815" s="11"/>
      <c r="N815" s="10"/>
      <c r="O815" s="42"/>
      <c r="P815" s="10"/>
    </row>
    <row r="816" spans="1:16" x14ac:dyDescent="0.25">
      <c r="A816" s="5"/>
      <c r="B816" s="22"/>
      <c r="C816" s="22"/>
      <c r="D816" s="18"/>
      <c r="E816" s="24"/>
      <c r="F816" s="13"/>
      <c r="G816" s="13"/>
      <c r="H816" s="7"/>
      <c r="I816" s="13"/>
      <c r="J816" s="9"/>
      <c r="K816" s="10"/>
      <c r="L816" s="10"/>
      <c r="M816" s="11"/>
      <c r="N816" s="10"/>
      <c r="O816" s="42"/>
      <c r="P816" s="10"/>
    </row>
    <row r="817" spans="1:16" x14ac:dyDescent="0.25">
      <c r="A817" s="5"/>
      <c r="B817" s="22"/>
      <c r="C817" s="22"/>
      <c r="D817" s="18"/>
      <c r="E817" s="24"/>
      <c r="F817" s="13"/>
      <c r="G817" s="13"/>
      <c r="H817" s="7"/>
      <c r="I817" s="13"/>
      <c r="J817" s="9"/>
      <c r="K817" s="10"/>
      <c r="L817" s="10"/>
      <c r="M817" s="11"/>
      <c r="N817" s="10"/>
      <c r="O817" s="42"/>
      <c r="P817" s="10"/>
    </row>
    <row r="818" spans="1:16" x14ac:dyDescent="0.25">
      <c r="A818" s="5"/>
      <c r="B818" s="22"/>
      <c r="C818" s="22"/>
      <c r="D818" s="18"/>
      <c r="E818" s="24"/>
      <c r="F818" s="13"/>
      <c r="G818" s="13"/>
      <c r="H818" s="7"/>
      <c r="I818" s="13"/>
      <c r="J818" s="9"/>
      <c r="K818" s="10"/>
      <c r="L818" s="10"/>
      <c r="M818" s="11"/>
      <c r="N818" s="10"/>
      <c r="O818" s="42"/>
      <c r="P818" s="10"/>
    </row>
    <row r="819" spans="1:16" x14ac:dyDescent="0.25">
      <c r="A819" s="5"/>
      <c r="B819" s="22"/>
      <c r="C819" s="22"/>
      <c r="D819" s="18"/>
      <c r="E819" s="24"/>
      <c r="F819" s="13"/>
      <c r="G819" s="13"/>
      <c r="H819" s="7"/>
      <c r="I819" s="13"/>
      <c r="J819" s="9"/>
      <c r="K819" s="10"/>
      <c r="L819" s="10"/>
      <c r="M819" s="11"/>
      <c r="N819" s="10"/>
      <c r="O819" s="42"/>
      <c r="P819" s="10"/>
    </row>
    <row r="820" spans="1:16" x14ac:dyDescent="0.25">
      <c r="A820" s="5"/>
      <c r="B820" s="22"/>
      <c r="C820" s="22"/>
      <c r="D820" s="18"/>
      <c r="E820" s="24"/>
      <c r="F820" s="13"/>
      <c r="G820" s="13"/>
      <c r="H820" s="7"/>
      <c r="I820" s="13"/>
      <c r="J820" s="9"/>
      <c r="K820" s="10"/>
      <c r="L820" s="10"/>
      <c r="M820" s="11"/>
      <c r="N820" s="10"/>
      <c r="O820" s="42"/>
      <c r="P820" s="10"/>
    </row>
    <row r="821" spans="1:16" x14ac:dyDescent="0.25">
      <c r="A821" s="5"/>
      <c r="B821" s="22"/>
      <c r="C821" s="22"/>
      <c r="D821" s="18"/>
      <c r="E821" s="24"/>
      <c r="F821" s="13"/>
      <c r="G821" s="13"/>
      <c r="H821" s="7"/>
      <c r="I821" s="13"/>
      <c r="J821" s="9"/>
      <c r="K821" s="10"/>
      <c r="L821" s="10"/>
      <c r="M821" s="11"/>
      <c r="N821" s="10"/>
      <c r="O821" s="42"/>
      <c r="P821" s="10"/>
    </row>
    <row r="822" spans="1:16" x14ac:dyDescent="0.25">
      <c r="A822" s="5"/>
      <c r="B822" s="22"/>
      <c r="C822" s="22"/>
      <c r="D822" s="18"/>
      <c r="E822" s="24"/>
      <c r="F822" s="13"/>
      <c r="G822" s="13"/>
      <c r="H822" s="7"/>
      <c r="I822" s="13"/>
      <c r="J822" s="9"/>
      <c r="K822" s="10"/>
      <c r="L822" s="10"/>
      <c r="M822" s="11"/>
      <c r="N822" s="10"/>
      <c r="O822" s="42"/>
      <c r="P822" s="10"/>
    </row>
    <row r="823" spans="1:16" x14ac:dyDescent="0.25">
      <c r="A823" s="5"/>
      <c r="B823" s="22"/>
      <c r="C823" s="22"/>
      <c r="D823" s="18"/>
      <c r="E823" s="24"/>
      <c r="F823" s="13"/>
      <c r="G823" s="13"/>
      <c r="H823" s="7"/>
      <c r="I823" s="13"/>
      <c r="J823" s="9"/>
      <c r="K823" s="10"/>
      <c r="L823" s="10"/>
      <c r="M823" s="11"/>
      <c r="N823" s="10"/>
      <c r="O823" s="42"/>
      <c r="P823" s="10"/>
    </row>
    <row r="824" spans="1:16" x14ac:dyDescent="0.25">
      <c r="A824" s="5"/>
      <c r="B824" s="22"/>
      <c r="C824" s="22"/>
      <c r="D824" s="18"/>
      <c r="E824" s="24"/>
      <c r="F824" s="13"/>
      <c r="G824" s="13"/>
      <c r="H824" s="7"/>
      <c r="I824" s="13"/>
      <c r="J824" s="9"/>
      <c r="K824" s="10"/>
      <c r="L824" s="10"/>
      <c r="M824" s="11"/>
      <c r="N824" s="10"/>
      <c r="O824" s="42"/>
      <c r="P824" s="10"/>
    </row>
    <row r="825" spans="1:16" x14ac:dyDescent="0.25">
      <c r="A825" s="5"/>
      <c r="B825" s="22"/>
      <c r="C825" s="22"/>
      <c r="D825" s="18"/>
      <c r="E825" s="24"/>
      <c r="F825" s="13"/>
      <c r="G825" s="13"/>
      <c r="H825" s="7"/>
      <c r="I825" s="13"/>
      <c r="J825" s="9"/>
      <c r="K825" s="10"/>
      <c r="L825" s="10"/>
      <c r="M825" s="11"/>
      <c r="N825" s="10"/>
      <c r="O825" s="42"/>
      <c r="P825" s="10"/>
    </row>
    <row r="826" spans="1:16" x14ac:dyDescent="0.25">
      <c r="A826" s="5"/>
      <c r="B826" s="22"/>
      <c r="C826" s="22"/>
      <c r="D826" s="18"/>
      <c r="E826" s="24"/>
      <c r="F826" s="13"/>
      <c r="G826" s="13"/>
      <c r="H826" s="7"/>
      <c r="I826" s="13"/>
      <c r="J826" s="9"/>
      <c r="K826" s="10"/>
      <c r="L826" s="10"/>
      <c r="M826" s="11"/>
      <c r="N826" s="10"/>
      <c r="O826" s="42"/>
      <c r="P826" s="10"/>
    </row>
    <row r="827" spans="1:16" x14ac:dyDescent="0.25">
      <c r="A827" s="5"/>
      <c r="B827" s="22"/>
      <c r="C827" s="22"/>
      <c r="D827" s="18"/>
      <c r="E827" s="24"/>
      <c r="F827" s="13"/>
      <c r="G827" s="13"/>
      <c r="H827" s="7"/>
      <c r="I827" s="13"/>
      <c r="J827" s="9"/>
      <c r="K827" s="10"/>
      <c r="L827" s="10"/>
      <c r="M827" s="11"/>
      <c r="N827" s="10"/>
      <c r="O827" s="42"/>
      <c r="P827" s="10"/>
    </row>
    <row r="828" spans="1:16" x14ac:dyDescent="0.25">
      <c r="A828" s="5"/>
      <c r="B828" s="22"/>
      <c r="C828" s="22"/>
      <c r="D828" s="18"/>
      <c r="E828" s="24"/>
      <c r="F828" s="13"/>
      <c r="G828" s="13"/>
      <c r="H828" s="7"/>
      <c r="I828" s="13"/>
      <c r="J828" s="9"/>
      <c r="K828" s="10"/>
      <c r="L828" s="10"/>
      <c r="M828" s="11"/>
      <c r="N828" s="10"/>
      <c r="O828" s="42"/>
      <c r="P828" s="10"/>
    </row>
    <row r="829" spans="1:16" x14ac:dyDescent="0.25">
      <c r="A829" s="5"/>
      <c r="B829" s="22"/>
      <c r="C829" s="22"/>
      <c r="D829" s="18"/>
      <c r="E829" s="24"/>
      <c r="F829" s="13"/>
      <c r="G829" s="13"/>
      <c r="H829" s="7"/>
      <c r="I829" s="13"/>
      <c r="J829" s="9"/>
      <c r="K829" s="10"/>
      <c r="L829" s="10"/>
      <c r="M829" s="11"/>
      <c r="N829" s="10"/>
      <c r="O829" s="42"/>
      <c r="P829" s="10"/>
    </row>
    <row r="830" spans="1:16" x14ac:dyDescent="0.25">
      <c r="A830" s="5"/>
      <c r="B830" s="22"/>
      <c r="C830" s="22"/>
      <c r="D830" s="18"/>
      <c r="E830" s="24"/>
      <c r="F830" s="13"/>
      <c r="G830" s="13"/>
      <c r="H830" s="7"/>
      <c r="I830" s="13"/>
      <c r="J830" s="9"/>
      <c r="K830" s="10"/>
      <c r="L830" s="10"/>
      <c r="M830" s="11"/>
      <c r="N830" s="10"/>
      <c r="O830" s="42"/>
      <c r="P830" s="10"/>
    </row>
    <row r="831" spans="1:16" x14ac:dyDescent="0.25">
      <c r="A831" s="5"/>
      <c r="B831" s="22"/>
      <c r="C831" s="22"/>
      <c r="D831" s="18"/>
      <c r="E831" s="24"/>
      <c r="F831" s="13"/>
      <c r="G831" s="13"/>
      <c r="H831" s="7"/>
      <c r="I831" s="13"/>
      <c r="J831" s="9"/>
      <c r="K831" s="10"/>
      <c r="L831" s="10"/>
      <c r="M831" s="11"/>
      <c r="N831" s="10"/>
      <c r="O831" s="42"/>
      <c r="P831" s="10"/>
    </row>
    <row r="832" spans="1:16" x14ac:dyDescent="0.25">
      <c r="A832" s="5"/>
      <c r="B832" s="22"/>
      <c r="C832" s="22"/>
      <c r="D832" s="18"/>
      <c r="E832" s="24"/>
      <c r="F832" s="13"/>
      <c r="G832" s="13"/>
      <c r="H832" s="7"/>
      <c r="I832" s="13"/>
      <c r="J832" s="9"/>
      <c r="K832" s="10"/>
      <c r="L832" s="10"/>
      <c r="M832" s="11"/>
      <c r="N832" s="10"/>
      <c r="O832" s="42"/>
      <c r="P832" s="10"/>
    </row>
    <row r="833" spans="1:16" x14ac:dyDescent="0.25">
      <c r="A833" s="5"/>
      <c r="B833" s="22"/>
      <c r="C833" s="22"/>
      <c r="D833" s="18"/>
      <c r="E833" s="24"/>
      <c r="F833" s="13"/>
      <c r="G833" s="13"/>
      <c r="H833" s="7"/>
      <c r="I833" s="13"/>
      <c r="J833" s="9"/>
      <c r="K833" s="10"/>
      <c r="L833" s="10"/>
      <c r="M833" s="11"/>
      <c r="N833" s="10"/>
      <c r="O833" s="42"/>
      <c r="P833" s="10"/>
    </row>
    <row r="834" spans="1:16" x14ac:dyDescent="0.25">
      <c r="A834" s="5"/>
      <c r="B834" s="22"/>
      <c r="C834" s="22"/>
      <c r="D834" s="18"/>
      <c r="E834" s="24"/>
      <c r="F834" s="13"/>
      <c r="G834" s="13"/>
      <c r="H834" s="7"/>
      <c r="I834" s="13"/>
      <c r="J834" s="9"/>
      <c r="K834" s="10"/>
      <c r="L834" s="10"/>
      <c r="M834" s="11"/>
      <c r="N834" s="10"/>
      <c r="O834" s="42"/>
      <c r="P834" s="10"/>
    </row>
    <row r="835" spans="1:16" x14ac:dyDescent="0.25">
      <c r="A835" s="5"/>
      <c r="B835" s="22"/>
      <c r="C835" s="22"/>
      <c r="D835" s="18"/>
      <c r="E835" s="24"/>
      <c r="F835" s="13"/>
      <c r="G835" s="13"/>
      <c r="H835" s="7"/>
      <c r="I835" s="13"/>
      <c r="J835" s="9"/>
      <c r="K835" s="10"/>
      <c r="L835" s="10"/>
      <c r="M835" s="11"/>
      <c r="N835" s="10"/>
      <c r="O835" s="42"/>
      <c r="P835" s="10"/>
    </row>
    <row r="836" spans="1:16" x14ac:dyDescent="0.25">
      <c r="A836" s="5"/>
      <c r="B836" s="22"/>
      <c r="C836" s="22"/>
      <c r="D836" s="18"/>
      <c r="E836" s="24"/>
      <c r="F836" s="13"/>
      <c r="G836" s="13"/>
      <c r="H836" s="7"/>
      <c r="I836" s="13"/>
      <c r="J836" s="9"/>
      <c r="K836" s="10"/>
      <c r="L836" s="10"/>
      <c r="M836" s="11"/>
      <c r="N836" s="10"/>
      <c r="O836" s="42"/>
      <c r="P836" s="10"/>
    </row>
    <row r="837" spans="1:16" x14ac:dyDescent="0.25">
      <c r="A837" s="5"/>
      <c r="B837" s="22"/>
      <c r="C837" s="22"/>
      <c r="D837" s="18"/>
      <c r="E837" s="24"/>
      <c r="F837" s="13"/>
      <c r="G837" s="13"/>
      <c r="H837" s="7"/>
      <c r="I837" s="13"/>
      <c r="J837" s="9"/>
      <c r="K837" s="10"/>
      <c r="L837" s="10"/>
      <c r="M837" s="11"/>
      <c r="N837" s="10"/>
      <c r="O837" s="42"/>
      <c r="P837" s="10"/>
    </row>
    <row r="838" spans="1:16" x14ac:dyDescent="0.25">
      <c r="A838" s="5"/>
      <c r="B838" s="22"/>
      <c r="C838" s="22"/>
      <c r="D838" s="18"/>
      <c r="E838" s="24"/>
      <c r="F838" s="13"/>
      <c r="G838" s="13"/>
      <c r="H838" s="7"/>
      <c r="I838" s="13"/>
      <c r="J838" s="9"/>
      <c r="K838" s="10"/>
      <c r="L838" s="10"/>
      <c r="M838" s="11"/>
      <c r="N838" s="10"/>
      <c r="O838" s="42"/>
      <c r="P838" s="10"/>
    </row>
    <row r="839" spans="1:16" x14ac:dyDescent="0.25">
      <c r="A839" s="5"/>
      <c r="B839" s="22"/>
      <c r="C839" s="22"/>
      <c r="D839" s="18"/>
      <c r="E839" s="24"/>
      <c r="F839" s="13"/>
      <c r="G839" s="13"/>
      <c r="H839" s="7"/>
      <c r="I839" s="13"/>
      <c r="J839" s="9"/>
      <c r="K839" s="10"/>
      <c r="L839" s="10"/>
      <c r="M839" s="11"/>
      <c r="N839" s="10"/>
      <c r="O839" s="42"/>
      <c r="P839" s="10"/>
    </row>
    <row r="840" spans="1:16" x14ac:dyDescent="0.25">
      <c r="A840" s="5"/>
      <c r="B840" s="22"/>
      <c r="C840" s="22"/>
      <c r="D840" s="18"/>
      <c r="E840" s="24"/>
      <c r="F840" s="13"/>
      <c r="G840" s="13"/>
      <c r="H840" s="7"/>
      <c r="I840" s="13"/>
      <c r="J840" s="9"/>
      <c r="K840" s="10"/>
      <c r="L840" s="10"/>
      <c r="M840" s="11"/>
      <c r="N840" s="10"/>
      <c r="O840" s="42"/>
      <c r="P840" s="10"/>
    </row>
    <row r="841" spans="1:16" x14ac:dyDescent="0.25">
      <c r="A841" s="5"/>
      <c r="B841" s="22"/>
      <c r="C841" s="22"/>
      <c r="D841" s="18"/>
      <c r="E841" s="24"/>
      <c r="F841" s="13"/>
      <c r="G841" s="13"/>
      <c r="H841" s="7"/>
      <c r="I841" s="13"/>
      <c r="J841" s="9"/>
      <c r="K841" s="10"/>
      <c r="L841" s="10"/>
      <c r="M841" s="11"/>
      <c r="N841" s="10"/>
      <c r="O841" s="42"/>
      <c r="P841" s="10"/>
    </row>
    <row r="842" spans="1:16" x14ac:dyDescent="0.25">
      <c r="A842" s="5"/>
      <c r="B842" s="22"/>
      <c r="C842" s="22"/>
      <c r="D842" s="18"/>
      <c r="E842" s="24"/>
      <c r="F842" s="13"/>
      <c r="G842" s="13"/>
      <c r="H842" s="7"/>
      <c r="I842" s="13"/>
      <c r="J842" s="9"/>
      <c r="K842" s="10"/>
      <c r="L842" s="10"/>
      <c r="M842" s="11"/>
      <c r="N842" s="10"/>
      <c r="O842" s="42"/>
      <c r="P842" s="10"/>
    </row>
    <row r="843" spans="1:16" x14ac:dyDescent="0.25">
      <c r="A843" s="5"/>
      <c r="B843" s="22"/>
      <c r="C843" s="22"/>
      <c r="D843" s="18"/>
      <c r="E843" s="24"/>
      <c r="F843" s="13"/>
      <c r="G843" s="13"/>
      <c r="H843" s="7"/>
      <c r="I843" s="13"/>
      <c r="J843" s="9"/>
      <c r="K843" s="10"/>
      <c r="L843" s="10"/>
      <c r="M843" s="11"/>
      <c r="N843" s="10"/>
      <c r="O843" s="42"/>
      <c r="P843" s="10"/>
    </row>
    <row r="844" spans="1:16" x14ac:dyDescent="0.25">
      <c r="A844" s="5"/>
      <c r="B844" s="22"/>
      <c r="C844" s="22"/>
      <c r="D844" s="18"/>
      <c r="E844" s="24"/>
      <c r="F844" s="13"/>
      <c r="G844" s="13"/>
      <c r="H844" s="7"/>
      <c r="I844" s="13"/>
      <c r="J844" s="9"/>
      <c r="K844" s="10"/>
      <c r="L844" s="10"/>
      <c r="M844" s="11"/>
      <c r="N844" s="10"/>
      <c r="O844" s="42"/>
      <c r="P844" s="10"/>
    </row>
    <row r="845" spans="1:16" x14ac:dyDescent="0.25">
      <c r="A845" s="5"/>
      <c r="B845" s="22"/>
      <c r="C845" s="22"/>
      <c r="D845" s="18"/>
      <c r="E845" s="24"/>
      <c r="F845" s="13"/>
      <c r="G845" s="13"/>
      <c r="H845" s="7"/>
      <c r="I845" s="13"/>
      <c r="J845" s="9"/>
      <c r="K845" s="10"/>
      <c r="L845" s="10"/>
      <c r="M845" s="11"/>
      <c r="N845" s="10"/>
      <c r="O845" s="42"/>
      <c r="P845" s="10"/>
    </row>
    <row r="846" spans="1:16" x14ac:dyDescent="0.25">
      <c r="A846" s="5"/>
      <c r="B846" s="22"/>
      <c r="C846" s="22"/>
      <c r="D846" s="18"/>
      <c r="E846" s="24"/>
      <c r="F846" s="13"/>
      <c r="G846" s="13"/>
      <c r="H846" s="7"/>
      <c r="I846" s="13"/>
      <c r="J846" s="9"/>
      <c r="K846" s="10"/>
      <c r="L846" s="10"/>
      <c r="M846" s="11"/>
      <c r="N846" s="10"/>
      <c r="O846" s="42"/>
      <c r="P846" s="10"/>
    </row>
    <row r="847" spans="1:16" x14ac:dyDescent="0.25">
      <c r="A847" s="5"/>
      <c r="B847" s="22"/>
      <c r="C847" s="22"/>
      <c r="D847" s="18"/>
      <c r="E847" s="24"/>
      <c r="F847" s="13"/>
      <c r="G847" s="13"/>
      <c r="H847" s="7"/>
      <c r="I847" s="13"/>
      <c r="J847" s="9"/>
      <c r="K847" s="10"/>
      <c r="L847" s="10"/>
      <c r="M847" s="11"/>
      <c r="N847" s="10"/>
      <c r="O847" s="42"/>
      <c r="P847" s="10"/>
    </row>
    <row r="848" spans="1:16" x14ac:dyDescent="0.25">
      <c r="A848" s="5"/>
      <c r="B848" s="22"/>
      <c r="C848" s="22"/>
      <c r="D848" s="18"/>
      <c r="E848" s="24"/>
      <c r="F848" s="13"/>
      <c r="G848" s="13"/>
      <c r="H848" s="7"/>
      <c r="I848" s="13"/>
      <c r="J848" s="9"/>
      <c r="K848" s="10"/>
      <c r="L848" s="10"/>
      <c r="M848" s="11"/>
      <c r="N848" s="10"/>
      <c r="O848" s="42"/>
      <c r="P848" s="10"/>
    </row>
    <row r="849" spans="1:16" x14ac:dyDescent="0.25">
      <c r="A849" s="5"/>
      <c r="B849" s="22"/>
      <c r="C849" s="22"/>
      <c r="D849" s="18"/>
      <c r="E849" s="24"/>
      <c r="F849" s="13"/>
      <c r="G849" s="13"/>
      <c r="H849" s="7"/>
      <c r="I849" s="13"/>
      <c r="J849" s="9"/>
      <c r="K849" s="10"/>
      <c r="L849" s="10"/>
      <c r="M849" s="11"/>
      <c r="N849" s="10"/>
      <c r="O849" s="42"/>
      <c r="P849" s="10"/>
    </row>
    <row r="850" spans="1:16" x14ac:dyDescent="0.25">
      <c r="A850" s="5"/>
      <c r="B850" s="22"/>
      <c r="C850" s="22"/>
      <c r="D850" s="18"/>
      <c r="E850" s="24"/>
      <c r="F850" s="13"/>
      <c r="G850" s="13"/>
      <c r="H850" s="7"/>
      <c r="I850" s="13"/>
      <c r="J850" s="9"/>
      <c r="K850" s="10"/>
      <c r="L850" s="10"/>
      <c r="M850" s="11"/>
      <c r="N850" s="10"/>
      <c r="O850" s="42"/>
      <c r="P850" s="10"/>
    </row>
    <row r="851" spans="1:16" x14ac:dyDescent="0.25">
      <c r="A851" s="5"/>
      <c r="B851" s="22"/>
      <c r="C851" s="22"/>
      <c r="D851" s="18"/>
      <c r="E851" s="24"/>
      <c r="F851" s="13"/>
      <c r="G851" s="13"/>
      <c r="H851" s="7"/>
      <c r="I851" s="13"/>
      <c r="J851" s="9"/>
      <c r="K851" s="10"/>
      <c r="L851" s="10"/>
      <c r="M851" s="11"/>
      <c r="N851" s="10"/>
      <c r="O851" s="42"/>
      <c r="P851" s="10"/>
    </row>
    <row r="852" spans="1:16" x14ac:dyDescent="0.25">
      <c r="A852" s="5"/>
      <c r="B852" s="22"/>
      <c r="C852" s="22"/>
      <c r="D852" s="18"/>
      <c r="E852" s="24"/>
      <c r="F852" s="13"/>
      <c r="G852" s="13"/>
      <c r="H852" s="7"/>
      <c r="I852" s="13"/>
      <c r="J852" s="9"/>
      <c r="K852" s="10"/>
      <c r="L852" s="10"/>
      <c r="M852" s="11"/>
      <c r="N852" s="10"/>
      <c r="O852" s="42"/>
      <c r="P852" s="10"/>
    </row>
    <row r="853" spans="1:16" x14ac:dyDescent="0.25">
      <c r="A853" s="5"/>
      <c r="B853" s="22"/>
      <c r="C853" s="22"/>
      <c r="D853" s="18"/>
      <c r="E853" s="24"/>
      <c r="F853" s="13"/>
      <c r="G853" s="13"/>
      <c r="H853" s="7"/>
      <c r="I853" s="13"/>
      <c r="J853" s="9"/>
      <c r="K853" s="10"/>
      <c r="L853" s="10"/>
      <c r="M853" s="11"/>
      <c r="N853" s="10"/>
      <c r="O853" s="42"/>
      <c r="P853" s="10"/>
    </row>
    <row r="854" spans="1:16" x14ac:dyDescent="0.25">
      <c r="A854" s="5"/>
      <c r="B854" s="22"/>
      <c r="C854" s="22"/>
      <c r="D854" s="18"/>
      <c r="E854" s="24"/>
      <c r="F854" s="13"/>
      <c r="G854" s="13"/>
      <c r="H854" s="7"/>
      <c r="I854" s="13"/>
      <c r="J854" s="9"/>
      <c r="K854" s="10"/>
      <c r="L854" s="10"/>
      <c r="M854" s="11"/>
      <c r="N854" s="10"/>
      <c r="O854" s="42"/>
      <c r="P854" s="10"/>
    </row>
    <row r="855" spans="1:16" x14ac:dyDescent="0.25">
      <c r="A855" s="5"/>
      <c r="B855" s="22"/>
      <c r="C855" s="22"/>
      <c r="D855" s="18"/>
      <c r="E855" s="24"/>
      <c r="F855" s="13"/>
      <c r="G855" s="13"/>
      <c r="H855" s="7"/>
      <c r="I855" s="13"/>
      <c r="J855" s="9"/>
      <c r="K855" s="10"/>
      <c r="L855" s="10"/>
      <c r="M855" s="11"/>
      <c r="N855" s="10"/>
      <c r="O855" s="42"/>
      <c r="P855" s="10"/>
    </row>
    <row r="856" spans="1:16" x14ac:dyDescent="0.25">
      <c r="A856" s="5"/>
      <c r="B856" s="22"/>
      <c r="C856" s="22"/>
      <c r="D856" s="19"/>
      <c r="E856" s="24"/>
      <c r="F856" s="13"/>
      <c r="G856" s="13"/>
      <c r="H856" s="7"/>
      <c r="I856" s="13"/>
      <c r="J856" s="9"/>
      <c r="K856" s="10"/>
      <c r="L856" s="10"/>
      <c r="M856" s="11"/>
      <c r="N856" s="10"/>
      <c r="O856" s="42"/>
      <c r="P856" s="10"/>
    </row>
    <row r="857" spans="1:16" x14ac:dyDescent="0.25">
      <c r="A857" s="5"/>
      <c r="B857" s="22"/>
      <c r="C857" s="22"/>
      <c r="D857" s="18"/>
      <c r="E857" s="24"/>
      <c r="F857" s="13"/>
      <c r="G857" s="13"/>
      <c r="H857" s="7"/>
      <c r="I857" s="13"/>
      <c r="J857" s="9"/>
      <c r="K857" s="10"/>
      <c r="L857" s="10"/>
      <c r="M857" s="11"/>
      <c r="N857" s="10"/>
      <c r="O857" s="42"/>
      <c r="P857" s="10"/>
    </row>
    <row r="858" spans="1:16" x14ac:dyDescent="0.25">
      <c r="A858" s="5"/>
      <c r="B858" s="22"/>
      <c r="C858" s="22"/>
      <c r="D858" s="18"/>
      <c r="E858" s="24"/>
      <c r="F858" s="13"/>
      <c r="G858" s="13"/>
      <c r="H858" s="7"/>
      <c r="I858" s="13"/>
      <c r="J858" s="9"/>
      <c r="K858" s="10"/>
      <c r="L858" s="10"/>
      <c r="M858" s="11"/>
      <c r="N858" s="10"/>
      <c r="O858" s="42"/>
      <c r="P858" s="10"/>
    </row>
    <row r="859" spans="1:16" x14ac:dyDescent="0.25">
      <c r="A859" s="5"/>
      <c r="B859" s="22"/>
      <c r="C859" s="22"/>
      <c r="D859" s="18"/>
      <c r="E859" s="24"/>
      <c r="F859" s="13"/>
      <c r="G859" s="13"/>
      <c r="H859" s="7"/>
      <c r="I859" s="13"/>
      <c r="J859" s="9"/>
      <c r="K859" s="10"/>
      <c r="L859" s="10"/>
      <c r="M859" s="11"/>
      <c r="N859" s="10"/>
      <c r="O859" s="42"/>
      <c r="P859" s="10"/>
    </row>
    <row r="860" spans="1:16" x14ac:dyDescent="0.25">
      <c r="A860" s="5"/>
      <c r="B860" s="22"/>
      <c r="C860" s="22"/>
      <c r="D860" s="18"/>
      <c r="E860" s="24"/>
      <c r="F860" s="13"/>
      <c r="G860" s="13"/>
      <c r="H860" s="7"/>
      <c r="I860" s="13"/>
      <c r="J860" s="9"/>
      <c r="K860" s="10"/>
      <c r="L860" s="10"/>
      <c r="M860" s="11"/>
      <c r="N860" s="10"/>
      <c r="O860" s="42"/>
      <c r="P860" s="10"/>
    </row>
    <row r="861" spans="1:16" x14ac:dyDescent="0.25">
      <c r="A861" s="5"/>
      <c r="B861" s="22"/>
      <c r="C861" s="22"/>
      <c r="D861" s="18"/>
      <c r="E861" s="24"/>
      <c r="F861" s="13"/>
      <c r="G861" s="13"/>
      <c r="H861" s="7"/>
      <c r="I861" s="13"/>
      <c r="J861" s="9"/>
      <c r="K861" s="10"/>
      <c r="L861" s="10"/>
      <c r="M861" s="11"/>
      <c r="N861" s="10"/>
      <c r="O861" s="42"/>
      <c r="P861" s="10"/>
    </row>
    <row r="862" spans="1:16" x14ac:dyDescent="0.25">
      <c r="A862" s="5"/>
      <c r="B862" s="22"/>
      <c r="C862" s="22"/>
      <c r="D862" s="18"/>
      <c r="E862" s="24"/>
      <c r="F862" s="13"/>
      <c r="G862" s="13"/>
      <c r="H862" s="7"/>
      <c r="I862" s="13"/>
      <c r="J862" s="9"/>
      <c r="K862" s="10"/>
      <c r="L862" s="10"/>
      <c r="M862" s="11"/>
      <c r="N862" s="10"/>
      <c r="O862" s="42"/>
      <c r="P862" s="10"/>
    </row>
    <row r="863" spans="1:16" x14ac:dyDescent="0.25">
      <c r="A863" s="5"/>
      <c r="B863" s="22"/>
      <c r="C863" s="22"/>
      <c r="D863" s="18"/>
      <c r="E863" s="24"/>
      <c r="F863" s="13"/>
      <c r="G863" s="13"/>
      <c r="H863" s="7"/>
      <c r="I863" s="13"/>
      <c r="J863" s="9"/>
      <c r="K863" s="10"/>
      <c r="L863" s="10"/>
      <c r="M863" s="11"/>
      <c r="N863" s="10"/>
      <c r="O863" s="42"/>
      <c r="P863" s="10"/>
    </row>
    <row r="864" spans="1:16" x14ac:dyDescent="0.25">
      <c r="A864" s="5"/>
      <c r="B864" s="22"/>
      <c r="C864" s="22"/>
      <c r="D864" s="18"/>
      <c r="E864" s="24"/>
      <c r="F864" s="13"/>
      <c r="G864" s="13"/>
      <c r="H864" s="7"/>
      <c r="I864" s="13"/>
      <c r="J864" s="9"/>
      <c r="K864" s="10"/>
      <c r="L864" s="10"/>
      <c r="M864" s="11"/>
      <c r="N864" s="10"/>
      <c r="O864" s="42"/>
      <c r="P864" s="10"/>
    </row>
    <row r="865" spans="1:16" x14ac:dyDescent="0.25">
      <c r="A865" s="5"/>
      <c r="B865" s="22"/>
      <c r="C865" s="22"/>
      <c r="D865" s="18"/>
      <c r="E865" s="24"/>
      <c r="F865" s="13"/>
      <c r="G865" s="13"/>
      <c r="H865" s="7"/>
      <c r="I865" s="13"/>
      <c r="J865" s="9"/>
      <c r="K865" s="10"/>
      <c r="L865" s="10"/>
      <c r="M865" s="11"/>
      <c r="N865" s="10"/>
      <c r="O865" s="42"/>
      <c r="P865" s="10"/>
    </row>
    <row r="866" spans="1:16" x14ac:dyDescent="0.25">
      <c r="A866" s="5"/>
      <c r="B866" s="22"/>
      <c r="C866" s="22"/>
      <c r="D866" s="18"/>
      <c r="E866" s="24"/>
      <c r="F866" s="13"/>
      <c r="G866" s="13"/>
      <c r="H866" s="7"/>
      <c r="I866" s="13"/>
      <c r="J866" s="9"/>
      <c r="K866" s="10"/>
      <c r="L866" s="10"/>
      <c r="M866" s="11"/>
      <c r="N866" s="10"/>
      <c r="O866" s="42"/>
      <c r="P866" s="10"/>
    </row>
    <row r="867" spans="1:16" x14ac:dyDescent="0.25">
      <c r="A867" s="5"/>
      <c r="B867" s="22"/>
      <c r="C867" s="22"/>
      <c r="D867" s="18"/>
      <c r="E867" s="24"/>
      <c r="F867" s="13"/>
      <c r="G867" s="13"/>
      <c r="H867" s="7"/>
      <c r="I867" s="13"/>
      <c r="J867" s="9"/>
      <c r="K867" s="10"/>
      <c r="L867" s="10"/>
      <c r="M867" s="11"/>
      <c r="N867" s="10"/>
      <c r="O867" s="42"/>
      <c r="P867" s="10"/>
    </row>
    <row r="868" spans="1:16" x14ac:dyDescent="0.25">
      <c r="A868" s="5"/>
      <c r="B868" s="22"/>
      <c r="C868" s="22"/>
      <c r="D868" s="18"/>
      <c r="E868" s="24"/>
      <c r="F868" s="13"/>
      <c r="G868" s="13"/>
      <c r="H868" s="7"/>
      <c r="I868" s="13"/>
      <c r="J868" s="9"/>
      <c r="K868" s="10"/>
      <c r="L868" s="10"/>
      <c r="M868" s="11"/>
      <c r="N868" s="10"/>
      <c r="O868" s="42"/>
      <c r="P868" s="10"/>
    </row>
    <row r="869" spans="1:16" x14ac:dyDescent="0.25">
      <c r="A869" s="5"/>
      <c r="B869" s="22"/>
      <c r="C869" s="22"/>
      <c r="D869" s="18"/>
      <c r="E869" s="24"/>
      <c r="F869" s="13"/>
      <c r="G869" s="13"/>
      <c r="H869" s="7"/>
      <c r="I869" s="13"/>
      <c r="J869" s="9"/>
      <c r="K869" s="10"/>
      <c r="L869" s="10"/>
      <c r="M869" s="11"/>
      <c r="N869" s="10"/>
      <c r="O869" s="42"/>
      <c r="P869" s="10"/>
    </row>
    <row r="870" spans="1:16" x14ac:dyDescent="0.25">
      <c r="A870" s="5"/>
      <c r="B870" s="22"/>
      <c r="C870" s="22"/>
      <c r="D870" s="18"/>
      <c r="E870" s="24"/>
      <c r="F870" s="13"/>
      <c r="G870" s="13"/>
      <c r="H870" s="7"/>
      <c r="I870" s="13"/>
      <c r="J870" s="9"/>
      <c r="K870" s="10"/>
      <c r="L870" s="10"/>
      <c r="M870" s="11"/>
      <c r="N870" s="10"/>
      <c r="O870" s="42"/>
      <c r="P870" s="10"/>
    </row>
    <row r="871" spans="1:16" x14ac:dyDescent="0.25">
      <c r="A871" s="5"/>
      <c r="B871" s="22"/>
      <c r="C871" s="22"/>
      <c r="D871" s="18"/>
      <c r="E871" s="24"/>
      <c r="F871" s="13"/>
      <c r="G871" s="13"/>
      <c r="H871" s="7"/>
      <c r="I871" s="13"/>
      <c r="J871" s="9"/>
      <c r="K871" s="10"/>
      <c r="L871" s="10"/>
      <c r="M871" s="11"/>
      <c r="N871" s="10"/>
      <c r="O871" s="42"/>
      <c r="P871" s="10"/>
    </row>
    <row r="872" spans="1:16" x14ac:dyDescent="0.25">
      <c r="A872" s="5"/>
      <c r="B872" s="22"/>
      <c r="C872" s="22"/>
      <c r="D872" s="18"/>
      <c r="E872" s="24"/>
      <c r="F872" s="13"/>
      <c r="G872" s="13"/>
      <c r="H872" s="7"/>
      <c r="I872" s="13"/>
      <c r="J872" s="9"/>
      <c r="K872" s="10"/>
      <c r="L872" s="10"/>
      <c r="M872" s="11"/>
      <c r="N872" s="10"/>
      <c r="O872" s="42"/>
      <c r="P872" s="10"/>
    </row>
    <row r="873" spans="1:16" x14ac:dyDescent="0.25">
      <c r="A873" s="5"/>
      <c r="B873" s="22"/>
      <c r="C873" s="22"/>
      <c r="D873" s="18"/>
      <c r="E873" s="24"/>
      <c r="F873" s="13"/>
      <c r="G873" s="13"/>
      <c r="H873" s="7"/>
      <c r="I873" s="13"/>
      <c r="J873" s="9"/>
      <c r="K873" s="10"/>
      <c r="L873" s="10"/>
      <c r="M873" s="11"/>
      <c r="N873" s="10"/>
      <c r="O873" s="42"/>
      <c r="P873" s="10"/>
    </row>
    <row r="874" spans="1:16" x14ac:dyDescent="0.25">
      <c r="A874" s="5"/>
      <c r="B874" s="22"/>
      <c r="C874" s="22"/>
      <c r="D874" s="18"/>
      <c r="E874" s="24"/>
      <c r="F874" s="13"/>
      <c r="G874" s="13"/>
      <c r="H874" s="7"/>
      <c r="I874" s="13"/>
      <c r="J874" s="9"/>
      <c r="K874" s="10"/>
      <c r="L874" s="10"/>
      <c r="M874" s="11"/>
      <c r="N874" s="10"/>
      <c r="O874" s="42"/>
      <c r="P874" s="10"/>
    </row>
    <row r="875" spans="1:16" x14ac:dyDescent="0.25">
      <c r="A875" s="5"/>
      <c r="B875" s="22"/>
      <c r="C875" s="22"/>
      <c r="D875" s="18"/>
      <c r="E875" s="24"/>
      <c r="F875" s="13"/>
      <c r="G875" s="13"/>
      <c r="H875" s="7"/>
      <c r="I875" s="13"/>
      <c r="J875" s="9"/>
      <c r="K875" s="10"/>
      <c r="L875" s="10"/>
      <c r="M875" s="11"/>
      <c r="N875" s="10"/>
      <c r="O875" s="42"/>
      <c r="P875" s="10"/>
    </row>
    <row r="876" spans="1:16" x14ac:dyDescent="0.25">
      <c r="A876" s="5"/>
      <c r="B876" s="22"/>
      <c r="C876" s="22"/>
      <c r="D876" s="18"/>
      <c r="E876" s="24"/>
      <c r="F876" s="13"/>
      <c r="G876" s="13"/>
      <c r="H876" s="7"/>
      <c r="I876" s="13"/>
      <c r="J876" s="9"/>
      <c r="K876" s="10"/>
      <c r="L876" s="10"/>
      <c r="M876" s="11"/>
      <c r="N876" s="10"/>
      <c r="O876" s="42"/>
      <c r="P876" s="10"/>
    </row>
    <row r="877" spans="1:16" x14ac:dyDescent="0.25">
      <c r="A877" s="5"/>
      <c r="B877" s="22"/>
      <c r="C877" s="22"/>
      <c r="D877" s="18"/>
      <c r="E877" s="24"/>
      <c r="F877" s="13"/>
      <c r="G877" s="13"/>
      <c r="H877" s="7"/>
      <c r="I877" s="13"/>
      <c r="J877" s="9"/>
      <c r="K877" s="10"/>
      <c r="L877" s="10"/>
      <c r="M877" s="11"/>
      <c r="N877" s="10"/>
      <c r="O877" s="42"/>
      <c r="P877" s="10"/>
    </row>
    <row r="878" spans="1:16" x14ac:dyDescent="0.25">
      <c r="A878" s="5"/>
      <c r="B878" s="22"/>
      <c r="C878" s="22"/>
      <c r="D878" s="18"/>
      <c r="E878" s="24"/>
      <c r="F878" s="13"/>
      <c r="G878" s="13"/>
      <c r="H878" s="7"/>
      <c r="I878" s="13"/>
      <c r="J878" s="9"/>
      <c r="K878" s="10"/>
      <c r="L878" s="10"/>
      <c r="M878" s="11"/>
      <c r="N878" s="10"/>
      <c r="O878" s="42"/>
      <c r="P878" s="10"/>
    </row>
    <row r="879" spans="1:16" x14ac:dyDescent="0.25">
      <c r="A879" s="5"/>
      <c r="B879" s="22"/>
      <c r="C879" s="22"/>
      <c r="D879" s="18"/>
      <c r="E879" s="24"/>
      <c r="F879" s="13"/>
      <c r="G879" s="13"/>
      <c r="H879" s="7"/>
      <c r="I879" s="13"/>
      <c r="J879" s="9"/>
      <c r="K879" s="10"/>
      <c r="L879" s="10"/>
      <c r="M879" s="11"/>
      <c r="N879" s="10"/>
      <c r="O879" s="42"/>
      <c r="P879" s="10"/>
    </row>
    <row r="880" spans="1:16" x14ac:dyDescent="0.25">
      <c r="A880" s="5"/>
      <c r="B880" s="22"/>
      <c r="C880" s="22"/>
      <c r="D880" s="18"/>
      <c r="E880" s="24"/>
      <c r="F880" s="13"/>
      <c r="G880" s="13"/>
      <c r="H880" s="7"/>
      <c r="I880" s="13"/>
      <c r="J880" s="9"/>
      <c r="K880" s="10"/>
      <c r="L880" s="10"/>
      <c r="M880" s="11"/>
      <c r="N880" s="10"/>
      <c r="O880" s="42"/>
      <c r="P880" s="10"/>
    </row>
    <row r="881" spans="1:16" x14ac:dyDescent="0.25">
      <c r="A881" s="5"/>
      <c r="B881" s="22"/>
      <c r="C881" s="22"/>
      <c r="D881" s="18"/>
      <c r="E881" s="24"/>
      <c r="F881" s="13"/>
      <c r="G881" s="13"/>
      <c r="H881" s="7"/>
      <c r="I881" s="13"/>
      <c r="J881" s="9"/>
      <c r="K881" s="10"/>
      <c r="L881" s="10"/>
      <c r="M881" s="11"/>
      <c r="N881" s="10"/>
      <c r="O881" s="42"/>
      <c r="P881" s="10"/>
    </row>
    <row r="882" spans="1:16" x14ac:dyDescent="0.25">
      <c r="A882" s="5"/>
      <c r="B882" s="22"/>
      <c r="C882" s="22"/>
      <c r="D882" s="18"/>
      <c r="E882" s="24"/>
      <c r="F882" s="13"/>
      <c r="G882" s="13"/>
      <c r="H882" s="7"/>
      <c r="I882" s="13"/>
      <c r="J882" s="9"/>
      <c r="K882" s="10"/>
      <c r="L882" s="10"/>
      <c r="M882" s="11"/>
      <c r="N882" s="10"/>
      <c r="O882" s="42"/>
      <c r="P882" s="10"/>
    </row>
    <row r="883" spans="1:16" x14ac:dyDescent="0.25">
      <c r="A883" s="5"/>
      <c r="B883" s="22"/>
      <c r="C883" s="22"/>
      <c r="D883" s="18"/>
      <c r="E883" s="24"/>
      <c r="F883" s="13"/>
      <c r="G883" s="13"/>
      <c r="H883" s="7"/>
      <c r="I883" s="13"/>
      <c r="J883" s="9"/>
      <c r="K883" s="10"/>
      <c r="L883" s="10"/>
      <c r="M883" s="11"/>
      <c r="N883" s="10"/>
      <c r="O883" s="42"/>
      <c r="P883" s="10"/>
    </row>
    <row r="884" spans="1:16" x14ac:dyDescent="0.25">
      <c r="A884" s="5"/>
      <c r="B884" s="22"/>
      <c r="C884" s="22"/>
      <c r="D884" s="18"/>
      <c r="E884" s="24"/>
      <c r="F884" s="13"/>
      <c r="G884" s="13"/>
      <c r="H884" s="7"/>
      <c r="I884" s="13"/>
      <c r="J884" s="9"/>
      <c r="K884" s="10"/>
      <c r="L884" s="10"/>
      <c r="M884" s="11"/>
      <c r="N884" s="10"/>
      <c r="O884" s="42"/>
      <c r="P884" s="10"/>
    </row>
    <row r="885" spans="1:16" x14ac:dyDescent="0.25">
      <c r="A885" s="5"/>
      <c r="B885" s="22"/>
      <c r="C885" s="22"/>
      <c r="D885" s="18"/>
      <c r="E885" s="24"/>
      <c r="F885" s="13"/>
      <c r="G885" s="13"/>
      <c r="H885" s="7"/>
      <c r="I885" s="13"/>
      <c r="J885" s="9"/>
      <c r="K885" s="10"/>
      <c r="L885" s="10"/>
      <c r="M885" s="11"/>
      <c r="N885" s="10"/>
      <c r="O885" s="42"/>
      <c r="P885" s="10"/>
    </row>
    <row r="886" spans="1:16" x14ac:dyDescent="0.25">
      <c r="A886" s="5"/>
      <c r="B886" s="22"/>
      <c r="C886" s="22"/>
      <c r="D886" s="18"/>
      <c r="E886" s="24"/>
      <c r="F886" s="13"/>
      <c r="G886" s="13"/>
      <c r="H886" s="7"/>
      <c r="I886" s="13"/>
      <c r="J886" s="9"/>
      <c r="K886" s="10"/>
      <c r="L886" s="10"/>
      <c r="M886" s="11"/>
      <c r="N886" s="10"/>
      <c r="O886" s="42"/>
      <c r="P886" s="10"/>
    </row>
    <row r="887" spans="1:16" x14ac:dyDescent="0.25">
      <c r="A887" s="5"/>
      <c r="B887" s="22"/>
      <c r="C887" s="22"/>
      <c r="D887" s="18"/>
      <c r="E887" s="24"/>
      <c r="F887" s="13"/>
      <c r="G887" s="13"/>
      <c r="H887" s="7"/>
      <c r="I887" s="13"/>
      <c r="J887" s="9"/>
      <c r="K887" s="10"/>
      <c r="L887" s="10"/>
      <c r="M887" s="11"/>
      <c r="N887" s="10"/>
      <c r="O887" s="42"/>
      <c r="P887" s="10"/>
    </row>
    <row r="888" spans="1:16" x14ac:dyDescent="0.25">
      <c r="A888" s="5"/>
      <c r="B888" s="22"/>
      <c r="C888" s="22"/>
      <c r="D888" s="18"/>
      <c r="E888" s="24"/>
      <c r="F888" s="13"/>
      <c r="G888" s="13"/>
      <c r="H888" s="7"/>
      <c r="I888" s="13"/>
      <c r="J888" s="9"/>
      <c r="K888" s="10"/>
      <c r="L888" s="10"/>
      <c r="M888" s="11"/>
      <c r="N888" s="10"/>
      <c r="O888" s="42"/>
      <c r="P888" s="10"/>
    </row>
    <row r="889" spans="1:16" x14ac:dyDescent="0.25">
      <c r="A889" s="5"/>
      <c r="B889" s="22"/>
      <c r="C889" s="22"/>
      <c r="D889" s="18"/>
      <c r="E889" s="24"/>
      <c r="F889" s="13"/>
      <c r="G889" s="13"/>
      <c r="H889" s="7"/>
      <c r="I889" s="13"/>
      <c r="J889" s="9"/>
      <c r="K889" s="10"/>
      <c r="L889" s="10"/>
      <c r="M889" s="11"/>
      <c r="N889" s="10"/>
      <c r="O889" s="42"/>
      <c r="P889" s="10"/>
    </row>
    <row r="890" spans="1:16" x14ac:dyDescent="0.25">
      <c r="A890" s="5"/>
      <c r="B890" s="22"/>
      <c r="C890" s="22"/>
      <c r="D890" s="18"/>
      <c r="E890" s="24"/>
      <c r="F890" s="13"/>
      <c r="G890" s="13"/>
      <c r="H890" s="7"/>
      <c r="I890" s="13"/>
      <c r="J890" s="9"/>
      <c r="K890" s="10"/>
      <c r="L890" s="10"/>
      <c r="M890" s="11"/>
      <c r="N890" s="10"/>
      <c r="O890" s="42"/>
      <c r="P890" s="10"/>
    </row>
    <row r="891" spans="1:16" x14ac:dyDescent="0.25">
      <c r="A891" s="5"/>
      <c r="B891" s="22"/>
      <c r="C891" s="22"/>
      <c r="D891" s="18"/>
      <c r="E891" s="24"/>
      <c r="F891" s="13"/>
      <c r="G891" s="13"/>
      <c r="H891" s="7"/>
      <c r="I891" s="13"/>
      <c r="J891" s="9"/>
      <c r="K891" s="10"/>
      <c r="L891" s="10"/>
      <c r="M891" s="11"/>
      <c r="N891" s="10"/>
      <c r="O891" s="42"/>
      <c r="P891" s="10"/>
    </row>
    <row r="892" spans="1:16" x14ac:dyDescent="0.25">
      <c r="A892" s="5"/>
      <c r="B892" s="22"/>
      <c r="C892" s="22"/>
      <c r="D892" s="18"/>
      <c r="E892" s="24"/>
      <c r="F892" s="13"/>
      <c r="G892" s="13"/>
      <c r="H892" s="7"/>
      <c r="I892" s="13"/>
      <c r="J892" s="9"/>
      <c r="K892" s="10"/>
      <c r="L892" s="10"/>
      <c r="M892" s="11"/>
      <c r="N892" s="10"/>
      <c r="O892" s="42"/>
      <c r="P892" s="10"/>
    </row>
    <row r="893" spans="1:16" x14ac:dyDescent="0.25">
      <c r="A893" s="5"/>
      <c r="B893" s="22"/>
      <c r="C893" s="22"/>
      <c r="D893" s="18"/>
      <c r="E893" s="24"/>
      <c r="F893" s="13"/>
      <c r="G893" s="13"/>
      <c r="H893" s="7"/>
      <c r="I893" s="13"/>
      <c r="J893" s="9"/>
      <c r="K893" s="10"/>
      <c r="L893" s="10"/>
      <c r="M893" s="11"/>
      <c r="N893" s="10"/>
      <c r="O893" s="42"/>
      <c r="P893" s="10"/>
    </row>
    <row r="894" spans="1:16" x14ac:dyDescent="0.25">
      <c r="A894" s="5"/>
      <c r="B894" s="22"/>
      <c r="C894" s="22"/>
      <c r="D894" s="18"/>
      <c r="E894" s="24"/>
      <c r="F894" s="13"/>
      <c r="G894" s="13"/>
      <c r="H894" s="7"/>
      <c r="I894" s="13"/>
      <c r="J894" s="9"/>
      <c r="K894" s="10"/>
      <c r="L894" s="10"/>
      <c r="M894" s="11"/>
      <c r="N894" s="10"/>
      <c r="O894" s="42"/>
      <c r="P894" s="10"/>
    </row>
    <row r="895" spans="1:16" x14ac:dyDescent="0.25">
      <c r="A895" s="5"/>
      <c r="B895" s="22"/>
      <c r="C895" s="22"/>
      <c r="D895" s="18"/>
      <c r="E895" s="24"/>
      <c r="F895" s="13"/>
      <c r="G895" s="13"/>
      <c r="H895" s="7"/>
      <c r="I895" s="13"/>
      <c r="J895" s="9"/>
      <c r="K895" s="10"/>
      <c r="L895" s="10"/>
      <c r="M895" s="11"/>
      <c r="N895" s="10"/>
      <c r="O895" s="42"/>
      <c r="P895" s="10"/>
    </row>
    <row r="896" spans="1:16" x14ac:dyDescent="0.25">
      <c r="A896" s="5"/>
      <c r="B896" s="22"/>
      <c r="C896" s="22"/>
      <c r="D896" s="18"/>
      <c r="E896" s="24"/>
      <c r="F896" s="13"/>
      <c r="G896" s="13"/>
      <c r="H896" s="7"/>
      <c r="I896" s="13"/>
      <c r="J896" s="9"/>
      <c r="K896" s="10"/>
      <c r="L896" s="10"/>
      <c r="M896" s="11"/>
      <c r="N896" s="10"/>
      <c r="O896" s="42"/>
      <c r="P896" s="10"/>
    </row>
    <row r="897" spans="1:16" x14ac:dyDescent="0.25">
      <c r="A897" s="5"/>
      <c r="B897" s="22"/>
      <c r="C897" s="22"/>
      <c r="D897" s="18"/>
      <c r="E897" s="24"/>
      <c r="F897" s="13"/>
      <c r="G897" s="13"/>
      <c r="H897" s="7"/>
      <c r="I897" s="13"/>
      <c r="J897" s="9"/>
      <c r="K897" s="10"/>
      <c r="L897" s="10"/>
      <c r="M897" s="11"/>
      <c r="N897" s="10"/>
      <c r="O897" s="42"/>
      <c r="P897" s="10"/>
    </row>
    <row r="898" spans="1:16" x14ac:dyDescent="0.25">
      <c r="A898" s="5"/>
      <c r="B898" s="22"/>
      <c r="C898" s="22"/>
      <c r="D898" s="18"/>
      <c r="E898" s="24"/>
      <c r="F898" s="13"/>
      <c r="G898" s="13"/>
      <c r="H898" s="7"/>
      <c r="I898" s="13"/>
      <c r="J898" s="9"/>
      <c r="K898" s="10"/>
      <c r="L898" s="10"/>
      <c r="M898" s="11"/>
      <c r="N898" s="10"/>
      <c r="O898" s="42"/>
      <c r="P898" s="10"/>
    </row>
    <row r="899" spans="1:16" x14ac:dyDescent="0.25">
      <c r="A899" s="5"/>
      <c r="B899" s="22"/>
      <c r="C899" s="22"/>
      <c r="D899" s="18"/>
      <c r="E899" s="24"/>
      <c r="F899" s="13"/>
      <c r="G899" s="13"/>
      <c r="H899" s="7"/>
      <c r="I899" s="13"/>
      <c r="J899" s="9"/>
      <c r="K899" s="10"/>
      <c r="L899" s="10"/>
      <c r="M899" s="11"/>
      <c r="N899" s="10"/>
      <c r="O899" s="42"/>
      <c r="P899" s="10"/>
    </row>
    <row r="900" spans="1:16" x14ac:dyDescent="0.25">
      <c r="A900" s="5"/>
      <c r="B900" s="22"/>
      <c r="C900" s="22"/>
      <c r="D900" s="18"/>
      <c r="E900" s="24"/>
      <c r="F900" s="13"/>
      <c r="G900" s="13"/>
      <c r="H900" s="7"/>
      <c r="I900" s="13"/>
      <c r="J900" s="9"/>
      <c r="K900" s="10"/>
      <c r="L900" s="10"/>
      <c r="M900" s="11"/>
      <c r="N900" s="10"/>
      <c r="O900" s="42"/>
      <c r="P900" s="10"/>
    </row>
    <row r="901" spans="1:16" x14ac:dyDescent="0.25">
      <c r="A901" s="5"/>
      <c r="B901" s="22"/>
      <c r="C901" s="22"/>
      <c r="D901" s="18"/>
      <c r="E901" s="24"/>
      <c r="F901" s="13"/>
      <c r="G901" s="13"/>
      <c r="H901" s="7"/>
      <c r="I901" s="13"/>
      <c r="J901" s="9"/>
      <c r="K901" s="10"/>
      <c r="L901" s="10"/>
      <c r="M901" s="11"/>
      <c r="N901" s="10"/>
      <c r="O901" s="42"/>
      <c r="P901" s="10"/>
    </row>
    <row r="902" spans="1:16" x14ac:dyDescent="0.25">
      <c r="A902" s="5"/>
      <c r="B902" s="22"/>
      <c r="C902" s="22"/>
      <c r="D902" s="18"/>
      <c r="E902" s="24"/>
      <c r="F902" s="13"/>
      <c r="G902" s="13"/>
      <c r="H902" s="7"/>
      <c r="I902" s="13"/>
      <c r="J902" s="9"/>
      <c r="K902" s="10"/>
      <c r="L902" s="10"/>
      <c r="M902" s="11"/>
      <c r="N902" s="10"/>
      <c r="O902" s="42"/>
      <c r="P902" s="10"/>
    </row>
    <row r="903" spans="1:16" x14ac:dyDescent="0.25">
      <c r="A903" s="5"/>
      <c r="B903" s="22"/>
      <c r="C903" s="22"/>
      <c r="D903" s="18"/>
      <c r="E903" s="24"/>
      <c r="F903" s="13"/>
      <c r="G903" s="13"/>
      <c r="H903" s="7"/>
      <c r="I903" s="13"/>
      <c r="J903" s="9"/>
      <c r="K903" s="10"/>
      <c r="L903" s="10"/>
      <c r="M903" s="11"/>
      <c r="N903" s="10"/>
      <c r="O903" s="42"/>
      <c r="P903" s="10"/>
    </row>
    <row r="904" spans="1:16" x14ac:dyDescent="0.25">
      <c r="A904" s="5"/>
      <c r="B904" s="22"/>
      <c r="C904" s="22"/>
      <c r="D904" s="18"/>
      <c r="E904" s="24"/>
      <c r="F904" s="13"/>
      <c r="G904" s="13"/>
      <c r="H904" s="7"/>
      <c r="I904" s="13"/>
      <c r="J904" s="9"/>
      <c r="K904" s="10"/>
      <c r="L904" s="10"/>
      <c r="M904" s="11"/>
      <c r="N904" s="10"/>
      <c r="O904" s="42"/>
      <c r="P904" s="10"/>
    </row>
    <row r="905" spans="1:16" x14ac:dyDescent="0.25">
      <c r="A905" s="5"/>
      <c r="B905" s="22"/>
      <c r="C905" s="22"/>
      <c r="D905" s="18"/>
      <c r="E905" s="24"/>
      <c r="F905" s="13"/>
      <c r="G905" s="13"/>
      <c r="H905" s="7"/>
      <c r="I905" s="13"/>
      <c r="J905" s="9"/>
      <c r="K905" s="10"/>
      <c r="L905" s="10"/>
      <c r="M905" s="11"/>
      <c r="N905" s="10"/>
      <c r="O905" s="42"/>
      <c r="P905" s="10"/>
    </row>
    <row r="906" spans="1:16" x14ac:dyDescent="0.25">
      <c r="A906" s="5"/>
      <c r="B906" s="22"/>
      <c r="C906" s="22"/>
      <c r="D906" s="18"/>
      <c r="E906" s="24"/>
      <c r="F906" s="13"/>
      <c r="G906" s="13"/>
      <c r="H906" s="7"/>
      <c r="I906" s="13"/>
      <c r="J906" s="9"/>
      <c r="K906" s="10"/>
      <c r="L906" s="10"/>
      <c r="M906" s="11"/>
      <c r="N906" s="10"/>
      <c r="O906" s="42"/>
      <c r="P906" s="10"/>
    </row>
    <row r="907" spans="1:16" x14ac:dyDescent="0.25">
      <c r="A907" s="5"/>
      <c r="B907" s="22"/>
      <c r="C907" s="22"/>
      <c r="D907" s="18"/>
      <c r="E907" s="24"/>
      <c r="F907" s="13"/>
      <c r="G907" s="13"/>
      <c r="H907" s="7"/>
      <c r="I907" s="13"/>
      <c r="J907" s="9"/>
      <c r="K907" s="10"/>
      <c r="L907" s="10"/>
      <c r="M907" s="11"/>
      <c r="N907" s="10"/>
      <c r="O907" s="42"/>
      <c r="P907" s="10"/>
    </row>
    <row r="908" spans="1:16" x14ac:dyDescent="0.25">
      <c r="A908" s="5"/>
      <c r="B908" s="22"/>
      <c r="C908" s="22"/>
      <c r="D908" s="18"/>
      <c r="E908" s="24"/>
      <c r="F908" s="13"/>
      <c r="G908" s="13"/>
      <c r="H908" s="7"/>
      <c r="I908" s="13"/>
      <c r="J908" s="9"/>
      <c r="K908" s="10"/>
      <c r="L908" s="10"/>
      <c r="M908" s="11"/>
      <c r="N908" s="10"/>
      <c r="O908" s="42"/>
      <c r="P908" s="10"/>
    </row>
    <row r="909" spans="1:16" x14ac:dyDescent="0.25">
      <c r="A909" s="5"/>
      <c r="B909" s="22"/>
      <c r="C909" s="22"/>
      <c r="D909" s="18"/>
      <c r="E909" s="24"/>
      <c r="F909" s="13"/>
      <c r="G909" s="13"/>
      <c r="H909" s="7"/>
      <c r="I909" s="13"/>
      <c r="J909" s="9"/>
      <c r="K909" s="10"/>
      <c r="L909" s="10"/>
      <c r="M909" s="11"/>
      <c r="N909" s="10"/>
      <c r="O909" s="42"/>
      <c r="P909" s="10"/>
    </row>
    <row r="910" spans="1:16" x14ac:dyDescent="0.25">
      <c r="A910" s="5"/>
      <c r="B910" s="22"/>
      <c r="C910" s="22"/>
      <c r="D910" s="18"/>
      <c r="E910" s="24"/>
      <c r="F910" s="13"/>
      <c r="G910" s="13"/>
      <c r="H910" s="7"/>
      <c r="I910" s="13"/>
      <c r="J910" s="9"/>
      <c r="K910" s="10"/>
      <c r="L910" s="10"/>
      <c r="M910" s="11"/>
      <c r="N910" s="10"/>
      <c r="O910" s="42"/>
      <c r="P910" s="10"/>
    </row>
    <row r="911" spans="1:16" x14ac:dyDescent="0.25">
      <c r="A911" s="5"/>
      <c r="B911" s="22"/>
      <c r="C911" s="22"/>
      <c r="D911" s="18"/>
      <c r="E911" s="24"/>
      <c r="F911" s="13"/>
      <c r="G911" s="13"/>
      <c r="H911" s="7"/>
      <c r="I911" s="13"/>
      <c r="J911" s="9"/>
      <c r="K911" s="10"/>
      <c r="L911" s="10"/>
      <c r="M911" s="11"/>
      <c r="N911" s="10"/>
      <c r="O911" s="42"/>
      <c r="P911" s="10"/>
    </row>
    <row r="912" spans="1:16" x14ac:dyDescent="0.25">
      <c r="A912" s="5"/>
      <c r="B912" s="22"/>
      <c r="C912" s="22"/>
      <c r="D912" s="18"/>
      <c r="E912" s="24"/>
      <c r="F912" s="13"/>
      <c r="G912" s="13"/>
      <c r="H912" s="7"/>
      <c r="I912" s="13"/>
      <c r="J912" s="9"/>
      <c r="K912" s="10"/>
      <c r="L912" s="10"/>
      <c r="M912" s="11"/>
      <c r="N912" s="10"/>
      <c r="O912" s="42"/>
      <c r="P912" s="10"/>
    </row>
    <row r="913" spans="1:16" x14ac:dyDescent="0.25">
      <c r="A913" s="5"/>
      <c r="B913" s="22"/>
      <c r="C913" s="22"/>
      <c r="D913" s="18"/>
      <c r="E913" s="24"/>
      <c r="F913" s="13"/>
      <c r="G913" s="13"/>
      <c r="H913" s="7"/>
      <c r="I913" s="13"/>
      <c r="J913" s="9"/>
      <c r="K913" s="10"/>
      <c r="L913" s="10"/>
      <c r="M913" s="11"/>
      <c r="N913" s="10"/>
      <c r="O913" s="42"/>
      <c r="P913" s="10"/>
    </row>
    <row r="914" spans="1:16" x14ac:dyDescent="0.25">
      <c r="A914" s="5"/>
      <c r="B914" s="22"/>
      <c r="C914" s="22"/>
      <c r="D914" s="18"/>
      <c r="E914" s="24"/>
      <c r="F914" s="13"/>
      <c r="G914" s="13"/>
      <c r="H914" s="7"/>
      <c r="I914" s="13"/>
      <c r="J914" s="9"/>
      <c r="K914" s="10"/>
      <c r="L914" s="10"/>
      <c r="M914" s="11"/>
      <c r="N914" s="10"/>
      <c r="O914" s="42"/>
      <c r="P914" s="10"/>
    </row>
    <row r="915" spans="1:16" x14ac:dyDescent="0.25">
      <c r="A915" s="5"/>
      <c r="B915" s="22"/>
      <c r="C915" s="22"/>
      <c r="D915" s="18"/>
      <c r="E915" s="24"/>
      <c r="F915" s="13"/>
      <c r="G915" s="13"/>
      <c r="H915" s="7"/>
      <c r="I915" s="13"/>
      <c r="J915" s="9"/>
      <c r="K915" s="10"/>
      <c r="L915" s="10"/>
      <c r="M915" s="11"/>
      <c r="N915" s="10"/>
      <c r="O915" s="42"/>
      <c r="P915" s="10"/>
    </row>
    <row r="916" spans="1:16" x14ac:dyDescent="0.25">
      <c r="A916" s="5"/>
      <c r="B916" s="22"/>
      <c r="C916" s="22"/>
      <c r="D916" s="18"/>
      <c r="E916" s="24"/>
      <c r="F916" s="13"/>
      <c r="G916" s="13"/>
      <c r="H916" s="7"/>
      <c r="I916" s="13"/>
      <c r="J916" s="9"/>
      <c r="K916" s="10"/>
      <c r="L916" s="10"/>
      <c r="M916" s="11"/>
      <c r="N916" s="10"/>
      <c r="O916" s="42"/>
      <c r="P916" s="10"/>
    </row>
    <row r="917" spans="1:16" x14ac:dyDescent="0.25">
      <c r="A917" s="5"/>
      <c r="B917" s="22"/>
      <c r="C917" s="22"/>
      <c r="D917" s="18"/>
      <c r="E917" s="24"/>
      <c r="F917" s="13"/>
      <c r="G917" s="13"/>
      <c r="H917" s="7"/>
      <c r="I917" s="13"/>
      <c r="J917" s="9"/>
      <c r="K917" s="10"/>
      <c r="L917" s="10"/>
      <c r="M917" s="11"/>
      <c r="N917" s="10"/>
      <c r="O917" s="42"/>
      <c r="P917" s="10"/>
    </row>
    <row r="918" spans="1:16" x14ac:dyDescent="0.25">
      <c r="A918" s="5"/>
      <c r="B918" s="22"/>
      <c r="C918" s="22"/>
      <c r="D918" s="18"/>
      <c r="E918" s="24"/>
      <c r="F918" s="13"/>
      <c r="G918" s="13"/>
      <c r="H918" s="7"/>
      <c r="I918" s="13"/>
      <c r="J918" s="9"/>
      <c r="K918" s="10"/>
      <c r="L918" s="10"/>
      <c r="M918" s="11"/>
      <c r="N918" s="10"/>
      <c r="O918" s="42"/>
      <c r="P918" s="10"/>
    </row>
    <row r="919" spans="1:16" x14ac:dyDescent="0.25">
      <c r="A919" s="5"/>
      <c r="B919" s="22"/>
      <c r="C919" s="22"/>
      <c r="D919" s="18"/>
      <c r="E919" s="24"/>
      <c r="F919" s="13"/>
      <c r="G919" s="13"/>
      <c r="H919" s="7"/>
      <c r="I919" s="13"/>
      <c r="J919" s="9"/>
      <c r="K919" s="10"/>
      <c r="L919" s="10"/>
      <c r="M919" s="11"/>
      <c r="N919" s="10"/>
      <c r="O919" s="42"/>
      <c r="P919" s="10"/>
    </row>
    <row r="920" spans="1:16" x14ac:dyDescent="0.25">
      <c r="A920" s="5"/>
      <c r="B920" s="22"/>
      <c r="C920" s="22"/>
      <c r="D920" s="18"/>
      <c r="E920" s="24"/>
      <c r="F920" s="13"/>
      <c r="G920" s="13"/>
      <c r="H920" s="7"/>
      <c r="I920" s="13"/>
      <c r="J920" s="9"/>
      <c r="K920" s="10"/>
      <c r="L920" s="10"/>
      <c r="M920" s="11"/>
      <c r="N920" s="10"/>
      <c r="O920" s="42"/>
      <c r="P920" s="10"/>
    </row>
    <row r="921" spans="1:16" x14ac:dyDescent="0.25">
      <c r="A921" s="5"/>
      <c r="B921" s="22"/>
      <c r="C921" s="22"/>
      <c r="D921" s="18"/>
      <c r="E921" s="24"/>
      <c r="F921" s="13"/>
      <c r="G921" s="13"/>
      <c r="H921" s="7"/>
      <c r="I921" s="13"/>
      <c r="J921" s="9"/>
      <c r="K921" s="10"/>
      <c r="L921" s="10"/>
      <c r="M921" s="11"/>
      <c r="N921" s="10"/>
      <c r="O921" s="42"/>
      <c r="P921" s="10"/>
    </row>
    <row r="922" spans="1:16" x14ac:dyDescent="0.25">
      <c r="A922" s="5"/>
      <c r="B922" s="22"/>
      <c r="C922" s="22"/>
      <c r="D922" s="18"/>
      <c r="E922" s="24"/>
      <c r="F922" s="13"/>
      <c r="G922" s="13"/>
      <c r="H922" s="7"/>
      <c r="I922" s="13"/>
      <c r="J922" s="9"/>
      <c r="K922" s="10"/>
      <c r="L922" s="10"/>
      <c r="M922" s="11"/>
      <c r="N922" s="10"/>
      <c r="O922" s="42"/>
      <c r="P922" s="10"/>
    </row>
    <row r="923" spans="1:16" x14ac:dyDescent="0.25">
      <c r="A923" s="5"/>
      <c r="B923" s="22"/>
      <c r="C923" s="22"/>
      <c r="D923" s="18"/>
      <c r="E923" s="24"/>
      <c r="F923" s="13"/>
      <c r="G923" s="13"/>
      <c r="H923" s="7"/>
      <c r="I923" s="13"/>
      <c r="J923" s="9"/>
      <c r="K923" s="10"/>
      <c r="L923" s="10"/>
      <c r="M923" s="11"/>
      <c r="N923" s="10"/>
      <c r="O923" s="42"/>
      <c r="P923" s="10"/>
    </row>
    <row r="924" spans="1:16" x14ac:dyDescent="0.25">
      <c r="A924" s="5"/>
      <c r="B924" s="22"/>
      <c r="C924" s="22"/>
      <c r="D924" s="18"/>
      <c r="E924" s="24"/>
      <c r="F924" s="13"/>
      <c r="G924" s="13"/>
      <c r="H924" s="7"/>
      <c r="I924" s="13"/>
      <c r="J924" s="9"/>
      <c r="K924" s="10"/>
      <c r="L924" s="10"/>
      <c r="M924" s="11"/>
      <c r="N924" s="10"/>
      <c r="O924" s="42"/>
      <c r="P924" s="10"/>
    </row>
    <row r="925" spans="1:16" x14ac:dyDescent="0.25">
      <c r="A925" s="5"/>
      <c r="B925" s="22"/>
      <c r="C925" s="22"/>
      <c r="D925" s="18"/>
      <c r="E925" s="24"/>
      <c r="F925" s="13"/>
      <c r="G925" s="13"/>
      <c r="H925" s="7"/>
      <c r="I925" s="13"/>
      <c r="J925" s="9"/>
      <c r="K925" s="10"/>
      <c r="L925" s="10"/>
      <c r="M925" s="11"/>
      <c r="N925" s="10"/>
      <c r="O925" s="42"/>
      <c r="P925" s="10"/>
    </row>
    <row r="926" spans="1:16" x14ac:dyDescent="0.25">
      <c r="A926" s="5"/>
      <c r="B926" s="22"/>
      <c r="C926" s="22"/>
      <c r="D926" s="18"/>
      <c r="E926" s="24"/>
      <c r="F926" s="13"/>
      <c r="G926" s="13"/>
      <c r="H926" s="7"/>
      <c r="I926" s="13"/>
      <c r="J926" s="9"/>
      <c r="K926" s="10"/>
      <c r="L926" s="10"/>
      <c r="M926" s="11"/>
      <c r="N926" s="10"/>
      <c r="O926" s="42"/>
      <c r="P926" s="10"/>
    </row>
    <row r="927" spans="1:16" x14ac:dyDescent="0.25">
      <c r="A927" s="5"/>
      <c r="B927" s="22"/>
      <c r="C927" s="22"/>
      <c r="D927" s="18"/>
      <c r="E927" s="24"/>
      <c r="F927" s="13"/>
      <c r="G927" s="13"/>
      <c r="H927" s="7"/>
      <c r="I927" s="13"/>
      <c r="J927" s="9"/>
      <c r="K927" s="10"/>
      <c r="L927" s="10"/>
      <c r="M927" s="11"/>
      <c r="N927" s="10"/>
      <c r="O927" s="42"/>
      <c r="P927" s="10"/>
    </row>
    <row r="928" spans="1:16" x14ac:dyDescent="0.25">
      <c r="A928" s="5"/>
      <c r="B928" s="22"/>
      <c r="C928" s="22"/>
      <c r="D928" s="18"/>
      <c r="E928" s="24"/>
      <c r="F928" s="13"/>
      <c r="G928" s="13"/>
      <c r="H928" s="7"/>
      <c r="I928" s="13"/>
      <c r="J928" s="9"/>
      <c r="K928" s="10"/>
      <c r="L928" s="10"/>
      <c r="M928" s="11"/>
      <c r="N928" s="10"/>
      <c r="O928" s="42"/>
      <c r="P928" s="10"/>
    </row>
    <row r="929" spans="1:16" x14ac:dyDescent="0.25">
      <c r="A929" s="5"/>
      <c r="B929" s="22"/>
      <c r="C929" s="22"/>
      <c r="D929" s="18"/>
      <c r="E929" s="24"/>
      <c r="F929" s="13"/>
      <c r="G929" s="13"/>
      <c r="H929" s="7"/>
      <c r="I929" s="13"/>
      <c r="J929" s="9"/>
      <c r="K929" s="10"/>
      <c r="L929" s="10"/>
      <c r="M929" s="11"/>
      <c r="N929" s="10"/>
      <c r="O929" s="42"/>
      <c r="P929" s="10"/>
    </row>
    <row r="930" spans="1:16" x14ac:dyDescent="0.25">
      <c r="A930" s="5"/>
      <c r="B930" s="22"/>
      <c r="C930" s="22"/>
      <c r="D930" s="18"/>
      <c r="E930" s="24"/>
      <c r="F930" s="13"/>
      <c r="G930" s="13"/>
      <c r="H930" s="7"/>
      <c r="I930" s="13"/>
      <c r="J930" s="9"/>
      <c r="K930" s="10"/>
      <c r="L930" s="10"/>
      <c r="M930" s="11"/>
      <c r="N930" s="10"/>
      <c r="O930" s="42"/>
      <c r="P930" s="10"/>
    </row>
    <row r="931" spans="1:16" x14ac:dyDescent="0.25">
      <c r="A931" s="5"/>
      <c r="B931" s="22"/>
      <c r="C931" s="22"/>
      <c r="D931" s="18"/>
      <c r="E931" s="24"/>
      <c r="F931" s="13"/>
      <c r="G931" s="13"/>
      <c r="H931" s="7"/>
      <c r="I931" s="13"/>
      <c r="J931" s="9"/>
      <c r="K931" s="10"/>
      <c r="L931" s="10"/>
      <c r="M931" s="11"/>
      <c r="N931" s="10"/>
      <c r="O931" s="42"/>
      <c r="P931" s="10"/>
    </row>
    <row r="932" spans="1:16" x14ac:dyDescent="0.25">
      <c r="A932" s="5"/>
      <c r="B932" s="22"/>
      <c r="C932" s="22"/>
      <c r="D932" s="18"/>
      <c r="E932" s="24"/>
      <c r="F932" s="13"/>
      <c r="G932" s="13"/>
      <c r="H932" s="7"/>
      <c r="I932" s="13"/>
      <c r="J932" s="9"/>
      <c r="K932" s="10"/>
      <c r="L932" s="10"/>
      <c r="M932" s="11"/>
      <c r="N932" s="10"/>
      <c r="O932" s="42"/>
      <c r="P932" s="10"/>
    </row>
    <row r="933" spans="1:16" x14ac:dyDescent="0.25">
      <c r="A933" s="5"/>
      <c r="B933" s="22"/>
      <c r="C933" s="22"/>
      <c r="D933" s="18"/>
      <c r="E933" s="24"/>
      <c r="F933" s="13"/>
      <c r="G933" s="13"/>
      <c r="H933" s="7"/>
      <c r="I933" s="13"/>
      <c r="J933" s="9"/>
      <c r="K933" s="10"/>
      <c r="L933" s="10"/>
      <c r="M933" s="11"/>
      <c r="N933" s="10"/>
      <c r="O933" s="42"/>
      <c r="P933" s="10"/>
    </row>
    <row r="934" spans="1:16" x14ac:dyDescent="0.25">
      <c r="A934" s="5"/>
      <c r="B934" s="22"/>
      <c r="C934" s="22"/>
      <c r="D934" s="18"/>
      <c r="E934" s="24"/>
      <c r="F934" s="13"/>
      <c r="G934" s="13"/>
      <c r="H934" s="7"/>
      <c r="I934" s="13"/>
      <c r="J934" s="9"/>
      <c r="K934" s="10"/>
      <c r="L934" s="10"/>
      <c r="M934" s="11"/>
      <c r="N934" s="10"/>
      <c r="O934" s="42"/>
      <c r="P934" s="10"/>
    </row>
    <row r="935" spans="1:16" x14ac:dyDescent="0.25">
      <c r="A935" s="5"/>
      <c r="B935" s="22"/>
      <c r="C935" s="22"/>
      <c r="D935" s="18"/>
      <c r="E935" s="24"/>
      <c r="F935" s="13"/>
      <c r="G935" s="13"/>
      <c r="H935" s="7"/>
      <c r="I935" s="13"/>
      <c r="J935" s="9"/>
      <c r="K935" s="10"/>
      <c r="L935" s="10"/>
      <c r="M935" s="11"/>
      <c r="N935" s="10"/>
      <c r="O935" s="42"/>
      <c r="P935" s="10"/>
    </row>
    <row r="936" spans="1:16" x14ac:dyDescent="0.25">
      <c r="A936" s="5"/>
      <c r="B936" s="22"/>
      <c r="C936" s="22"/>
      <c r="D936" s="18"/>
      <c r="E936" s="24"/>
      <c r="F936" s="13"/>
      <c r="G936" s="13"/>
      <c r="H936" s="7"/>
      <c r="I936" s="13"/>
      <c r="J936" s="9"/>
      <c r="K936" s="10"/>
      <c r="L936" s="10"/>
      <c r="M936" s="11"/>
      <c r="N936" s="10"/>
      <c r="O936" s="42"/>
      <c r="P936" s="10"/>
    </row>
    <row r="937" spans="1:16" x14ac:dyDescent="0.25">
      <c r="A937" s="5"/>
      <c r="B937" s="22"/>
      <c r="C937" s="22"/>
      <c r="D937" s="18"/>
      <c r="E937" s="24"/>
      <c r="F937" s="13"/>
      <c r="G937" s="13"/>
      <c r="H937" s="7"/>
      <c r="I937" s="13"/>
      <c r="J937" s="9"/>
      <c r="K937" s="10"/>
      <c r="L937" s="10"/>
      <c r="M937" s="11"/>
      <c r="N937" s="10"/>
      <c r="O937" s="42"/>
      <c r="P937" s="10"/>
    </row>
    <row r="938" spans="1:16" x14ac:dyDescent="0.25">
      <c r="A938" s="5"/>
      <c r="B938" s="22"/>
      <c r="C938" s="22"/>
      <c r="D938" s="18"/>
      <c r="E938" s="24"/>
      <c r="F938" s="13"/>
      <c r="G938" s="13"/>
      <c r="H938" s="7"/>
      <c r="I938" s="13"/>
      <c r="J938" s="9"/>
      <c r="K938" s="10"/>
      <c r="L938" s="10"/>
      <c r="M938" s="11"/>
      <c r="N938" s="10"/>
      <c r="O938" s="42"/>
      <c r="P938" s="10"/>
    </row>
    <row r="939" spans="1:16" x14ac:dyDescent="0.25">
      <c r="A939" s="5"/>
      <c r="B939" s="22"/>
      <c r="C939" s="22"/>
      <c r="D939" s="18"/>
      <c r="E939" s="24"/>
      <c r="F939" s="13"/>
      <c r="G939" s="13"/>
      <c r="H939" s="7"/>
      <c r="I939" s="13"/>
      <c r="J939" s="9"/>
      <c r="K939" s="10"/>
      <c r="L939" s="10"/>
      <c r="M939" s="11"/>
      <c r="N939" s="10"/>
      <c r="O939" s="42"/>
      <c r="P939" s="10"/>
    </row>
    <row r="940" spans="1:16" x14ac:dyDescent="0.25">
      <c r="A940" s="5"/>
      <c r="B940" s="22"/>
      <c r="C940" s="22"/>
      <c r="D940" s="18"/>
      <c r="E940" s="24"/>
      <c r="F940" s="13"/>
      <c r="G940" s="13"/>
      <c r="H940" s="7"/>
      <c r="I940" s="13"/>
      <c r="J940" s="9"/>
      <c r="K940" s="10"/>
      <c r="L940" s="10"/>
      <c r="M940" s="11"/>
      <c r="N940" s="10"/>
      <c r="O940" s="42"/>
      <c r="P940" s="10"/>
    </row>
    <row r="941" spans="1:16" x14ac:dyDescent="0.25">
      <c r="A941" s="5"/>
      <c r="B941" s="22"/>
      <c r="C941" s="22"/>
      <c r="D941" s="18"/>
      <c r="E941" s="24"/>
      <c r="F941" s="13"/>
      <c r="G941" s="13"/>
      <c r="H941" s="7"/>
      <c r="I941" s="13"/>
      <c r="J941" s="9"/>
      <c r="K941" s="10"/>
      <c r="L941" s="10"/>
      <c r="M941" s="11"/>
      <c r="N941" s="10"/>
      <c r="O941" s="42"/>
      <c r="P941" s="10"/>
    </row>
    <row r="942" spans="1:16" x14ac:dyDescent="0.25">
      <c r="A942" s="5"/>
      <c r="B942" s="22"/>
      <c r="C942" s="22"/>
      <c r="D942" s="18"/>
      <c r="E942" s="24"/>
      <c r="F942" s="13"/>
      <c r="G942" s="13"/>
      <c r="H942" s="7"/>
      <c r="I942" s="13"/>
      <c r="J942" s="9"/>
      <c r="K942" s="10"/>
      <c r="L942" s="10"/>
      <c r="M942" s="11"/>
      <c r="N942" s="10"/>
      <c r="O942" s="42"/>
      <c r="P942" s="10"/>
    </row>
    <row r="943" spans="1:16" x14ac:dyDescent="0.25">
      <c r="A943" s="5"/>
      <c r="B943" s="22"/>
      <c r="C943" s="22"/>
      <c r="D943" s="18"/>
      <c r="E943" s="24"/>
      <c r="F943" s="13"/>
      <c r="G943" s="13"/>
      <c r="H943" s="7"/>
      <c r="I943" s="13"/>
      <c r="J943" s="9"/>
      <c r="K943" s="10"/>
      <c r="L943" s="10"/>
      <c r="M943" s="11"/>
      <c r="N943" s="10"/>
      <c r="O943" s="42"/>
      <c r="P943" s="10"/>
    </row>
    <row r="944" spans="1:16" x14ac:dyDescent="0.25">
      <c r="A944" s="5"/>
      <c r="B944" s="22"/>
      <c r="C944" s="22"/>
      <c r="D944" s="18"/>
      <c r="E944" s="24"/>
      <c r="F944" s="13"/>
      <c r="G944" s="13"/>
      <c r="H944" s="7"/>
      <c r="I944" s="13"/>
      <c r="J944" s="9"/>
      <c r="K944" s="10"/>
      <c r="L944" s="10"/>
      <c r="M944" s="11"/>
      <c r="N944" s="10"/>
      <c r="O944" s="42"/>
      <c r="P944" s="10"/>
    </row>
    <row r="945" spans="1:16" x14ac:dyDescent="0.25">
      <c r="A945" s="5"/>
      <c r="B945" s="22"/>
      <c r="C945" s="22"/>
      <c r="D945" s="18"/>
      <c r="E945" s="24"/>
      <c r="F945" s="13"/>
      <c r="G945" s="13"/>
      <c r="H945" s="7"/>
      <c r="I945" s="13"/>
      <c r="J945" s="9"/>
      <c r="K945" s="10"/>
      <c r="L945" s="10"/>
      <c r="M945" s="11"/>
      <c r="N945" s="10"/>
      <c r="O945" s="42"/>
      <c r="P945" s="10"/>
    </row>
    <row r="946" spans="1:16" x14ac:dyDescent="0.25">
      <c r="A946" s="5"/>
      <c r="B946" s="22"/>
      <c r="C946" s="22"/>
      <c r="D946" s="18"/>
      <c r="E946" s="24"/>
      <c r="F946" s="13"/>
      <c r="G946" s="13"/>
      <c r="H946" s="7"/>
      <c r="I946" s="13"/>
      <c r="J946" s="9"/>
      <c r="K946" s="10"/>
      <c r="L946" s="10"/>
      <c r="M946" s="11"/>
      <c r="N946" s="10"/>
      <c r="O946" s="42"/>
      <c r="P946" s="10"/>
    </row>
    <row r="947" spans="1:16" x14ac:dyDescent="0.25">
      <c r="A947" s="5"/>
      <c r="B947" s="22"/>
      <c r="C947" s="22"/>
      <c r="D947" s="18"/>
      <c r="E947" s="24"/>
      <c r="F947" s="13"/>
      <c r="G947" s="13"/>
      <c r="H947" s="7"/>
      <c r="I947" s="13"/>
      <c r="J947" s="9"/>
      <c r="K947" s="10"/>
      <c r="L947" s="10"/>
      <c r="M947" s="11"/>
      <c r="N947" s="10"/>
      <c r="O947" s="42"/>
      <c r="P947" s="10"/>
    </row>
    <row r="948" spans="1:16" x14ac:dyDescent="0.25">
      <c r="A948" s="5"/>
      <c r="B948" s="22"/>
      <c r="C948" s="22"/>
      <c r="D948" s="18"/>
      <c r="E948" s="24"/>
      <c r="F948" s="13"/>
      <c r="G948" s="13"/>
      <c r="H948" s="7"/>
      <c r="I948" s="13"/>
      <c r="J948" s="9"/>
      <c r="K948" s="10"/>
      <c r="L948" s="10"/>
      <c r="M948" s="11"/>
      <c r="N948" s="10"/>
      <c r="O948" s="42"/>
      <c r="P948" s="10"/>
    </row>
    <row r="949" spans="1:16" x14ac:dyDescent="0.25">
      <c r="A949" s="5"/>
      <c r="B949" s="22"/>
      <c r="C949" s="22"/>
      <c r="D949" s="18"/>
      <c r="E949" s="24"/>
      <c r="F949" s="13"/>
      <c r="G949" s="13"/>
      <c r="H949" s="7"/>
      <c r="I949" s="13"/>
      <c r="J949" s="9"/>
      <c r="K949" s="10"/>
      <c r="L949" s="10"/>
      <c r="M949" s="11"/>
      <c r="N949" s="10"/>
      <c r="O949" s="42"/>
      <c r="P949" s="10"/>
    </row>
    <row r="950" spans="1:16" x14ac:dyDescent="0.25">
      <c r="A950" s="5"/>
      <c r="B950" s="22"/>
      <c r="C950" s="22"/>
      <c r="D950" s="18"/>
      <c r="E950" s="24"/>
      <c r="F950" s="13"/>
      <c r="G950" s="13"/>
      <c r="H950" s="7"/>
      <c r="I950" s="13"/>
      <c r="J950" s="9"/>
      <c r="K950" s="10"/>
      <c r="L950" s="10"/>
      <c r="M950" s="11"/>
      <c r="N950" s="10"/>
      <c r="O950" s="42"/>
      <c r="P950" s="10"/>
    </row>
    <row r="951" spans="1:16" x14ac:dyDescent="0.25">
      <c r="A951" s="5"/>
      <c r="B951" s="22"/>
      <c r="C951" s="22"/>
      <c r="D951" s="18"/>
      <c r="E951" s="24"/>
      <c r="F951" s="13"/>
      <c r="G951" s="13"/>
      <c r="H951" s="7"/>
      <c r="I951" s="13"/>
      <c r="J951" s="9"/>
      <c r="K951" s="10"/>
      <c r="L951" s="10"/>
      <c r="M951" s="11"/>
      <c r="N951" s="10"/>
      <c r="O951" s="42"/>
      <c r="P951" s="10"/>
    </row>
    <row r="952" spans="1:16" x14ac:dyDescent="0.25">
      <c r="A952" s="5"/>
      <c r="B952" s="22"/>
      <c r="C952" s="22"/>
      <c r="D952" s="18"/>
      <c r="E952" s="24"/>
      <c r="F952" s="13"/>
      <c r="G952" s="13"/>
      <c r="H952" s="7"/>
      <c r="I952" s="13"/>
      <c r="J952" s="9"/>
      <c r="K952" s="10"/>
      <c r="L952" s="10"/>
      <c r="M952" s="11"/>
      <c r="N952" s="10"/>
      <c r="O952" s="42"/>
      <c r="P952" s="10"/>
    </row>
    <row r="953" spans="1:16" x14ac:dyDescent="0.25">
      <c r="A953" s="5"/>
      <c r="B953" s="22"/>
      <c r="C953" s="22"/>
      <c r="D953" s="18"/>
      <c r="E953" s="24"/>
      <c r="F953" s="13"/>
      <c r="G953" s="13"/>
      <c r="H953" s="7"/>
      <c r="I953" s="13"/>
      <c r="J953" s="9"/>
      <c r="K953" s="10"/>
      <c r="L953" s="10"/>
      <c r="M953" s="11"/>
      <c r="N953" s="10"/>
      <c r="O953" s="42"/>
      <c r="P953" s="10"/>
    </row>
    <row r="954" spans="1:16" x14ac:dyDescent="0.25">
      <c r="A954" s="5"/>
      <c r="B954" s="22"/>
      <c r="C954" s="22"/>
      <c r="D954" s="18"/>
      <c r="E954" s="24"/>
      <c r="F954" s="13"/>
      <c r="G954" s="13"/>
      <c r="H954" s="7"/>
      <c r="I954" s="13"/>
      <c r="J954" s="9"/>
      <c r="K954" s="10"/>
      <c r="L954" s="10"/>
      <c r="M954" s="11"/>
      <c r="N954" s="10"/>
      <c r="O954" s="42"/>
      <c r="P954" s="10"/>
    </row>
    <row r="955" spans="1:16" x14ac:dyDescent="0.25">
      <c r="A955" s="5"/>
      <c r="B955" s="22"/>
      <c r="C955" s="22"/>
      <c r="D955" s="18"/>
      <c r="E955" s="24"/>
      <c r="F955" s="13"/>
      <c r="G955" s="13"/>
      <c r="H955" s="7"/>
      <c r="I955" s="13"/>
      <c r="J955" s="9"/>
      <c r="K955" s="10"/>
      <c r="L955" s="10"/>
      <c r="M955" s="11"/>
      <c r="N955" s="10"/>
      <c r="O955" s="42"/>
      <c r="P955" s="10"/>
    </row>
    <row r="956" spans="1:16" x14ac:dyDescent="0.25">
      <c r="A956" s="5"/>
      <c r="B956" s="22"/>
      <c r="C956" s="22"/>
      <c r="D956" s="18"/>
      <c r="E956" s="24"/>
      <c r="F956" s="13"/>
      <c r="G956" s="13"/>
      <c r="H956" s="7"/>
      <c r="I956" s="13"/>
      <c r="J956" s="9"/>
      <c r="K956" s="10"/>
      <c r="L956" s="10"/>
      <c r="M956" s="11"/>
      <c r="N956" s="10"/>
      <c r="O956" s="42"/>
      <c r="P956" s="10"/>
    </row>
    <row r="957" spans="1:16" x14ac:dyDescent="0.25">
      <c r="A957" s="5"/>
      <c r="B957" s="22"/>
      <c r="C957" s="22"/>
      <c r="D957" s="18"/>
      <c r="E957" s="24"/>
      <c r="F957" s="13"/>
      <c r="G957" s="13"/>
      <c r="H957" s="7"/>
      <c r="I957" s="13"/>
      <c r="J957" s="9"/>
      <c r="K957" s="10"/>
      <c r="L957" s="10"/>
      <c r="M957" s="11"/>
      <c r="N957" s="10"/>
      <c r="O957" s="42"/>
      <c r="P957" s="10"/>
    </row>
    <row r="958" spans="1:16" x14ac:dyDescent="0.25">
      <c r="A958" s="5"/>
      <c r="B958" s="22"/>
      <c r="C958" s="22"/>
      <c r="D958" s="18"/>
      <c r="E958" s="24"/>
      <c r="F958" s="13"/>
      <c r="G958" s="13"/>
      <c r="H958" s="7"/>
      <c r="I958" s="13"/>
      <c r="J958" s="9"/>
      <c r="K958" s="10"/>
      <c r="L958" s="10"/>
      <c r="M958" s="11"/>
      <c r="N958" s="10"/>
      <c r="O958" s="42"/>
      <c r="P958" s="10"/>
    </row>
    <row r="959" spans="1:16" x14ac:dyDescent="0.25">
      <c r="A959" s="5"/>
      <c r="B959" s="22"/>
      <c r="C959" s="22"/>
      <c r="D959" s="18"/>
      <c r="E959" s="24"/>
      <c r="F959" s="13"/>
      <c r="G959" s="13"/>
      <c r="H959" s="7"/>
      <c r="I959" s="13"/>
      <c r="J959" s="9"/>
      <c r="K959" s="10"/>
      <c r="L959" s="10"/>
      <c r="M959" s="11"/>
      <c r="N959" s="10"/>
      <c r="O959" s="42"/>
      <c r="P959" s="10"/>
    </row>
    <row r="960" spans="1:16" x14ac:dyDescent="0.25">
      <c r="A960" s="5"/>
      <c r="B960" s="22"/>
      <c r="C960" s="22"/>
      <c r="D960" s="18"/>
      <c r="E960" s="24"/>
      <c r="F960" s="13"/>
      <c r="G960" s="13"/>
      <c r="H960" s="7"/>
      <c r="I960" s="13"/>
      <c r="J960" s="9"/>
      <c r="K960" s="10"/>
      <c r="L960" s="10"/>
      <c r="M960" s="11"/>
      <c r="N960" s="10"/>
      <c r="O960" s="42"/>
      <c r="P960" s="10"/>
    </row>
    <row r="961" spans="1:16" x14ac:dyDescent="0.25">
      <c r="A961" s="5"/>
      <c r="B961" s="22"/>
      <c r="C961" s="22"/>
      <c r="D961" s="18"/>
      <c r="E961" s="24"/>
      <c r="F961" s="13"/>
      <c r="G961" s="13"/>
      <c r="H961" s="7"/>
      <c r="I961" s="13"/>
      <c r="J961" s="9"/>
      <c r="K961" s="10"/>
      <c r="L961" s="10"/>
      <c r="M961" s="11"/>
      <c r="N961" s="10"/>
      <c r="O961" s="42"/>
      <c r="P961" s="10"/>
    </row>
    <row r="962" spans="1:16" x14ac:dyDescent="0.25">
      <c r="A962" s="5"/>
      <c r="B962" s="22"/>
      <c r="C962" s="22"/>
      <c r="D962" s="18"/>
      <c r="E962" s="24"/>
      <c r="F962" s="13"/>
      <c r="G962" s="13"/>
      <c r="H962" s="7"/>
      <c r="I962" s="13"/>
      <c r="J962" s="9"/>
      <c r="K962" s="10"/>
      <c r="L962" s="10"/>
      <c r="M962" s="11"/>
      <c r="N962" s="10"/>
      <c r="O962" s="42"/>
      <c r="P962" s="10"/>
    </row>
    <row r="963" spans="1:16" x14ac:dyDescent="0.25">
      <c r="A963" s="5"/>
      <c r="B963" s="22"/>
      <c r="C963" s="22"/>
      <c r="D963" s="18"/>
      <c r="E963" s="24"/>
      <c r="F963" s="13"/>
      <c r="G963" s="13"/>
      <c r="H963" s="7"/>
      <c r="I963" s="13"/>
      <c r="J963" s="9"/>
      <c r="K963" s="10"/>
      <c r="L963" s="10"/>
      <c r="M963" s="11"/>
      <c r="N963" s="10"/>
      <c r="O963" s="42"/>
      <c r="P963" s="10"/>
    </row>
    <row r="964" spans="1:16" x14ac:dyDescent="0.25">
      <c r="A964" s="5"/>
      <c r="B964" s="22"/>
      <c r="C964" s="22"/>
      <c r="D964" s="18"/>
      <c r="E964" s="24"/>
      <c r="F964" s="13"/>
      <c r="G964" s="13"/>
      <c r="H964" s="7"/>
      <c r="I964" s="13"/>
      <c r="J964" s="9"/>
      <c r="K964" s="10"/>
      <c r="L964" s="10"/>
      <c r="M964" s="11"/>
      <c r="N964" s="10"/>
      <c r="O964" s="42"/>
      <c r="P964" s="10"/>
    </row>
    <row r="965" spans="1:16" x14ac:dyDescent="0.25">
      <c r="A965" s="5"/>
      <c r="B965" s="22"/>
      <c r="C965" s="22"/>
      <c r="D965" s="18"/>
      <c r="E965" s="24"/>
      <c r="F965" s="13"/>
      <c r="G965" s="13"/>
      <c r="H965" s="7"/>
      <c r="I965" s="13"/>
      <c r="J965" s="9"/>
      <c r="K965" s="10"/>
      <c r="L965" s="10"/>
      <c r="M965" s="11"/>
      <c r="N965" s="10"/>
      <c r="O965" s="42"/>
      <c r="P965" s="10"/>
    </row>
    <row r="966" spans="1:16" x14ac:dyDescent="0.25">
      <c r="A966" s="5"/>
      <c r="B966" s="22"/>
      <c r="C966" s="22"/>
      <c r="D966" s="18"/>
      <c r="E966" s="24"/>
      <c r="F966" s="13"/>
      <c r="G966" s="13"/>
      <c r="H966" s="7"/>
      <c r="I966" s="13"/>
      <c r="J966" s="9"/>
      <c r="K966" s="10"/>
      <c r="L966" s="10"/>
      <c r="M966" s="11"/>
      <c r="N966" s="10"/>
      <c r="O966" s="42"/>
      <c r="P966" s="10"/>
    </row>
    <row r="967" spans="1:16" x14ac:dyDescent="0.25">
      <c r="A967" s="5"/>
      <c r="B967" s="22"/>
      <c r="C967" s="22"/>
      <c r="D967" s="18"/>
      <c r="E967" s="24"/>
      <c r="F967" s="13"/>
      <c r="G967" s="13"/>
      <c r="H967" s="7"/>
      <c r="I967" s="13"/>
      <c r="J967" s="9"/>
      <c r="K967" s="10"/>
      <c r="L967" s="10"/>
      <c r="M967" s="11"/>
      <c r="N967" s="10"/>
      <c r="O967" s="42"/>
      <c r="P967" s="10"/>
    </row>
    <row r="968" spans="1:16" x14ac:dyDescent="0.25">
      <c r="A968" s="5"/>
      <c r="B968" s="22"/>
      <c r="C968" s="22"/>
      <c r="D968" s="18"/>
      <c r="E968" s="24"/>
      <c r="F968" s="13"/>
      <c r="G968" s="13"/>
      <c r="H968" s="7"/>
      <c r="I968" s="13"/>
      <c r="J968" s="9"/>
      <c r="K968" s="10"/>
      <c r="L968" s="10"/>
      <c r="M968" s="11"/>
      <c r="N968" s="10"/>
      <c r="O968" s="42"/>
      <c r="P968" s="10"/>
    </row>
    <row r="969" spans="1:16" x14ac:dyDescent="0.25">
      <c r="A969" s="5"/>
      <c r="B969" s="22"/>
      <c r="C969" s="22"/>
      <c r="D969" s="18"/>
      <c r="E969" s="24"/>
      <c r="F969" s="13"/>
      <c r="G969" s="13"/>
      <c r="H969" s="7"/>
      <c r="I969" s="13"/>
      <c r="J969" s="9"/>
      <c r="K969" s="10"/>
      <c r="L969" s="10"/>
      <c r="M969" s="11"/>
      <c r="N969" s="10"/>
      <c r="O969" s="42"/>
      <c r="P969" s="10"/>
    </row>
    <row r="970" spans="1:16" x14ac:dyDescent="0.25">
      <c r="A970" s="5"/>
      <c r="B970" s="22"/>
      <c r="C970" s="22"/>
      <c r="D970" s="18"/>
      <c r="E970" s="24"/>
      <c r="F970" s="13"/>
      <c r="G970" s="13"/>
      <c r="H970" s="7"/>
      <c r="I970" s="13"/>
      <c r="J970" s="9"/>
      <c r="K970" s="10"/>
      <c r="L970" s="10"/>
      <c r="M970" s="11"/>
      <c r="N970" s="10"/>
      <c r="O970" s="42"/>
      <c r="P970" s="10"/>
    </row>
    <row r="971" spans="1:16" x14ac:dyDescent="0.25">
      <c r="A971" s="5"/>
      <c r="B971" s="22"/>
      <c r="C971" s="22"/>
      <c r="D971" s="18"/>
      <c r="E971" s="24"/>
      <c r="F971" s="13"/>
      <c r="G971" s="13"/>
      <c r="H971" s="7"/>
      <c r="I971" s="13"/>
      <c r="J971" s="9"/>
      <c r="K971" s="10"/>
      <c r="L971" s="10"/>
      <c r="M971" s="11"/>
      <c r="N971" s="10"/>
      <c r="O971" s="42"/>
      <c r="P971" s="10"/>
    </row>
    <row r="972" spans="1:16" x14ac:dyDescent="0.25">
      <c r="A972" s="5"/>
      <c r="B972" s="22"/>
      <c r="C972" s="22"/>
      <c r="D972" s="18"/>
      <c r="E972" s="24"/>
      <c r="F972" s="13"/>
      <c r="G972" s="13"/>
      <c r="H972" s="7"/>
      <c r="I972" s="13"/>
      <c r="J972" s="9"/>
      <c r="K972" s="10"/>
      <c r="L972" s="10"/>
      <c r="M972" s="11"/>
      <c r="N972" s="10"/>
      <c r="O972" s="42"/>
      <c r="P972" s="10"/>
    </row>
    <row r="973" spans="1:16" x14ac:dyDescent="0.25">
      <c r="A973" s="5"/>
      <c r="B973" s="22"/>
      <c r="C973" s="22"/>
      <c r="D973" s="18"/>
      <c r="E973" s="24"/>
      <c r="F973" s="13"/>
      <c r="G973" s="13"/>
      <c r="H973" s="7"/>
      <c r="I973" s="13"/>
      <c r="J973" s="9"/>
      <c r="K973" s="10"/>
      <c r="L973" s="10"/>
      <c r="M973" s="11"/>
      <c r="N973" s="10"/>
      <c r="O973" s="42"/>
      <c r="P973" s="10"/>
    </row>
    <row r="974" spans="1:16" x14ac:dyDescent="0.25">
      <c r="A974" s="5"/>
      <c r="B974" s="22"/>
      <c r="C974" s="22"/>
      <c r="D974" s="18"/>
      <c r="E974" s="24"/>
      <c r="F974" s="13"/>
      <c r="G974" s="13"/>
      <c r="H974" s="7"/>
      <c r="I974" s="13"/>
      <c r="J974" s="9"/>
      <c r="K974" s="10"/>
      <c r="L974" s="10"/>
      <c r="M974" s="11"/>
      <c r="N974" s="10"/>
      <c r="O974" s="42"/>
      <c r="P974" s="10"/>
    </row>
    <row r="975" spans="1:16" x14ac:dyDescent="0.25">
      <c r="A975" s="5"/>
      <c r="B975" s="22"/>
      <c r="C975" s="22"/>
      <c r="D975" s="18"/>
      <c r="E975" s="24"/>
      <c r="F975" s="13"/>
      <c r="G975" s="13"/>
      <c r="H975" s="7"/>
      <c r="I975" s="13"/>
      <c r="J975" s="9"/>
      <c r="K975" s="10"/>
      <c r="L975" s="10"/>
      <c r="M975" s="11"/>
      <c r="N975" s="10"/>
      <c r="O975" s="42"/>
      <c r="P975" s="10"/>
    </row>
    <row r="976" spans="1:16" x14ac:dyDescent="0.25">
      <c r="A976" s="5"/>
      <c r="B976" s="22"/>
      <c r="C976" s="22"/>
      <c r="D976" s="18"/>
      <c r="E976" s="24"/>
      <c r="F976" s="13"/>
      <c r="G976" s="13"/>
      <c r="H976" s="7"/>
      <c r="I976" s="13"/>
      <c r="J976" s="9"/>
      <c r="K976" s="10"/>
      <c r="L976" s="10"/>
      <c r="M976" s="11"/>
      <c r="N976" s="10"/>
      <c r="O976" s="42"/>
      <c r="P976" s="10"/>
    </row>
    <row r="977" spans="1:16" x14ac:dyDescent="0.25">
      <c r="A977" s="5"/>
      <c r="B977" s="22"/>
      <c r="C977" s="22"/>
      <c r="D977" s="18"/>
      <c r="E977" s="24"/>
      <c r="F977" s="13"/>
      <c r="G977" s="13"/>
      <c r="H977" s="7"/>
      <c r="I977" s="13"/>
      <c r="J977" s="9"/>
      <c r="K977" s="10"/>
      <c r="L977" s="10"/>
      <c r="M977" s="11"/>
      <c r="N977" s="10"/>
      <c r="O977" s="42"/>
      <c r="P977" s="10"/>
    </row>
    <row r="978" spans="1:16" x14ac:dyDescent="0.25">
      <c r="A978" s="5"/>
      <c r="B978" s="22"/>
      <c r="C978" s="22"/>
      <c r="D978" s="18"/>
      <c r="E978" s="24"/>
      <c r="F978" s="13"/>
      <c r="G978" s="13"/>
      <c r="H978" s="7"/>
      <c r="I978" s="13"/>
      <c r="J978" s="9"/>
      <c r="K978" s="10"/>
      <c r="L978" s="10"/>
      <c r="M978" s="11"/>
      <c r="N978" s="10"/>
      <c r="O978" s="42"/>
      <c r="P978" s="10"/>
    </row>
    <row r="979" spans="1:16" x14ac:dyDescent="0.25">
      <c r="A979" s="5"/>
      <c r="B979" s="22"/>
      <c r="C979" s="22"/>
      <c r="D979" s="18"/>
      <c r="E979" s="24"/>
      <c r="F979" s="13"/>
      <c r="G979" s="13"/>
      <c r="H979" s="7"/>
      <c r="I979" s="13"/>
      <c r="J979" s="9"/>
      <c r="K979" s="10"/>
      <c r="L979" s="10"/>
      <c r="M979" s="11"/>
      <c r="N979" s="10"/>
      <c r="O979" s="42"/>
      <c r="P979" s="10"/>
    </row>
    <row r="980" spans="1:16" x14ac:dyDescent="0.25">
      <c r="A980" s="5"/>
      <c r="B980" s="22"/>
      <c r="C980" s="22"/>
      <c r="D980" s="18"/>
      <c r="E980" s="24"/>
      <c r="F980" s="13"/>
      <c r="G980" s="13"/>
      <c r="H980" s="7"/>
      <c r="I980" s="13"/>
      <c r="J980" s="9"/>
      <c r="K980" s="10"/>
      <c r="L980" s="10"/>
      <c r="M980" s="11"/>
      <c r="N980" s="10"/>
      <c r="O980" s="42"/>
      <c r="P980" s="10"/>
    </row>
    <row r="981" spans="1:16" x14ac:dyDescent="0.25">
      <c r="A981" s="5"/>
      <c r="B981" s="22"/>
      <c r="C981" s="22"/>
      <c r="D981" s="18"/>
      <c r="E981" s="24"/>
      <c r="F981" s="13"/>
      <c r="G981" s="13"/>
      <c r="H981" s="7"/>
      <c r="I981" s="13"/>
      <c r="J981" s="9"/>
      <c r="K981" s="10"/>
      <c r="L981" s="10"/>
      <c r="M981" s="11"/>
      <c r="N981" s="10"/>
      <c r="O981" s="42"/>
      <c r="P981" s="10"/>
    </row>
    <row r="982" spans="1:16" x14ac:dyDescent="0.25">
      <c r="A982" s="5"/>
      <c r="B982" s="22"/>
      <c r="C982" s="22"/>
      <c r="D982" s="18"/>
      <c r="E982" s="24"/>
      <c r="F982" s="13"/>
      <c r="G982" s="13"/>
      <c r="H982" s="7"/>
      <c r="I982" s="13"/>
      <c r="J982" s="9"/>
      <c r="K982" s="10"/>
      <c r="L982" s="10"/>
      <c r="M982" s="11"/>
      <c r="N982" s="10"/>
      <c r="O982" s="42"/>
      <c r="P982" s="10"/>
    </row>
    <row r="983" spans="1:16" x14ac:dyDescent="0.25">
      <c r="A983" s="5"/>
      <c r="B983" s="22"/>
      <c r="C983" s="22"/>
      <c r="D983" s="18"/>
      <c r="E983" s="24"/>
      <c r="F983" s="13"/>
      <c r="G983" s="13"/>
      <c r="H983" s="7"/>
      <c r="I983" s="13"/>
      <c r="J983" s="9"/>
      <c r="K983" s="10"/>
      <c r="L983" s="10"/>
      <c r="M983" s="11"/>
      <c r="N983" s="10"/>
      <c r="O983" s="42"/>
      <c r="P983" s="10"/>
    </row>
    <row r="984" spans="1:16" x14ac:dyDescent="0.25">
      <c r="A984" s="5"/>
      <c r="B984" s="22"/>
      <c r="C984" s="22"/>
      <c r="D984" s="18"/>
      <c r="E984" s="24"/>
      <c r="F984" s="13"/>
      <c r="G984" s="13"/>
      <c r="H984" s="7"/>
      <c r="I984" s="13"/>
      <c r="J984" s="9"/>
      <c r="K984" s="10"/>
      <c r="L984" s="10"/>
      <c r="M984" s="11"/>
      <c r="N984" s="10"/>
      <c r="O984" s="42"/>
      <c r="P984" s="10"/>
    </row>
    <row r="985" spans="1:16" x14ac:dyDescent="0.25">
      <c r="A985" s="5"/>
      <c r="B985" s="22"/>
      <c r="C985" s="22"/>
      <c r="D985" s="18"/>
      <c r="E985" s="24"/>
      <c r="F985" s="13"/>
      <c r="G985" s="13"/>
      <c r="H985" s="7"/>
      <c r="I985" s="13"/>
      <c r="J985" s="9"/>
      <c r="K985" s="10"/>
      <c r="L985" s="10"/>
      <c r="M985" s="11"/>
      <c r="N985" s="10"/>
      <c r="O985" s="42"/>
      <c r="P985" s="10"/>
    </row>
    <row r="986" spans="1:16" x14ac:dyDescent="0.25">
      <c r="A986" s="5"/>
      <c r="B986" s="22"/>
      <c r="C986" s="22"/>
      <c r="D986" s="18"/>
      <c r="E986" s="24"/>
      <c r="F986" s="13"/>
      <c r="G986" s="13"/>
      <c r="H986" s="7"/>
      <c r="I986" s="13"/>
      <c r="J986" s="9"/>
      <c r="K986" s="10"/>
      <c r="L986" s="10"/>
      <c r="M986" s="11"/>
      <c r="N986" s="10"/>
      <c r="O986" s="42"/>
      <c r="P986" s="10"/>
    </row>
    <row r="987" spans="1:16" x14ac:dyDescent="0.25">
      <c r="A987" s="5"/>
      <c r="B987" s="22"/>
      <c r="C987" s="22"/>
      <c r="D987" s="18"/>
      <c r="E987" s="24"/>
      <c r="F987" s="13"/>
      <c r="G987" s="13"/>
      <c r="H987" s="7"/>
      <c r="I987" s="13"/>
      <c r="J987" s="9"/>
      <c r="K987" s="10"/>
      <c r="L987" s="10"/>
      <c r="M987" s="11"/>
      <c r="N987" s="10"/>
      <c r="O987" s="42"/>
      <c r="P987" s="10"/>
    </row>
    <row r="988" spans="1:16" x14ac:dyDescent="0.25">
      <c r="A988" s="5"/>
      <c r="B988" s="22"/>
      <c r="C988" s="22"/>
      <c r="D988" s="18"/>
      <c r="E988" s="24"/>
      <c r="F988" s="13"/>
      <c r="G988" s="13"/>
      <c r="H988" s="7"/>
      <c r="I988" s="13"/>
      <c r="J988" s="9"/>
      <c r="K988" s="10"/>
      <c r="L988" s="10"/>
      <c r="M988" s="11"/>
      <c r="N988" s="10"/>
      <c r="O988" s="42"/>
      <c r="P988" s="10"/>
    </row>
    <row r="989" spans="1:16" x14ac:dyDescent="0.25">
      <c r="A989" s="5"/>
      <c r="B989" s="22"/>
      <c r="C989" s="22"/>
      <c r="D989" s="18"/>
      <c r="E989" s="24"/>
      <c r="F989" s="13"/>
      <c r="G989" s="13"/>
      <c r="H989" s="7"/>
      <c r="I989" s="13"/>
      <c r="J989" s="9"/>
      <c r="K989" s="10"/>
      <c r="L989" s="10"/>
      <c r="M989" s="11"/>
      <c r="N989" s="10"/>
      <c r="O989" s="42"/>
      <c r="P989" s="10"/>
    </row>
    <row r="990" spans="1:16" x14ac:dyDescent="0.25">
      <c r="A990" s="5"/>
      <c r="B990" s="22"/>
      <c r="C990" s="22"/>
      <c r="D990" s="18"/>
      <c r="E990" s="24"/>
      <c r="F990" s="13"/>
      <c r="G990" s="13"/>
      <c r="H990" s="7"/>
      <c r="I990" s="13"/>
      <c r="J990" s="9"/>
      <c r="K990" s="10"/>
      <c r="L990" s="10"/>
      <c r="M990" s="11"/>
      <c r="N990" s="10"/>
      <c r="O990" s="42"/>
      <c r="P990" s="10"/>
    </row>
    <row r="991" spans="1:16" x14ac:dyDescent="0.25">
      <c r="A991" s="5"/>
      <c r="B991" s="22"/>
      <c r="C991" s="22"/>
      <c r="D991" s="18"/>
      <c r="E991" s="24"/>
      <c r="F991" s="13"/>
      <c r="G991" s="13"/>
      <c r="H991" s="7"/>
      <c r="I991" s="13"/>
      <c r="J991" s="9"/>
      <c r="K991" s="10"/>
      <c r="L991" s="10"/>
      <c r="M991" s="11"/>
      <c r="N991" s="10"/>
      <c r="O991" s="42"/>
      <c r="P991" s="10"/>
    </row>
    <row r="992" spans="1:16" x14ac:dyDescent="0.25">
      <c r="A992" s="5"/>
      <c r="B992" s="22"/>
      <c r="C992" s="22"/>
      <c r="D992" s="18"/>
      <c r="E992" s="24"/>
      <c r="F992" s="13"/>
      <c r="G992" s="13"/>
      <c r="H992" s="7"/>
      <c r="I992" s="13"/>
      <c r="J992" s="9"/>
      <c r="K992" s="10"/>
      <c r="L992" s="10"/>
      <c r="M992" s="11"/>
      <c r="N992" s="10"/>
      <c r="O992" s="42"/>
      <c r="P992" s="10"/>
    </row>
    <row r="993" spans="1:16" x14ac:dyDescent="0.25">
      <c r="A993" s="5"/>
      <c r="B993" s="22"/>
      <c r="C993" s="22"/>
      <c r="D993" s="18"/>
      <c r="E993" s="24"/>
      <c r="F993" s="13"/>
      <c r="G993" s="13"/>
      <c r="H993" s="7"/>
      <c r="I993" s="13"/>
      <c r="J993" s="9"/>
      <c r="K993" s="10"/>
      <c r="L993" s="10"/>
      <c r="M993" s="11"/>
      <c r="N993" s="10"/>
      <c r="O993" s="42"/>
      <c r="P993" s="10"/>
    </row>
    <row r="994" spans="1:16" x14ac:dyDescent="0.25">
      <c r="A994" s="5"/>
      <c r="B994" s="22"/>
      <c r="C994" s="22"/>
      <c r="D994" s="18"/>
      <c r="E994" s="24"/>
      <c r="F994" s="13"/>
      <c r="G994" s="13"/>
      <c r="H994" s="7"/>
      <c r="I994" s="13"/>
      <c r="J994" s="9"/>
      <c r="K994" s="10"/>
      <c r="L994" s="10"/>
      <c r="M994" s="11"/>
      <c r="N994" s="10"/>
      <c r="O994" s="42"/>
      <c r="P994" s="10"/>
    </row>
    <row r="995" spans="1:16" x14ac:dyDescent="0.25">
      <c r="A995" s="5"/>
      <c r="B995" s="22"/>
      <c r="C995" s="22"/>
      <c r="D995" s="18"/>
      <c r="E995" s="24"/>
      <c r="F995" s="13"/>
      <c r="G995" s="13"/>
      <c r="H995" s="7"/>
      <c r="I995" s="13"/>
      <c r="J995" s="9"/>
      <c r="K995" s="10"/>
      <c r="L995" s="10"/>
      <c r="M995" s="11"/>
      <c r="N995" s="10"/>
      <c r="O995" s="42"/>
      <c r="P995" s="10"/>
    </row>
    <row r="996" spans="1:16" x14ac:dyDescent="0.25">
      <c r="A996" s="5"/>
      <c r="B996" s="22"/>
      <c r="C996" s="22"/>
      <c r="D996" s="18"/>
      <c r="E996" s="24"/>
      <c r="F996" s="13"/>
      <c r="G996" s="13"/>
      <c r="H996" s="7"/>
      <c r="I996" s="13"/>
      <c r="J996" s="9"/>
      <c r="K996" s="10"/>
      <c r="L996" s="10"/>
      <c r="M996" s="11"/>
      <c r="N996" s="10"/>
      <c r="O996" s="42"/>
      <c r="P996" s="10"/>
    </row>
    <row r="997" spans="1:16" x14ac:dyDescent="0.25">
      <c r="A997" s="5"/>
      <c r="B997" s="22"/>
      <c r="C997" s="22"/>
      <c r="D997" s="18"/>
      <c r="E997" s="24"/>
      <c r="F997" s="13"/>
      <c r="G997" s="13"/>
      <c r="H997" s="7"/>
      <c r="I997" s="13"/>
      <c r="J997" s="9"/>
      <c r="K997" s="10"/>
      <c r="L997" s="10"/>
      <c r="M997" s="11"/>
      <c r="N997" s="10"/>
      <c r="O997" s="42"/>
      <c r="P997" s="10"/>
    </row>
    <row r="998" spans="1:16" x14ac:dyDescent="0.25">
      <c r="A998" s="5"/>
      <c r="B998" s="22"/>
      <c r="C998" s="22"/>
      <c r="D998" s="18"/>
      <c r="E998" s="24"/>
      <c r="F998" s="13"/>
      <c r="G998" s="13"/>
      <c r="H998" s="7"/>
      <c r="I998" s="13"/>
      <c r="J998" s="9"/>
      <c r="K998" s="10"/>
      <c r="L998" s="10"/>
      <c r="M998" s="11"/>
      <c r="N998" s="10"/>
      <c r="O998" s="42"/>
      <c r="P998" s="10"/>
    </row>
    <row r="999" spans="1:16" x14ac:dyDescent="0.25">
      <c r="A999" s="5"/>
      <c r="B999" s="22"/>
      <c r="C999" s="22"/>
      <c r="D999" s="18"/>
      <c r="E999" s="24"/>
      <c r="F999" s="13"/>
      <c r="G999" s="13"/>
      <c r="H999" s="7"/>
      <c r="I999" s="13"/>
      <c r="J999" s="9"/>
      <c r="K999" s="10"/>
      <c r="L999" s="10"/>
      <c r="M999" s="11"/>
      <c r="N999" s="10"/>
      <c r="O999" s="42"/>
      <c r="P999" s="10"/>
    </row>
    <row r="1000" spans="1:16" x14ac:dyDescent="0.25">
      <c r="A1000" s="5"/>
      <c r="B1000" s="22"/>
      <c r="C1000" s="22"/>
      <c r="D1000" s="18"/>
      <c r="E1000" s="24"/>
      <c r="F1000" s="13"/>
      <c r="G1000" s="13"/>
      <c r="H1000" s="7"/>
      <c r="I1000" s="13"/>
      <c r="J1000" s="9"/>
      <c r="K1000" s="10"/>
      <c r="L1000" s="10"/>
      <c r="M1000" s="11"/>
      <c r="N1000" s="10"/>
      <c r="O1000" s="42"/>
      <c r="P1000" s="10"/>
    </row>
    <row r="1001" spans="1:16" x14ac:dyDescent="0.25">
      <c r="A1001" s="5"/>
      <c r="B1001" s="22"/>
      <c r="C1001" s="22"/>
      <c r="D1001" s="18"/>
      <c r="E1001" s="24"/>
      <c r="F1001" s="13"/>
      <c r="G1001" s="13"/>
      <c r="H1001" s="7"/>
      <c r="I1001" s="13"/>
      <c r="J1001" s="9"/>
      <c r="K1001" s="10"/>
      <c r="L1001" s="10"/>
      <c r="M1001" s="11"/>
      <c r="N1001" s="10"/>
      <c r="O1001" s="42"/>
      <c r="P1001" s="10"/>
    </row>
    <row r="1002" spans="1:16" x14ac:dyDescent="0.25">
      <c r="A1002" s="5"/>
      <c r="B1002" s="22"/>
      <c r="C1002" s="22"/>
      <c r="D1002" s="18"/>
      <c r="E1002" s="24"/>
      <c r="F1002" s="13"/>
      <c r="G1002" s="13"/>
      <c r="H1002" s="7"/>
      <c r="I1002" s="13"/>
      <c r="J1002" s="9"/>
      <c r="K1002" s="10"/>
      <c r="L1002" s="10"/>
      <c r="M1002" s="11"/>
      <c r="N1002" s="10"/>
      <c r="O1002" s="42"/>
      <c r="P1002" s="10"/>
    </row>
    <row r="1003" spans="1:16" x14ac:dyDescent="0.25">
      <c r="A1003" s="5"/>
      <c r="B1003" s="22"/>
      <c r="C1003" s="22"/>
      <c r="D1003" s="18"/>
      <c r="E1003" s="24"/>
      <c r="F1003" s="13"/>
      <c r="G1003" s="13"/>
      <c r="H1003" s="7"/>
      <c r="I1003" s="13"/>
      <c r="J1003" s="9"/>
      <c r="K1003" s="10"/>
      <c r="L1003" s="10"/>
      <c r="M1003" s="11"/>
      <c r="N1003" s="10"/>
      <c r="O1003" s="42"/>
      <c r="P1003" s="10"/>
    </row>
    <row r="1004" spans="1:16" x14ac:dyDescent="0.25">
      <c r="A1004" s="5"/>
      <c r="B1004" s="22"/>
      <c r="C1004" s="22"/>
      <c r="D1004" s="18"/>
      <c r="E1004" s="24"/>
      <c r="F1004" s="13"/>
      <c r="G1004" s="13"/>
      <c r="H1004" s="7"/>
      <c r="I1004" s="13"/>
      <c r="J1004" s="9"/>
      <c r="K1004" s="10"/>
      <c r="L1004" s="10"/>
      <c r="M1004" s="11"/>
      <c r="N1004" s="10"/>
      <c r="O1004" s="42"/>
      <c r="P1004" s="10"/>
    </row>
    <row r="1005" spans="1:16" x14ac:dyDescent="0.25">
      <c r="A1005" s="5"/>
      <c r="B1005" s="22"/>
      <c r="C1005" s="22"/>
      <c r="D1005" s="18"/>
      <c r="E1005" s="24"/>
      <c r="F1005" s="13"/>
      <c r="G1005" s="13"/>
      <c r="H1005" s="7"/>
      <c r="I1005" s="13"/>
      <c r="J1005" s="9"/>
      <c r="K1005" s="10"/>
      <c r="L1005" s="10"/>
      <c r="M1005" s="11"/>
      <c r="N1005" s="10"/>
      <c r="O1005" s="42"/>
      <c r="P1005" s="10"/>
    </row>
    <row r="1006" spans="1:16" x14ac:dyDescent="0.25">
      <c r="A1006" s="5"/>
      <c r="B1006" s="22"/>
      <c r="C1006" s="22"/>
      <c r="D1006" s="18"/>
      <c r="E1006" s="24"/>
      <c r="F1006" s="13"/>
      <c r="G1006" s="13"/>
      <c r="H1006" s="7"/>
      <c r="I1006" s="13"/>
      <c r="J1006" s="9"/>
      <c r="K1006" s="10"/>
      <c r="L1006" s="10"/>
      <c r="M1006" s="11"/>
      <c r="N1006" s="10"/>
      <c r="O1006" s="42"/>
      <c r="P1006" s="10"/>
    </row>
    <row r="1007" spans="1:16" x14ac:dyDescent="0.25">
      <c r="A1007" s="5"/>
      <c r="B1007" s="22"/>
      <c r="C1007" s="22"/>
      <c r="D1007" s="18"/>
      <c r="E1007" s="24"/>
      <c r="F1007" s="13"/>
      <c r="G1007" s="13"/>
      <c r="H1007" s="7"/>
      <c r="I1007" s="13"/>
      <c r="J1007" s="9"/>
      <c r="K1007" s="10"/>
      <c r="L1007" s="10"/>
      <c r="M1007" s="11"/>
      <c r="N1007" s="10"/>
      <c r="O1007" s="42"/>
      <c r="P1007" s="10"/>
    </row>
    <row r="1008" spans="1:16" x14ac:dyDescent="0.25">
      <c r="A1008" s="5"/>
      <c r="B1008" s="22"/>
      <c r="C1008" s="22"/>
      <c r="D1008" s="18"/>
      <c r="E1008" s="24"/>
      <c r="F1008" s="13"/>
      <c r="G1008" s="13"/>
      <c r="H1008" s="7"/>
      <c r="I1008" s="13"/>
      <c r="J1008" s="9"/>
      <c r="K1008" s="10"/>
      <c r="L1008" s="10"/>
      <c r="M1008" s="11"/>
      <c r="N1008" s="10"/>
      <c r="O1008" s="42"/>
      <c r="P1008" s="10"/>
    </row>
    <row r="1009" spans="1:16" x14ac:dyDescent="0.25">
      <c r="A1009" s="5"/>
      <c r="B1009" s="22"/>
      <c r="C1009" s="22"/>
      <c r="D1009" s="18"/>
      <c r="E1009" s="24"/>
      <c r="F1009" s="13"/>
      <c r="G1009" s="13"/>
      <c r="H1009" s="7"/>
      <c r="I1009" s="13"/>
      <c r="J1009" s="9"/>
      <c r="K1009" s="10"/>
      <c r="L1009" s="10"/>
      <c r="M1009" s="11"/>
      <c r="N1009" s="10"/>
      <c r="O1009" s="42"/>
      <c r="P1009" s="10"/>
    </row>
    <row r="1010" spans="1:16" x14ac:dyDescent="0.25">
      <c r="A1010" s="5"/>
      <c r="B1010" s="22"/>
      <c r="C1010" s="22"/>
      <c r="D1010" s="18"/>
      <c r="E1010" s="24"/>
      <c r="F1010" s="13"/>
      <c r="G1010" s="13"/>
      <c r="H1010" s="7"/>
      <c r="I1010" s="13"/>
      <c r="J1010" s="9"/>
      <c r="K1010" s="10"/>
      <c r="L1010" s="10"/>
      <c r="M1010" s="11"/>
      <c r="N1010" s="10"/>
      <c r="O1010" s="42"/>
      <c r="P1010" s="10"/>
    </row>
    <row r="1011" spans="1:16" x14ac:dyDescent="0.25">
      <c r="A1011" s="5"/>
      <c r="B1011" s="22"/>
      <c r="C1011" s="22"/>
      <c r="D1011" s="18"/>
      <c r="E1011" s="24"/>
      <c r="F1011" s="13"/>
      <c r="G1011" s="13"/>
      <c r="H1011" s="7"/>
      <c r="I1011" s="13"/>
      <c r="J1011" s="9"/>
      <c r="K1011" s="10"/>
      <c r="L1011" s="10"/>
      <c r="M1011" s="11"/>
      <c r="N1011" s="10"/>
      <c r="O1011" s="42"/>
      <c r="P1011" s="10"/>
    </row>
    <row r="1012" spans="1:16" x14ac:dyDescent="0.25">
      <c r="A1012" s="5"/>
      <c r="B1012" s="22"/>
      <c r="C1012" s="22"/>
      <c r="D1012" s="18"/>
      <c r="E1012" s="24"/>
      <c r="F1012" s="13"/>
      <c r="G1012" s="13"/>
      <c r="H1012" s="7"/>
      <c r="I1012" s="13"/>
      <c r="J1012" s="9"/>
      <c r="K1012" s="10"/>
      <c r="L1012" s="10"/>
      <c r="M1012" s="11"/>
      <c r="N1012" s="10"/>
      <c r="O1012" s="42"/>
      <c r="P1012" s="10"/>
    </row>
    <row r="1013" spans="1:16" x14ac:dyDescent="0.25">
      <c r="A1013" s="5"/>
      <c r="B1013" s="22"/>
      <c r="C1013" s="22"/>
      <c r="D1013" s="18"/>
      <c r="E1013" s="24"/>
      <c r="F1013" s="13"/>
      <c r="G1013" s="13"/>
      <c r="H1013" s="7"/>
      <c r="I1013" s="13"/>
      <c r="J1013" s="9"/>
      <c r="K1013" s="10"/>
      <c r="L1013" s="10"/>
      <c r="M1013" s="11"/>
      <c r="N1013" s="10"/>
      <c r="O1013" s="42"/>
      <c r="P1013" s="10"/>
    </row>
    <row r="1014" spans="1:16" x14ac:dyDescent="0.25">
      <c r="A1014" s="5"/>
      <c r="B1014" s="22"/>
      <c r="C1014" s="22"/>
      <c r="D1014" s="18"/>
      <c r="E1014" s="24"/>
      <c r="F1014" s="13"/>
      <c r="G1014" s="13"/>
      <c r="H1014" s="7"/>
      <c r="I1014" s="13"/>
      <c r="J1014" s="9"/>
      <c r="K1014" s="10"/>
      <c r="L1014" s="10"/>
      <c r="M1014" s="11"/>
      <c r="N1014" s="10"/>
      <c r="O1014" s="42"/>
      <c r="P1014" s="10"/>
    </row>
    <row r="1015" spans="1:16" x14ac:dyDescent="0.25">
      <c r="A1015" s="5"/>
      <c r="B1015" s="22"/>
      <c r="C1015" s="22"/>
      <c r="D1015" s="18"/>
      <c r="E1015" s="24"/>
      <c r="F1015" s="13"/>
      <c r="G1015" s="13"/>
      <c r="H1015" s="7"/>
      <c r="I1015" s="13"/>
      <c r="J1015" s="9"/>
      <c r="K1015" s="10"/>
      <c r="L1015" s="10"/>
      <c r="M1015" s="11"/>
      <c r="N1015" s="10"/>
      <c r="O1015" s="42"/>
      <c r="P1015" s="10"/>
    </row>
    <row r="1016" spans="1:16" x14ac:dyDescent="0.25">
      <c r="A1016" s="5"/>
      <c r="B1016" s="22"/>
      <c r="C1016" s="22"/>
      <c r="D1016" s="18"/>
      <c r="E1016" s="24"/>
      <c r="F1016" s="13"/>
      <c r="G1016" s="13"/>
      <c r="H1016" s="7"/>
      <c r="I1016" s="13"/>
      <c r="J1016" s="9"/>
      <c r="K1016" s="10"/>
      <c r="L1016" s="10"/>
      <c r="M1016" s="11"/>
      <c r="N1016" s="10"/>
      <c r="O1016" s="42"/>
      <c r="P1016" s="10"/>
    </row>
    <row r="1017" spans="1:16" x14ac:dyDescent="0.25">
      <c r="A1017" s="5"/>
      <c r="B1017" s="22"/>
      <c r="C1017" s="22"/>
      <c r="D1017" s="18"/>
      <c r="E1017" s="24"/>
      <c r="F1017" s="13"/>
      <c r="G1017" s="13"/>
      <c r="H1017" s="7"/>
      <c r="I1017" s="13"/>
      <c r="J1017" s="9"/>
      <c r="K1017" s="10"/>
      <c r="L1017" s="10"/>
      <c r="M1017" s="11"/>
      <c r="N1017" s="10"/>
      <c r="O1017" s="42"/>
      <c r="P1017" s="10"/>
    </row>
    <row r="1018" spans="1:16" x14ac:dyDescent="0.25">
      <c r="A1018" s="5"/>
      <c r="B1018" s="22"/>
      <c r="C1018" s="22"/>
      <c r="D1018" s="18"/>
      <c r="E1018" s="24"/>
      <c r="F1018" s="13"/>
      <c r="G1018" s="13"/>
      <c r="H1018" s="7"/>
      <c r="I1018" s="13"/>
      <c r="J1018" s="9"/>
      <c r="K1018" s="10"/>
      <c r="L1018" s="10"/>
      <c r="M1018" s="11"/>
      <c r="N1018" s="10"/>
      <c r="O1018" s="42"/>
      <c r="P1018" s="10"/>
    </row>
    <row r="1019" spans="1:16" x14ac:dyDescent="0.25">
      <c r="A1019" s="5"/>
      <c r="B1019" s="22"/>
      <c r="C1019" s="22"/>
      <c r="D1019" s="18"/>
      <c r="E1019" s="24"/>
      <c r="F1019" s="13"/>
      <c r="G1019" s="13"/>
      <c r="H1019" s="7"/>
      <c r="I1019" s="13"/>
      <c r="J1019" s="9"/>
      <c r="K1019" s="10"/>
      <c r="L1019" s="10"/>
      <c r="M1019" s="11"/>
      <c r="N1019" s="10"/>
      <c r="O1019" s="42"/>
      <c r="P1019" s="10"/>
    </row>
    <row r="1020" spans="1:16" x14ac:dyDescent="0.25">
      <c r="A1020" s="5"/>
      <c r="B1020" s="22"/>
      <c r="C1020" s="22"/>
      <c r="D1020" s="18"/>
      <c r="E1020" s="24"/>
      <c r="F1020" s="13"/>
      <c r="G1020" s="13"/>
      <c r="H1020" s="7"/>
      <c r="I1020" s="13"/>
      <c r="J1020" s="9"/>
      <c r="K1020" s="10"/>
      <c r="L1020" s="10"/>
      <c r="M1020" s="11"/>
      <c r="N1020" s="10"/>
      <c r="O1020" s="42"/>
      <c r="P1020" s="10"/>
    </row>
    <row r="1021" spans="1:16" x14ac:dyDescent="0.25">
      <c r="A1021" s="5"/>
      <c r="B1021" s="22"/>
      <c r="C1021" s="22"/>
      <c r="D1021" s="18"/>
      <c r="E1021" s="24"/>
      <c r="F1021" s="13"/>
      <c r="G1021" s="13"/>
      <c r="H1021" s="7"/>
      <c r="I1021" s="13"/>
      <c r="J1021" s="9"/>
      <c r="K1021" s="10"/>
      <c r="L1021" s="10"/>
      <c r="M1021" s="11"/>
      <c r="N1021" s="10"/>
      <c r="O1021" s="42"/>
      <c r="P1021" s="10"/>
    </row>
    <row r="1022" spans="1:16" x14ac:dyDescent="0.25">
      <c r="A1022" s="5"/>
      <c r="B1022" s="22"/>
      <c r="C1022" s="22"/>
      <c r="D1022" s="18"/>
      <c r="E1022" s="24"/>
      <c r="F1022" s="13"/>
      <c r="G1022" s="13"/>
      <c r="H1022" s="7"/>
      <c r="I1022" s="13"/>
      <c r="J1022" s="9"/>
      <c r="K1022" s="10"/>
      <c r="L1022" s="10"/>
      <c r="M1022" s="11"/>
      <c r="N1022" s="10"/>
      <c r="O1022" s="42"/>
      <c r="P1022" s="10"/>
    </row>
    <row r="1023" spans="1:16" x14ac:dyDescent="0.25">
      <c r="A1023" s="5"/>
      <c r="B1023" s="22"/>
      <c r="C1023" s="22"/>
      <c r="D1023" s="18"/>
      <c r="E1023" s="24"/>
      <c r="F1023" s="13"/>
      <c r="G1023" s="13"/>
      <c r="H1023" s="7"/>
      <c r="I1023" s="13"/>
      <c r="J1023" s="9"/>
      <c r="K1023" s="10"/>
      <c r="L1023" s="10"/>
      <c r="M1023" s="11"/>
      <c r="N1023" s="10"/>
      <c r="O1023" s="42"/>
      <c r="P1023" s="10"/>
    </row>
    <row r="1024" spans="1:16" x14ac:dyDescent="0.25">
      <c r="A1024" s="5"/>
      <c r="B1024" s="22"/>
      <c r="C1024" s="22"/>
      <c r="D1024" s="18"/>
      <c r="E1024" s="24"/>
      <c r="F1024" s="13"/>
      <c r="G1024" s="13"/>
      <c r="H1024" s="7"/>
      <c r="I1024" s="13"/>
      <c r="J1024" s="9"/>
      <c r="K1024" s="10"/>
      <c r="L1024" s="10"/>
      <c r="M1024" s="11"/>
      <c r="N1024" s="10"/>
      <c r="O1024" s="42"/>
      <c r="P1024" s="10"/>
    </row>
    <row r="1025" spans="1:16" x14ac:dyDescent="0.25">
      <c r="A1025" s="5"/>
      <c r="B1025" s="22"/>
      <c r="C1025" s="22"/>
      <c r="D1025" s="18"/>
      <c r="E1025" s="24"/>
      <c r="F1025" s="13"/>
      <c r="G1025" s="13"/>
      <c r="H1025" s="7"/>
      <c r="I1025" s="13"/>
      <c r="J1025" s="9"/>
      <c r="K1025" s="10"/>
      <c r="L1025" s="10"/>
      <c r="M1025" s="11"/>
      <c r="N1025" s="10"/>
      <c r="O1025" s="42"/>
      <c r="P1025" s="10"/>
    </row>
    <row r="1026" spans="1:16" x14ac:dyDescent="0.25">
      <c r="A1026" s="5"/>
      <c r="B1026" s="22"/>
      <c r="C1026" s="22"/>
      <c r="D1026" s="18"/>
      <c r="E1026" s="24"/>
      <c r="F1026" s="13"/>
      <c r="G1026" s="13"/>
      <c r="H1026" s="7"/>
      <c r="I1026" s="13"/>
      <c r="J1026" s="9"/>
      <c r="K1026" s="10"/>
      <c r="L1026" s="10"/>
      <c r="M1026" s="11"/>
      <c r="N1026" s="10"/>
      <c r="O1026" s="42"/>
      <c r="P1026" s="10"/>
    </row>
    <row r="1027" spans="1:16" x14ac:dyDescent="0.25">
      <c r="A1027" s="5"/>
      <c r="B1027" s="22"/>
      <c r="C1027" s="22"/>
      <c r="D1027" s="18"/>
      <c r="E1027" s="24"/>
      <c r="F1027" s="13"/>
      <c r="G1027" s="13"/>
      <c r="H1027" s="7"/>
      <c r="I1027" s="13"/>
      <c r="J1027" s="9"/>
      <c r="K1027" s="10"/>
      <c r="L1027" s="10"/>
      <c r="M1027" s="11"/>
      <c r="N1027" s="10"/>
      <c r="O1027" s="42"/>
      <c r="P1027" s="10"/>
    </row>
    <row r="1028" spans="1:16" x14ac:dyDescent="0.25">
      <c r="A1028" s="5"/>
      <c r="B1028" s="22"/>
      <c r="C1028" s="22"/>
      <c r="D1028" s="18"/>
      <c r="E1028" s="24"/>
      <c r="F1028" s="13"/>
      <c r="G1028" s="13"/>
      <c r="H1028" s="7"/>
      <c r="I1028" s="13"/>
      <c r="J1028" s="9"/>
      <c r="K1028" s="10"/>
      <c r="L1028" s="10"/>
      <c r="M1028" s="11"/>
      <c r="N1028" s="10"/>
      <c r="O1028" s="42"/>
      <c r="P1028" s="10"/>
    </row>
    <row r="1029" spans="1:16" x14ac:dyDescent="0.25">
      <c r="A1029" s="5"/>
      <c r="B1029" s="22"/>
      <c r="C1029" s="22"/>
      <c r="D1029" s="18"/>
      <c r="E1029" s="24"/>
      <c r="F1029" s="13"/>
      <c r="G1029" s="13"/>
      <c r="H1029" s="7"/>
      <c r="I1029" s="13"/>
      <c r="J1029" s="9"/>
      <c r="K1029" s="10"/>
      <c r="L1029" s="10"/>
      <c r="M1029" s="11"/>
      <c r="N1029" s="10"/>
      <c r="O1029" s="42"/>
      <c r="P1029" s="10"/>
    </row>
    <row r="1030" spans="1:16" x14ac:dyDescent="0.25">
      <c r="A1030" s="5"/>
      <c r="B1030" s="22"/>
      <c r="C1030" s="22"/>
      <c r="D1030" s="18"/>
      <c r="E1030" s="24"/>
      <c r="F1030" s="13"/>
      <c r="G1030" s="13"/>
      <c r="H1030" s="7"/>
      <c r="I1030" s="13"/>
      <c r="J1030" s="9"/>
      <c r="K1030" s="10"/>
      <c r="L1030" s="10"/>
      <c r="M1030" s="11"/>
      <c r="N1030" s="10"/>
      <c r="O1030" s="42"/>
      <c r="P1030" s="10"/>
    </row>
    <row r="1031" spans="1:16" x14ac:dyDescent="0.25">
      <c r="A1031" s="5"/>
      <c r="B1031" s="22"/>
      <c r="C1031" s="22"/>
      <c r="D1031" s="18"/>
      <c r="E1031" s="24"/>
      <c r="F1031" s="13"/>
      <c r="G1031" s="13"/>
      <c r="H1031" s="7"/>
      <c r="I1031" s="13"/>
      <c r="J1031" s="9"/>
      <c r="K1031" s="10"/>
      <c r="L1031" s="10"/>
      <c r="M1031" s="11"/>
      <c r="N1031" s="10"/>
      <c r="O1031" s="42"/>
      <c r="P1031" s="10"/>
    </row>
    <row r="1032" spans="1:16" x14ac:dyDescent="0.25">
      <c r="A1032" s="5"/>
      <c r="B1032" s="22"/>
      <c r="C1032" s="22"/>
      <c r="D1032" s="18"/>
      <c r="E1032" s="24"/>
      <c r="F1032" s="13"/>
      <c r="G1032" s="13"/>
      <c r="H1032" s="7"/>
      <c r="I1032" s="13"/>
      <c r="J1032" s="9"/>
      <c r="K1032" s="10"/>
      <c r="L1032" s="10"/>
      <c r="M1032" s="11"/>
      <c r="N1032" s="10"/>
      <c r="O1032" s="42"/>
      <c r="P1032" s="10"/>
    </row>
    <row r="1033" spans="1:16" x14ac:dyDescent="0.25">
      <c r="A1033" s="14"/>
      <c r="B1033" s="22"/>
      <c r="C1033" s="22"/>
      <c r="D1033" s="23"/>
      <c r="E1033" s="24"/>
      <c r="F1033" s="6"/>
      <c r="G1033" s="13"/>
      <c r="H1033" s="7"/>
      <c r="I1033" s="13"/>
      <c r="J1033" s="9"/>
      <c r="K1033" s="10"/>
      <c r="L1033" s="10"/>
      <c r="M1033" s="11"/>
      <c r="N1033" s="10"/>
      <c r="O1033" s="42"/>
      <c r="P1033" s="10"/>
    </row>
    <row r="1034" spans="1:16" x14ac:dyDescent="0.25">
      <c r="A1034" s="27"/>
      <c r="B1034" s="22"/>
      <c r="C1034" s="22"/>
      <c r="D1034" s="23"/>
      <c r="E1034" s="24"/>
      <c r="F1034" s="6"/>
      <c r="G1034" s="13"/>
      <c r="H1034" s="7"/>
      <c r="I1034" s="13"/>
      <c r="J1034" s="9"/>
      <c r="K1034" s="23"/>
      <c r="L1034" s="10"/>
      <c r="M1034" s="11"/>
      <c r="N1034" s="10"/>
      <c r="O1034" s="42"/>
      <c r="P1034" s="10"/>
    </row>
    <row r="1035" spans="1:16" x14ac:dyDescent="0.25">
      <c r="A1035" s="27"/>
      <c r="B1035" s="22"/>
      <c r="C1035" s="22"/>
      <c r="D1035" s="23"/>
      <c r="E1035" s="24"/>
      <c r="F1035" s="6"/>
      <c r="G1035" s="13"/>
      <c r="H1035" s="7"/>
      <c r="I1035" s="13"/>
      <c r="J1035" s="9"/>
      <c r="K1035" s="23"/>
      <c r="L1035" s="10"/>
      <c r="M1035" s="11"/>
      <c r="N1035" s="10"/>
      <c r="O1035" s="42"/>
      <c r="P1035" s="10"/>
    </row>
    <row r="1036" spans="1:16" x14ac:dyDescent="0.25">
      <c r="A1036" s="27"/>
      <c r="B1036" s="22"/>
      <c r="C1036" s="22"/>
      <c r="D1036" s="23"/>
      <c r="E1036" s="24"/>
      <c r="F1036" s="6"/>
      <c r="G1036" s="13"/>
      <c r="H1036" s="7"/>
      <c r="I1036" s="13"/>
      <c r="J1036" s="9"/>
      <c r="K1036" s="23"/>
      <c r="L1036" s="10"/>
      <c r="M1036" s="11"/>
      <c r="N1036" s="10"/>
      <c r="O1036" s="42"/>
      <c r="P1036" s="10"/>
    </row>
    <row r="1037" spans="1:16" x14ac:dyDescent="0.25">
      <c r="A1037" s="27"/>
      <c r="B1037" s="22"/>
      <c r="C1037" s="22"/>
      <c r="D1037" s="23"/>
      <c r="E1037" s="24"/>
      <c r="F1037" s="6"/>
      <c r="G1037" s="13"/>
      <c r="H1037" s="7"/>
      <c r="I1037" s="13"/>
      <c r="J1037" s="9"/>
      <c r="K1037" s="23"/>
      <c r="L1037" s="10"/>
      <c r="M1037" s="11"/>
      <c r="N1037" s="10"/>
      <c r="O1037" s="42"/>
      <c r="P1037" s="10"/>
    </row>
    <row r="1038" spans="1:16" x14ac:dyDescent="0.25">
      <c r="A1038" s="27"/>
      <c r="B1038" s="22"/>
      <c r="C1038" s="22"/>
      <c r="D1038" s="23"/>
      <c r="E1038" s="24"/>
      <c r="F1038" s="6"/>
      <c r="G1038" s="13"/>
      <c r="H1038" s="7"/>
      <c r="I1038" s="13"/>
      <c r="J1038" s="9"/>
      <c r="K1038" s="23"/>
      <c r="L1038" s="10"/>
      <c r="M1038" s="11"/>
      <c r="N1038" s="10"/>
      <c r="O1038" s="42"/>
      <c r="P1038" s="10"/>
    </row>
    <row r="1039" spans="1:16" x14ac:dyDescent="0.25">
      <c r="A1039" s="5"/>
      <c r="B1039" s="22"/>
      <c r="C1039" s="22"/>
      <c r="D1039" s="23"/>
      <c r="E1039" s="24"/>
      <c r="F1039" s="13"/>
      <c r="G1039" s="13"/>
      <c r="H1039" s="7"/>
      <c r="I1039" s="8"/>
      <c r="J1039" s="9"/>
      <c r="K1039" s="12"/>
      <c r="L1039" s="10"/>
      <c r="M1039" s="11"/>
      <c r="N1039" s="10"/>
      <c r="O1039" s="42"/>
      <c r="P1039" s="10"/>
    </row>
    <row r="1040" spans="1:16" x14ac:dyDescent="0.25">
      <c r="A1040" s="5"/>
      <c r="B1040" s="22"/>
      <c r="C1040" s="22"/>
      <c r="D1040" s="23"/>
      <c r="E1040" s="24"/>
      <c r="F1040" s="13"/>
      <c r="G1040" s="13"/>
      <c r="H1040" s="7"/>
      <c r="I1040" s="8"/>
      <c r="J1040" s="9"/>
      <c r="K1040" s="12"/>
      <c r="L1040" s="10"/>
      <c r="M1040" s="11"/>
      <c r="N1040" s="10"/>
      <c r="O1040" s="42"/>
      <c r="P1040" s="10"/>
    </row>
    <row r="1041" spans="1:16" x14ac:dyDescent="0.25">
      <c r="A1041" s="16"/>
      <c r="B1041" s="22"/>
      <c r="C1041" s="22"/>
      <c r="D1041" s="23"/>
      <c r="E1041" s="24"/>
      <c r="F1041" s="13"/>
      <c r="G1041" s="13"/>
      <c r="H1041" s="7"/>
      <c r="I1041" s="8"/>
      <c r="J1041" s="9"/>
      <c r="K1041" s="10"/>
      <c r="L1041" s="10"/>
      <c r="M1041" s="11"/>
      <c r="N1041" s="10"/>
      <c r="O1041" s="42"/>
      <c r="P1041" s="10"/>
    </row>
    <row r="1042" spans="1:16" x14ac:dyDescent="0.25">
      <c r="A1042" s="5"/>
      <c r="B1042" s="22"/>
      <c r="C1042" s="22"/>
      <c r="D1042" s="23"/>
      <c r="E1042" s="24"/>
      <c r="F1042" s="13"/>
      <c r="G1042" s="13"/>
      <c r="H1042" s="7"/>
      <c r="I1042" s="8"/>
      <c r="J1042" s="9"/>
      <c r="K1042" s="10"/>
      <c r="L1042" s="10"/>
      <c r="M1042" s="11"/>
      <c r="N1042" s="10"/>
      <c r="O1042" s="42"/>
      <c r="P1042" s="10"/>
    </row>
    <row r="1043" spans="1:16" x14ac:dyDescent="0.25">
      <c r="A1043" s="5"/>
      <c r="B1043" s="22"/>
      <c r="C1043" s="22"/>
      <c r="D1043" s="23"/>
      <c r="E1043" s="24"/>
      <c r="F1043" s="13"/>
      <c r="G1043" s="13"/>
      <c r="H1043" s="7"/>
      <c r="I1043" s="8"/>
      <c r="J1043" s="9"/>
      <c r="K1043" s="10"/>
      <c r="L1043" s="10"/>
      <c r="M1043" s="11"/>
      <c r="N1043" s="10"/>
      <c r="O1043" s="42"/>
      <c r="P1043" s="10"/>
    </row>
    <row r="1044" spans="1:16" x14ac:dyDescent="0.25">
      <c r="A1044" s="5"/>
      <c r="B1044" s="22"/>
      <c r="C1044" s="22"/>
      <c r="D1044" s="18"/>
      <c r="E1044" s="24"/>
      <c r="F1044" s="13"/>
      <c r="G1044" s="13"/>
      <c r="H1044" s="7"/>
      <c r="I1044" s="13"/>
      <c r="J1044" s="9"/>
      <c r="K1044" s="10"/>
      <c r="L1044" s="10"/>
      <c r="M1044" s="11"/>
      <c r="N1044" s="10"/>
      <c r="O1044" s="42"/>
      <c r="P1044" s="10"/>
    </row>
    <row r="1045" spans="1:16" x14ac:dyDescent="0.25">
      <c r="A1045" s="5"/>
      <c r="B1045" s="22"/>
      <c r="C1045" s="22"/>
      <c r="D1045" s="18"/>
      <c r="E1045" s="24"/>
      <c r="F1045" s="13"/>
      <c r="G1045" s="13"/>
      <c r="H1045" s="7"/>
      <c r="I1045" s="13"/>
      <c r="J1045" s="9"/>
      <c r="K1045" s="10"/>
      <c r="L1045" s="10"/>
      <c r="M1045" s="11"/>
      <c r="N1045" s="10"/>
      <c r="O1045" s="42"/>
      <c r="P1045" s="10"/>
    </row>
    <row r="1046" spans="1:16" x14ac:dyDescent="0.25">
      <c r="A1046" s="5"/>
      <c r="B1046" s="22"/>
      <c r="C1046" s="22"/>
      <c r="D1046" s="18"/>
      <c r="E1046" s="24"/>
      <c r="F1046" s="13"/>
      <c r="G1046" s="13"/>
      <c r="H1046" s="7"/>
      <c r="I1046" s="13"/>
      <c r="J1046" s="9"/>
      <c r="K1046" s="10"/>
      <c r="L1046" s="10"/>
      <c r="M1046" s="11"/>
      <c r="N1046" s="10"/>
      <c r="O1046" s="42"/>
      <c r="P1046" s="10"/>
    </row>
    <row r="1047" spans="1:16" x14ac:dyDescent="0.25">
      <c r="A1047" s="5"/>
      <c r="B1047" s="22"/>
      <c r="C1047" s="22"/>
      <c r="D1047" s="18"/>
      <c r="E1047" s="24"/>
      <c r="F1047" s="13"/>
      <c r="G1047" s="13"/>
      <c r="H1047" s="7"/>
      <c r="I1047" s="13"/>
      <c r="J1047" s="9"/>
      <c r="K1047" s="10"/>
      <c r="L1047" s="10"/>
      <c r="M1047" s="11"/>
      <c r="N1047" s="10"/>
      <c r="O1047" s="42"/>
      <c r="P1047" s="10"/>
    </row>
    <row r="1048" spans="1:16" x14ac:dyDescent="0.25">
      <c r="A1048" s="5"/>
      <c r="B1048" s="22"/>
      <c r="C1048" s="22"/>
      <c r="D1048" s="18"/>
      <c r="E1048" s="24"/>
      <c r="F1048" s="13"/>
      <c r="G1048" s="13"/>
      <c r="H1048" s="7"/>
      <c r="I1048" s="13"/>
      <c r="J1048" s="9"/>
      <c r="K1048" s="10"/>
      <c r="L1048" s="10"/>
      <c r="M1048" s="11"/>
      <c r="N1048" s="10"/>
      <c r="O1048" s="42"/>
      <c r="P1048" s="10"/>
    </row>
    <row r="1049" spans="1:16" x14ac:dyDescent="0.25">
      <c r="A1049" s="5"/>
      <c r="B1049" s="22"/>
      <c r="C1049" s="22"/>
      <c r="D1049" s="18"/>
      <c r="E1049" s="24"/>
      <c r="F1049" s="13"/>
      <c r="G1049" s="13"/>
      <c r="H1049" s="7"/>
      <c r="I1049" s="13"/>
      <c r="J1049" s="9"/>
      <c r="K1049" s="10"/>
      <c r="L1049" s="10"/>
      <c r="M1049" s="11"/>
      <c r="N1049" s="10"/>
      <c r="O1049" s="42"/>
      <c r="P1049" s="10"/>
    </row>
    <row r="1050" spans="1:16" x14ac:dyDescent="0.25">
      <c r="A1050" s="5"/>
      <c r="B1050" s="22"/>
      <c r="C1050" s="22"/>
      <c r="D1050" s="18"/>
      <c r="E1050" s="24"/>
      <c r="F1050" s="13"/>
      <c r="G1050" s="13"/>
      <c r="H1050" s="7"/>
      <c r="I1050" s="13"/>
      <c r="J1050" s="9"/>
      <c r="K1050" s="10"/>
      <c r="L1050" s="10"/>
      <c r="M1050" s="11"/>
      <c r="N1050" s="10"/>
      <c r="O1050" s="42"/>
      <c r="P1050" s="10"/>
    </row>
    <row r="1051" spans="1:16" x14ac:dyDescent="0.25">
      <c r="A1051" s="5"/>
      <c r="B1051" s="22"/>
      <c r="C1051" s="22"/>
      <c r="D1051" s="18"/>
      <c r="E1051" s="24"/>
      <c r="F1051" s="13"/>
      <c r="G1051" s="13"/>
      <c r="H1051" s="7"/>
      <c r="I1051" s="13"/>
      <c r="J1051" s="9"/>
      <c r="K1051" s="10"/>
      <c r="L1051" s="10"/>
      <c r="M1051" s="11"/>
      <c r="N1051" s="10"/>
      <c r="O1051" s="42"/>
      <c r="P1051" s="10"/>
    </row>
    <row r="1052" spans="1:16" x14ac:dyDescent="0.25">
      <c r="A1052" s="5"/>
      <c r="B1052" s="22"/>
      <c r="C1052" s="22"/>
      <c r="D1052" s="18"/>
      <c r="E1052" s="24"/>
      <c r="F1052" s="13"/>
      <c r="G1052" s="13"/>
      <c r="H1052" s="7"/>
      <c r="I1052" s="13"/>
      <c r="J1052" s="9"/>
      <c r="K1052" s="10"/>
      <c r="L1052" s="10"/>
      <c r="M1052" s="11"/>
      <c r="N1052" s="10"/>
      <c r="O1052" s="42"/>
      <c r="P1052" s="10"/>
    </row>
    <row r="1053" spans="1:16" x14ac:dyDescent="0.25">
      <c r="A1053" s="5"/>
      <c r="B1053" s="22"/>
      <c r="C1053" s="22"/>
      <c r="D1053" s="18"/>
      <c r="E1053" s="24"/>
      <c r="F1053" s="13"/>
      <c r="G1053" s="13"/>
      <c r="H1053" s="7"/>
      <c r="I1053" s="13"/>
      <c r="J1053" s="9"/>
      <c r="K1053" s="10"/>
      <c r="L1053" s="10"/>
      <c r="M1053" s="11"/>
      <c r="N1053" s="10"/>
      <c r="O1053" s="42"/>
      <c r="P1053" s="10"/>
    </row>
    <row r="1054" spans="1:16" x14ac:dyDescent="0.25">
      <c r="A1054" s="5"/>
      <c r="B1054" s="22"/>
      <c r="C1054" s="22"/>
      <c r="D1054" s="18"/>
      <c r="E1054" s="24"/>
      <c r="F1054" s="13"/>
      <c r="G1054" s="13"/>
      <c r="H1054" s="7"/>
      <c r="I1054" s="13"/>
      <c r="J1054" s="9"/>
      <c r="K1054" s="10"/>
      <c r="L1054" s="10"/>
      <c r="M1054" s="11"/>
      <c r="N1054" s="10"/>
      <c r="O1054" s="42"/>
      <c r="P1054" s="10"/>
    </row>
    <row r="1055" spans="1:16" x14ac:dyDescent="0.25">
      <c r="A1055" s="5"/>
      <c r="B1055" s="22"/>
      <c r="C1055" s="22"/>
      <c r="D1055" s="18"/>
      <c r="E1055" s="24"/>
      <c r="F1055" s="13"/>
      <c r="G1055" s="13"/>
      <c r="H1055" s="7"/>
      <c r="I1055" s="13"/>
      <c r="J1055" s="9"/>
      <c r="K1055" s="10"/>
      <c r="L1055" s="10"/>
      <c r="M1055" s="11"/>
      <c r="N1055" s="10"/>
      <c r="O1055" s="42"/>
      <c r="P1055" s="10"/>
    </row>
    <row r="1056" spans="1:16" x14ac:dyDescent="0.25">
      <c r="A1056" s="5"/>
      <c r="B1056" s="22"/>
      <c r="C1056" s="22"/>
      <c r="D1056" s="18"/>
      <c r="E1056" s="24"/>
      <c r="F1056" s="13"/>
      <c r="G1056" s="13"/>
      <c r="H1056" s="7"/>
      <c r="I1056" s="13"/>
      <c r="J1056" s="9"/>
      <c r="K1056" s="10"/>
      <c r="L1056" s="10"/>
      <c r="M1056" s="11"/>
      <c r="N1056" s="10"/>
      <c r="O1056" s="42"/>
      <c r="P1056" s="10"/>
    </row>
    <row r="1057" spans="1:16" x14ac:dyDescent="0.25">
      <c r="A1057" s="5"/>
      <c r="B1057" s="22"/>
      <c r="C1057" s="22"/>
      <c r="D1057" s="18"/>
      <c r="E1057" s="24"/>
      <c r="F1057" s="13"/>
      <c r="G1057" s="13"/>
      <c r="H1057" s="7"/>
      <c r="I1057" s="13"/>
      <c r="J1057" s="9"/>
      <c r="K1057" s="10"/>
      <c r="L1057" s="10"/>
      <c r="M1057" s="11"/>
      <c r="N1057" s="10"/>
      <c r="O1057" s="42"/>
      <c r="P1057" s="10"/>
    </row>
    <row r="1058" spans="1:16" x14ac:dyDescent="0.25">
      <c r="A1058" s="5"/>
      <c r="B1058" s="22"/>
      <c r="C1058" s="22"/>
      <c r="D1058" s="18"/>
      <c r="E1058" s="24"/>
      <c r="F1058" s="13"/>
      <c r="G1058" s="13"/>
      <c r="H1058" s="7"/>
      <c r="I1058" s="13"/>
      <c r="J1058" s="9"/>
      <c r="K1058" s="10"/>
      <c r="L1058" s="10"/>
      <c r="M1058" s="11"/>
      <c r="N1058" s="10"/>
      <c r="O1058" s="42"/>
      <c r="P1058" s="10"/>
    </row>
    <row r="1059" spans="1:16" x14ac:dyDescent="0.25">
      <c r="A1059" s="5"/>
      <c r="B1059" s="22"/>
      <c r="C1059" s="22"/>
      <c r="D1059" s="18"/>
      <c r="E1059" s="24"/>
      <c r="F1059" s="13"/>
      <c r="G1059" s="13"/>
      <c r="H1059" s="7"/>
      <c r="I1059" s="13"/>
      <c r="J1059" s="9"/>
      <c r="K1059" s="10"/>
      <c r="L1059" s="10"/>
      <c r="M1059" s="11"/>
      <c r="N1059" s="10"/>
      <c r="O1059" s="42"/>
      <c r="P1059" s="10"/>
    </row>
    <row r="1060" spans="1:16" x14ac:dyDescent="0.25">
      <c r="A1060" s="5"/>
      <c r="B1060" s="22"/>
      <c r="C1060" s="22"/>
      <c r="D1060" s="18"/>
      <c r="E1060" s="24"/>
      <c r="F1060" s="13"/>
      <c r="G1060" s="13"/>
      <c r="H1060" s="7"/>
      <c r="I1060" s="13"/>
      <c r="J1060" s="9"/>
      <c r="K1060" s="10"/>
      <c r="L1060" s="10"/>
      <c r="M1060" s="11"/>
      <c r="N1060" s="10"/>
      <c r="O1060" s="42"/>
      <c r="P1060" s="10"/>
    </row>
    <row r="1061" spans="1:16" x14ac:dyDescent="0.25">
      <c r="A1061" s="5"/>
      <c r="B1061" s="22"/>
      <c r="C1061" s="22"/>
      <c r="D1061" s="18"/>
      <c r="E1061" s="24"/>
      <c r="F1061" s="13"/>
      <c r="G1061" s="13"/>
      <c r="H1061" s="7"/>
      <c r="I1061" s="13"/>
      <c r="J1061" s="9"/>
      <c r="K1061" s="10"/>
      <c r="L1061" s="10"/>
      <c r="M1061" s="11"/>
      <c r="N1061" s="10"/>
      <c r="O1061" s="42"/>
      <c r="P1061" s="10"/>
    </row>
    <row r="1062" spans="1:16" x14ac:dyDescent="0.25">
      <c r="A1062" s="5"/>
      <c r="B1062" s="22"/>
      <c r="C1062" s="22"/>
      <c r="D1062" s="18"/>
      <c r="E1062" s="24"/>
      <c r="F1062" s="13"/>
      <c r="G1062" s="13"/>
      <c r="H1062" s="7"/>
      <c r="I1062" s="13"/>
      <c r="J1062" s="9"/>
      <c r="K1062" s="10"/>
      <c r="L1062" s="10"/>
      <c r="M1062" s="11"/>
      <c r="N1062" s="10"/>
      <c r="O1062" s="42"/>
      <c r="P1062" s="10"/>
    </row>
    <row r="1063" spans="1:16" x14ac:dyDescent="0.25">
      <c r="A1063" s="5"/>
      <c r="B1063" s="22"/>
      <c r="C1063" s="22"/>
      <c r="D1063" s="18"/>
      <c r="E1063" s="24"/>
      <c r="F1063" s="13"/>
      <c r="G1063" s="13"/>
      <c r="H1063" s="7"/>
      <c r="I1063" s="13"/>
      <c r="J1063" s="9"/>
      <c r="K1063" s="10"/>
      <c r="L1063" s="10"/>
      <c r="M1063" s="11"/>
      <c r="N1063" s="10"/>
      <c r="O1063" s="42"/>
      <c r="P1063" s="10"/>
    </row>
    <row r="1064" spans="1:16" x14ac:dyDescent="0.25">
      <c r="A1064" s="5"/>
      <c r="B1064" s="22"/>
      <c r="C1064" s="22"/>
      <c r="D1064" s="18"/>
      <c r="E1064" s="24"/>
      <c r="F1064" s="13"/>
      <c r="G1064" s="13"/>
      <c r="H1064" s="7"/>
      <c r="I1064" s="13"/>
      <c r="J1064" s="9"/>
      <c r="K1064" s="10"/>
      <c r="L1064" s="10"/>
      <c r="M1064" s="11"/>
      <c r="N1064" s="10"/>
      <c r="O1064" s="42"/>
      <c r="P1064" s="10"/>
    </row>
    <row r="1065" spans="1:16" x14ac:dyDescent="0.25">
      <c r="A1065" s="5"/>
      <c r="B1065" s="22"/>
      <c r="C1065" s="22"/>
      <c r="D1065" s="18"/>
      <c r="E1065" s="24"/>
      <c r="F1065" s="13"/>
      <c r="G1065" s="13"/>
      <c r="H1065" s="7"/>
      <c r="I1065" s="13"/>
      <c r="J1065" s="9"/>
      <c r="K1065" s="10"/>
      <c r="L1065" s="10"/>
      <c r="M1065" s="11"/>
      <c r="N1065" s="10"/>
      <c r="O1065" s="42"/>
      <c r="P1065" s="10"/>
    </row>
    <row r="1066" spans="1:16" x14ac:dyDescent="0.25">
      <c r="A1066" s="5"/>
      <c r="B1066" s="22"/>
      <c r="C1066" s="22"/>
      <c r="D1066" s="18"/>
      <c r="E1066" s="24"/>
      <c r="F1066" s="13"/>
      <c r="G1066" s="13"/>
      <c r="H1066" s="7"/>
      <c r="I1066" s="13"/>
      <c r="J1066" s="9"/>
      <c r="K1066" s="10"/>
      <c r="L1066" s="10"/>
      <c r="M1066" s="11"/>
      <c r="N1066" s="10"/>
      <c r="O1066" s="42"/>
      <c r="P1066" s="10"/>
    </row>
    <row r="1067" spans="1:16" x14ac:dyDescent="0.25">
      <c r="A1067" s="5"/>
      <c r="B1067" s="22"/>
      <c r="C1067" s="22"/>
      <c r="D1067" s="18"/>
      <c r="E1067" s="24"/>
      <c r="F1067" s="13"/>
      <c r="G1067" s="13"/>
      <c r="H1067" s="7"/>
      <c r="I1067" s="13"/>
      <c r="J1067" s="9"/>
      <c r="K1067" s="10"/>
      <c r="L1067" s="10"/>
      <c r="M1067" s="11"/>
      <c r="N1067" s="10"/>
      <c r="O1067" s="42"/>
      <c r="P1067" s="10"/>
    </row>
    <row r="1068" spans="1:16" x14ac:dyDescent="0.25">
      <c r="A1068" s="5"/>
      <c r="B1068" s="22"/>
      <c r="C1068" s="22"/>
      <c r="D1068" s="18"/>
      <c r="E1068" s="24"/>
      <c r="F1068" s="13"/>
      <c r="G1068" s="13"/>
      <c r="H1068" s="7"/>
      <c r="I1068" s="13"/>
      <c r="J1068" s="9"/>
      <c r="K1068" s="10"/>
      <c r="L1068" s="10"/>
      <c r="M1068" s="11"/>
      <c r="N1068" s="10"/>
      <c r="O1068" s="42"/>
      <c r="P1068" s="10"/>
    </row>
    <row r="1069" spans="1:16" x14ac:dyDescent="0.25">
      <c r="A1069" s="5"/>
      <c r="B1069" s="22"/>
      <c r="C1069" s="22"/>
      <c r="D1069" s="18"/>
      <c r="E1069" s="24"/>
      <c r="F1069" s="13"/>
      <c r="G1069" s="13"/>
      <c r="H1069" s="7"/>
      <c r="I1069" s="13"/>
      <c r="J1069" s="9"/>
      <c r="K1069" s="10"/>
      <c r="L1069" s="10"/>
      <c r="M1069" s="11"/>
      <c r="N1069" s="10"/>
      <c r="O1069" s="42"/>
      <c r="P1069" s="10"/>
    </row>
    <row r="1070" spans="1:16" x14ac:dyDescent="0.25">
      <c r="A1070" s="5"/>
      <c r="B1070" s="22"/>
      <c r="C1070" s="22"/>
      <c r="D1070" s="18"/>
      <c r="E1070" s="24"/>
      <c r="F1070" s="13"/>
      <c r="G1070" s="13"/>
      <c r="H1070" s="7"/>
      <c r="I1070" s="13"/>
      <c r="J1070" s="9"/>
      <c r="K1070" s="10"/>
      <c r="L1070" s="10"/>
      <c r="M1070" s="11"/>
      <c r="N1070" s="10"/>
      <c r="O1070" s="42"/>
      <c r="P1070" s="10"/>
    </row>
    <row r="1071" spans="1:16" x14ac:dyDescent="0.25">
      <c r="A1071" s="5"/>
      <c r="B1071" s="22"/>
      <c r="C1071" s="22"/>
      <c r="D1071" s="18"/>
      <c r="E1071" s="24"/>
      <c r="F1071" s="13"/>
      <c r="G1071" s="13"/>
      <c r="H1071" s="7"/>
      <c r="I1071" s="13"/>
      <c r="J1071" s="9"/>
      <c r="K1071" s="10"/>
      <c r="L1071" s="10"/>
      <c r="M1071" s="11"/>
      <c r="N1071" s="10"/>
      <c r="O1071" s="42"/>
      <c r="P1071" s="10"/>
    </row>
    <row r="1072" spans="1:16" x14ac:dyDescent="0.25">
      <c r="A1072" s="5"/>
      <c r="B1072" s="22"/>
      <c r="C1072" s="22"/>
      <c r="D1072" s="18"/>
      <c r="E1072" s="24"/>
      <c r="F1072" s="13"/>
      <c r="G1072" s="13"/>
      <c r="H1072" s="7"/>
      <c r="I1072" s="13"/>
      <c r="J1072" s="9"/>
      <c r="K1072" s="10"/>
      <c r="L1072" s="10"/>
      <c r="M1072" s="11"/>
      <c r="N1072" s="10"/>
      <c r="O1072" s="42"/>
      <c r="P1072" s="10"/>
    </row>
    <row r="1073" spans="1:16" x14ac:dyDescent="0.25">
      <c r="A1073" s="5"/>
      <c r="B1073" s="22"/>
      <c r="C1073" s="22"/>
      <c r="D1073" s="18"/>
      <c r="E1073" s="24"/>
      <c r="F1073" s="13"/>
      <c r="G1073" s="13"/>
      <c r="H1073" s="7"/>
      <c r="I1073" s="13"/>
      <c r="J1073" s="9"/>
      <c r="K1073" s="10"/>
      <c r="L1073" s="10"/>
      <c r="M1073" s="11"/>
      <c r="N1073" s="10"/>
      <c r="O1073" s="42"/>
      <c r="P1073" s="10"/>
    </row>
    <row r="1074" spans="1:16" x14ac:dyDescent="0.25">
      <c r="A1074" s="5"/>
      <c r="B1074" s="22"/>
      <c r="C1074" s="22"/>
      <c r="D1074" s="18"/>
      <c r="E1074" s="24"/>
      <c r="F1074" s="13"/>
      <c r="G1074" s="13"/>
      <c r="H1074" s="7"/>
      <c r="I1074" s="13"/>
      <c r="J1074" s="9"/>
      <c r="K1074" s="10"/>
      <c r="L1074" s="10"/>
      <c r="M1074" s="11"/>
      <c r="N1074" s="10"/>
      <c r="O1074" s="42"/>
      <c r="P1074" s="10"/>
    </row>
    <row r="1075" spans="1:16" x14ac:dyDescent="0.25">
      <c r="A1075" s="5"/>
      <c r="B1075" s="22"/>
      <c r="C1075" s="22"/>
      <c r="D1075" s="18"/>
      <c r="E1075" s="24"/>
      <c r="F1075" s="13"/>
      <c r="G1075" s="13"/>
      <c r="H1075" s="7"/>
      <c r="I1075" s="13"/>
      <c r="J1075" s="9"/>
      <c r="K1075" s="10"/>
      <c r="L1075" s="10"/>
      <c r="M1075" s="11"/>
      <c r="N1075" s="10"/>
      <c r="O1075" s="42"/>
      <c r="P1075" s="10"/>
    </row>
    <row r="1076" spans="1:16" x14ac:dyDescent="0.25">
      <c r="A1076" s="5"/>
      <c r="B1076" s="22"/>
      <c r="C1076" s="22"/>
      <c r="D1076" s="18"/>
      <c r="E1076" s="24"/>
      <c r="F1076" s="13"/>
      <c r="G1076" s="13"/>
      <c r="H1076" s="7"/>
      <c r="I1076" s="13"/>
      <c r="J1076" s="9"/>
      <c r="K1076" s="10"/>
      <c r="L1076" s="10"/>
      <c r="M1076" s="11"/>
      <c r="N1076" s="10"/>
      <c r="O1076" s="42"/>
      <c r="P1076" s="10"/>
    </row>
    <row r="1077" spans="1:16" x14ac:dyDescent="0.25">
      <c r="A1077" s="5"/>
      <c r="B1077" s="22"/>
      <c r="C1077" s="22"/>
      <c r="D1077" s="18"/>
      <c r="E1077" s="24"/>
      <c r="F1077" s="13"/>
      <c r="G1077" s="13"/>
      <c r="H1077" s="7"/>
      <c r="I1077" s="13"/>
      <c r="J1077" s="9"/>
      <c r="K1077" s="10"/>
      <c r="L1077" s="10"/>
      <c r="M1077" s="11"/>
      <c r="N1077" s="10"/>
      <c r="O1077" s="42"/>
      <c r="P1077" s="10"/>
    </row>
    <row r="1078" spans="1:16" x14ac:dyDescent="0.25">
      <c r="A1078" s="5"/>
      <c r="B1078" s="22"/>
      <c r="C1078" s="22"/>
      <c r="D1078" s="18"/>
      <c r="E1078" s="24"/>
      <c r="F1078" s="13"/>
      <c r="G1078" s="13"/>
      <c r="H1078" s="7"/>
      <c r="I1078" s="13"/>
      <c r="J1078" s="9"/>
      <c r="K1078" s="10"/>
      <c r="L1078" s="10"/>
      <c r="M1078" s="11"/>
      <c r="N1078" s="10"/>
      <c r="O1078" s="42"/>
      <c r="P1078" s="10"/>
    </row>
    <row r="1079" spans="1:16" x14ac:dyDescent="0.25">
      <c r="A1079" s="5"/>
      <c r="B1079" s="22"/>
      <c r="C1079" s="22"/>
      <c r="D1079" s="18"/>
      <c r="E1079" s="24"/>
      <c r="F1079" s="13"/>
      <c r="G1079" s="13"/>
      <c r="H1079" s="7"/>
      <c r="I1079" s="13"/>
      <c r="J1079" s="9"/>
      <c r="K1079" s="10"/>
      <c r="L1079" s="10"/>
      <c r="M1079" s="11"/>
      <c r="N1079" s="10"/>
      <c r="O1079" s="42"/>
      <c r="P1079" s="10"/>
    </row>
    <row r="1080" spans="1:16" x14ac:dyDescent="0.25">
      <c r="A1080" s="5"/>
      <c r="B1080" s="22"/>
      <c r="C1080" s="22"/>
      <c r="D1080" s="18"/>
      <c r="E1080" s="24"/>
      <c r="F1080" s="13"/>
      <c r="G1080" s="13"/>
      <c r="H1080" s="7"/>
      <c r="I1080" s="13"/>
      <c r="J1080" s="9"/>
      <c r="K1080" s="10"/>
      <c r="L1080" s="10"/>
      <c r="M1080" s="11"/>
      <c r="N1080" s="10"/>
      <c r="O1080" s="42"/>
      <c r="P1080" s="10"/>
    </row>
    <row r="1081" spans="1:16" x14ac:dyDescent="0.25">
      <c r="A1081" s="5"/>
      <c r="B1081" s="22"/>
      <c r="C1081" s="22"/>
      <c r="D1081" s="18"/>
      <c r="E1081" s="24"/>
      <c r="F1081" s="13"/>
      <c r="G1081" s="13"/>
      <c r="H1081" s="7"/>
      <c r="I1081" s="13"/>
      <c r="J1081" s="9"/>
      <c r="K1081" s="10"/>
      <c r="L1081" s="10"/>
      <c r="M1081" s="11"/>
      <c r="N1081" s="10"/>
      <c r="O1081" s="42"/>
      <c r="P1081" s="10"/>
    </row>
    <row r="1082" spans="1:16" x14ac:dyDescent="0.25">
      <c r="A1082" s="5"/>
      <c r="B1082" s="22"/>
      <c r="C1082" s="22"/>
      <c r="D1082" s="18"/>
      <c r="E1082" s="24"/>
      <c r="F1082" s="13"/>
      <c r="G1082" s="13"/>
      <c r="H1082" s="7"/>
      <c r="I1082" s="13"/>
      <c r="J1082" s="9"/>
      <c r="K1082" s="10"/>
      <c r="L1082" s="10"/>
      <c r="M1082" s="11"/>
      <c r="N1082" s="10"/>
      <c r="O1082" s="42"/>
      <c r="P1082" s="10"/>
    </row>
    <row r="1083" spans="1:16" x14ac:dyDescent="0.25">
      <c r="A1083" s="5"/>
      <c r="B1083" s="22"/>
      <c r="C1083" s="22"/>
      <c r="D1083" s="18"/>
      <c r="E1083" s="24"/>
      <c r="F1083" s="13"/>
      <c r="G1083" s="13"/>
      <c r="H1083" s="7"/>
      <c r="I1083" s="13"/>
      <c r="J1083" s="9"/>
      <c r="K1083" s="10"/>
      <c r="L1083" s="10"/>
      <c r="M1083" s="11"/>
      <c r="N1083" s="10"/>
      <c r="O1083" s="42"/>
      <c r="P1083" s="10"/>
    </row>
    <row r="1084" spans="1:16" x14ac:dyDescent="0.25">
      <c r="A1084" s="5"/>
      <c r="B1084" s="22"/>
      <c r="C1084" s="22"/>
      <c r="D1084" s="18"/>
      <c r="E1084" s="24"/>
      <c r="F1084" s="13"/>
      <c r="G1084" s="13"/>
      <c r="H1084" s="7"/>
      <c r="I1084" s="13"/>
      <c r="J1084" s="9"/>
      <c r="K1084" s="10"/>
      <c r="L1084" s="10"/>
      <c r="M1084" s="11"/>
      <c r="N1084" s="10"/>
      <c r="O1084" s="42"/>
      <c r="P1084" s="10"/>
    </row>
    <row r="1085" spans="1:16" x14ac:dyDescent="0.25">
      <c r="A1085" s="5"/>
      <c r="B1085" s="22"/>
      <c r="C1085" s="22"/>
      <c r="D1085" s="18"/>
      <c r="E1085" s="24"/>
      <c r="F1085" s="13"/>
      <c r="G1085" s="13"/>
      <c r="H1085" s="7"/>
      <c r="I1085" s="13"/>
      <c r="J1085" s="9"/>
      <c r="K1085" s="10"/>
      <c r="L1085" s="10"/>
      <c r="M1085" s="11"/>
      <c r="N1085" s="10"/>
      <c r="O1085" s="42"/>
      <c r="P1085" s="10"/>
    </row>
    <row r="1086" spans="1:16" x14ac:dyDescent="0.25">
      <c r="A1086" s="5"/>
      <c r="B1086" s="22"/>
      <c r="C1086" s="22"/>
      <c r="D1086" s="18"/>
      <c r="E1086" s="24"/>
      <c r="F1086" s="13"/>
      <c r="G1086" s="13"/>
      <c r="H1086" s="7"/>
      <c r="I1086" s="13"/>
      <c r="J1086" s="9"/>
      <c r="K1086" s="10"/>
      <c r="L1086" s="10"/>
      <c r="M1086" s="11"/>
      <c r="N1086" s="10"/>
      <c r="O1086" s="42"/>
      <c r="P1086" s="10"/>
    </row>
    <row r="1087" spans="1:16" x14ac:dyDescent="0.25">
      <c r="A1087" s="5"/>
      <c r="B1087" s="22"/>
      <c r="C1087" s="22"/>
      <c r="D1087" s="18"/>
      <c r="E1087" s="24"/>
      <c r="F1087" s="13"/>
      <c r="G1087" s="13"/>
      <c r="H1087" s="7"/>
      <c r="I1087" s="13"/>
      <c r="J1087" s="9"/>
      <c r="K1087" s="10"/>
      <c r="L1087" s="10"/>
      <c r="M1087" s="11"/>
      <c r="N1087" s="10"/>
      <c r="O1087" s="42"/>
      <c r="P1087" s="10"/>
    </row>
    <row r="1088" spans="1:16" x14ac:dyDescent="0.25">
      <c r="A1088" s="5"/>
      <c r="B1088" s="22"/>
      <c r="C1088" s="22"/>
      <c r="D1088" s="18"/>
      <c r="E1088" s="24"/>
      <c r="F1088" s="13"/>
      <c r="G1088" s="13"/>
      <c r="H1088" s="7"/>
      <c r="I1088" s="13"/>
      <c r="J1088" s="9"/>
      <c r="K1088" s="10"/>
      <c r="L1088" s="10"/>
      <c r="M1088" s="11"/>
      <c r="N1088" s="10"/>
      <c r="O1088" s="42"/>
      <c r="P1088" s="10"/>
    </row>
    <row r="1089" spans="1:16" x14ac:dyDescent="0.25">
      <c r="A1089" s="5"/>
      <c r="B1089" s="22"/>
      <c r="C1089" s="22"/>
      <c r="D1089" s="18"/>
      <c r="E1089" s="24"/>
      <c r="F1089" s="13"/>
      <c r="G1089" s="13"/>
      <c r="H1089" s="7"/>
      <c r="I1089" s="13"/>
      <c r="J1089" s="9"/>
      <c r="K1089" s="10"/>
      <c r="L1089" s="10"/>
      <c r="M1089" s="11"/>
      <c r="N1089" s="10"/>
      <c r="O1089" s="42"/>
      <c r="P1089" s="10"/>
    </row>
    <row r="1090" spans="1:16" x14ac:dyDescent="0.25">
      <c r="A1090" s="5"/>
      <c r="B1090" s="22"/>
      <c r="C1090" s="22"/>
      <c r="D1090" s="18"/>
      <c r="E1090" s="24"/>
      <c r="F1090" s="13"/>
      <c r="G1090" s="13"/>
      <c r="H1090" s="7"/>
      <c r="I1090" s="13"/>
      <c r="J1090" s="9"/>
      <c r="K1090" s="10"/>
      <c r="L1090" s="10"/>
      <c r="M1090" s="11"/>
      <c r="N1090" s="10"/>
      <c r="O1090" s="42"/>
      <c r="P1090" s="10"/>
    </row>
    <row r="1091" spans="1:16" x14ac:dyDescent="0.25">
      <c r="A1091" s="5"/>
      <c r="B1091" s="22"/>
      <c r="C1091" s="22"/>
      <c r="D1091" s="18"/>
      <c r="E1091" s="24"/>
      <c r="F1091" s="13"/>
      <c r="G1091" s="13"/>
      <c r="H1091" s="7"/>
      <c r="I1091" s="13"/>
      <c r="J1091" s="9"/>
      <c r="K1091" s="10"/>
      <c r="L1091" s="10"/>
      <c r="M1091" s="11"/>
      <c r="N1091" s="10"/>
      <c r="O1091" s="42"/>
      <c r="P1091" s="10"/>
    </row>
    <row r="1092" spans="1:16" x14ac:dyDescent="0.25">
      <c r="A1092" s="5"/>
      <c r="B1092" s="22"/>
      <c r="C1092" s="22"/>
      <c r="D1092" s="18"/>
      <c r="E1092" s="24"/>
      <c r="F1092" s="13"/>
      <c r="G1092" s="13"/>
      <c r="H1092" s="7"/>
      <c r="I1092" s="13"/>
      <c r="J1092" s="9"/>
      <c r="K1092" s="10"/>
      <c r="L1092" s="10"/>
      <c r="M1092" s="11"/>
      <c r="N1092" s="10"/>
      <c r="O1092" s="42"/>
      <c r="P1092" s="10"/>
    </row>
    <row r="1093" spans="1:16" x14ac:dyDescent="0.25">
      <c r="A1093" s="5"/>
      <c r="B1093" s="22"/>
      <c r="C1093" s="22"/>
      <c r="D1093" s="18"/>
      <c r="E1093" s="24"/>
      <c r="F1093" s="13"/>
      <c r="G1093" s="13"/>
      <c r="H1093" s="7"/>
      <c r="I1093" s="13"/>
      <c r="J1093" s="9"/>
      <c r="K1093" s="10"/>
      <c r="L1093" s="10"/>
      <c r="M1093" s="11"/>
      <c r="N1093" s="10"/>
      <c r="O1093" s="42"/>
      <c r="P1093" s="10"/>
    </row>
    <row r="1094" spans="1:16" x14ac:dyDescent="0.25">
      <c r="A1094" s="5"/>
      <c r="B1094" s="22"/>
      <c r="C1094" s="22"/>
      <c r="D1094" s="18"/>
      <c r="E1094" s="24"/>
      <c r="F1094" s="13"/>
      <c r="G1094" s="13"/>
      <c r="H1094" s="7"/>
      <c r="I1094" s="13"/>
      <c r="J1094" s="9"/>
      <c r="K1094" s="10"/>
      <c r="L1094" s="10"/>
      <c r="M1094" s="11"/>
      <c r="N1094" s="10"/>
      <c r="O1094" s="42"/>
      <c r="P1094" s="10"/>
    </row>
    <row r="1095" spans="1:16" x14ac:dyDescent="0.25">
      <c r="A1095" s="5"/>
      <c r="B1095" s="22"/>
      <c r="C1095" s="22"/>
      <c r="D1095" s="18"/>
      <c r="E1095" s="24"/>
      <c r="F1095" s="13"/>
      <c r="G1095" s="13"/>
      <c r="H1095" s="7"/>
      <c r="I1095" s="13"/>
      <c r="J1095" s="9"/>
      <c r="K1095" s="10"/>
      <c r="L1095" s="10"/>
      <c r="M1095" s="11"/>
      <c r="N1095" s="10"/>
      <c r="O1095" s="42"/>
      <c r="P1095" s="10"/>
    </row>
    <row r="1096" spans="1:16" x14ac:dyDescent="0.25">
      <c r="A1096" s="5"/>
      <c r="B1096" s="22"/>
      <c r="C1096" s="22"/>
      <c r="D1096" s="18"/>
      <c r="E1096" s="24"/>
      <c r="F1096" s="13"/>
      <c r="G1096" s="13"/>
      <c r="H1096" s="7"/>
      <c r="I1096" s="13"/>
      <c r="J1096" s="9"/>
      <c r="K1096" s="10"/>
      <c r="L1096" s="10"/>
      <c r="M1096" s="11"/>
      <c r="N1096" s="10"/>
      <c r="O1096" s="42"/>
      <c r="P1096" s="10"/>
    </row>
    <row r="1097" spans="1:16" x14ac:dyDescent="0.25">
      <c r="A1097" s="5"/>
      <c r="B1097" s="22"/>
      <c r="C1097" s="22"/>
      <c r="D1097" s="18"/>
      <c r="E1097" s="24"/>
      <c r="F1097" s="13"/>
      <c r="G1097" s="13"/>
      <c r="H1097" s="7"/>
      <c r="I1097" s="13"/>
      <c r="J1097" s="9"/>
      <c r="K1097" s="10"/>
      <c r="L1097" s="10"/>
      <c r="M1097" s="11"/>
      <c r="N1097" s="10"/>
      <c r="O1097" s="42"/>
      <c r="P1097" s="10"/>
    </row>
    <row r="1098" spans="1:16" x14ac:dyDescent="0.25">
      <c r="A1098" s="5"/>
      <c r="B1098" s="22"/>
      <c r="C1098" s="22"/>
      <c r="D1098" s="18"/>
      <c r="E1098" s="24"/>
      <c r="F1098" s="13"/>
      <c r="G1098" s="13"/>
      <c r="H1098" s="7"/>
      <c r="I1098" s="13"/>
      <c r="J1098" s="9"/>
      <c r="K1098" s="10"/>
      <c r="L1098" s="10"/>
      <c r="M1098" s="11"/>
      <c r="N1098" s="10"/>
      <c r="O1098" s="42"/>
      <c r="P1098" s="10"/>
    </row>
    <row r="1099" spans="1:16" x14ac:dyDescent="0.25">
      <c r="A1099" s="5"/>
      <c r="B1099" s="22"/>
      <c r="C1099" s="22"/>
      <c r="D1099" s="18"/>
      <c r="E1099" s="24"/>
      <c r="F1099" s="13"/>
      <c r="G1099" s="13"/>
      <c r="H1099" s="7"/>
      <c r="I1099" s="13"/>
      <c r="J1099" s="9"/>
      <c r="K1099" s="10"/>
      <c r="L1099" s="10"/>
      <c r="M1099" s="11"/>
      <c r="N1099" s="10"/>
      <c r="O1099" s="42"/>
      <c r="P1099" s="10"/>
    </row>
    <row r="1100" spans="1:16" x14ac:dyDescent="0.25">
      <c r="A1100" s="5"/>
      <c r="B1100" s="22"/>
      <c r="C1100" s="22"/>
      <c r="D1100" s="18"/>
      <c r="E1100" s="24"/>
      <c r="F1100" s="13"/>
      <c r="G1100" s="13"/>
      <c r="H1100" s="7"/>
      <c r="I1100" s="13"/>
      <c r="J1100" s="9"/>
      <c r="K1100" s="10"/>
      <c r="L1100" s="10"/>
      <c r="M1100" s="11"/>
      <c r="N1100" s="10"/>
      <c r="O1100" s="42"/>
      <c r="P1100" s="10"/>
    </row>
    <row r="1101" spans="1:16" x14ac:dyDescent="0.25">
      <c r="A1101" s="5"/>
      <c r="B1101" s="22"/>
      <c r="C1101" s="22"/>
      <c r="D1101" s="18"/>
      <c r="E1101" s="24"/>
      <c r="F1101" s="13"/>
      <c r="G1101" s="13"/>
      <c r="H1101" s="7"/>
      <c r="I1101" s="13"/>
      <c r="J1101" s="9"/>
      <c r="K1101" s="10"/>
      <c r="L1101" s="10"/>
      <c r="M1101" s="11"/>
      <c r="N1101" s="10"/>
      <c r="O1101" s="42"/>
      <c r="P1101" s="10"/>
    </row>
    <row r="1102" spans="1:16" x14ac:dyDescent="0.25">
      <c r="A1102" s="5"/>
      <c r="B1102" s="22"/>
      <c r="C1102" s="22"/>
      <c r="D1102" s="18"/>
      <c r="E1102" s="24"/>
      <c r="F1102" s="13"/>
      <c r="G1102" s="13"/>
      <c r="H1102" s="7"/>
      <c r="I1102" s="13"/>
      <c r="J1102" s="9"/>
      <c r="K1102" s="10"/>
      <c r="L1102" s="10"/>
      <c r="M1102" s="11"/>
      <c r="N1102" s="10"/>
      <c r="O1102" s="42"/>
      <c r="P1102" s="10"/>
    </row>
    <row r="1103" spans="1:16" x14ac:dyDescent="0.25">
      <c r="A1103" s="5"/>
      <c r="B1103" s="22"/>
      <c r="C1103" s="22"/>
      <c r="D1103" s="18"/>
      <c r="E1103" s="24"/>
      <c r="F1103" s="13"/>
      <c r="G1103" s="13"/>
      <c r="H1103" s="7"/>
      <c r="I1103" s="13"/>
      <c r="J1103" s="9"/>
      <c r="K1103" s="10"/>
      <c r="L1103" s="10"/>
      <c r="M1103" s="11"/>
      <c r="N1103" s="10"/>
      <c r="O1103" s="42"/>
      <c r="P1103" s="10"/>
    </row>
    <row r="1104" spans="1:16" x14ac:dyDescent="0.25">
      <c r="A1104" s="5"/>
      <c r="B1104" s="22"/>
      <c r="C1104" s="22"/>
      <c r="D1104" s="18"/>
      <c r="E1104" s="24"/>
      <c r="F1104" s="13"/>
      <c r="G1104" s="13"/>
      <c r="H1104" s="7"/>
      <c r="I1104" s="13"/>
      <c r="J1104" s="9"/>
      <c r="K1104" s="10"/>
      <c r="L1104" s="10"/>
      <c r="M1104" s="11"/>
      <c r="N1104" s="10"/>
      <c r="O1104" s="42"/>
      <c r="P1104" s="10"/>
    </row>
    <row r="1105" spans="1:16" x14ac:dyDescent="0.25">
      <c r="A1105" s="5"/>
      <c r="B1105" s="22"/>
      <c r="C1105" s="22"/>
      <c r="D1105" s="18"/>
      <c r="E1105" s="24"/>
      <c r="F1105" s="13"/>
      <c r="G1105" s="13"/>
      <c r="H1105" s="7"/>
      <c r="I1105" s="13"/>
      <c r="J1105" s="9"/>
      <c r="K1105" s="10"/>
      <c r="L1105" s="10"/>
      <c r="M1105" s="11"/>
      <c r="N1105" s="10"/>
      <c r="O1105" s="42"/>
      <c r="P1105" s="10"/>
    </row>
    <row r="1106" spans="1:16" x14ac:dyDescent="0.25">
      <c r="A1106" s="5"/>
      <c r="B1106" s="22"/>
      <c r="C1106" s="22"/>
      <c r="D1106" s="18"/>
      <c r="E1106" s="24"/>
      <c r="F1106" s="13"/>
      <c r="G1106" s="13"/>
      <c r="H1106" s="7"/>
      <c r="I1106" s="13"/>
      <c r="J1106" s="9"/>
      <c r="K1106" s="10"/>
      <c r="L1106" s="10"/>
      <c r="M1106" s="11"/>
      <c r="N1106" s="10"/>
      <c r="O1106" s="42"/>
      <c r="P1106" s="10"/>
    </row>
    <row r="1107" spans="1:16" x14ac:dyDescent="0.25">
      <c r="A1107" s="5"/>
      <c r="B1107" s="22"/>
      <c r="C1107" s="22"/>
      <c r="D1107" s="18"/>
      <c r="E1107" s="24"/>
      <c r="F1107" s="13"/>
      <c r="G1107" s="13"/>
      <c r="H1107" s="7"/>
      <c r="I1107" s="13"/>
      <c r="J1107" s="9"/>
      <c r="K1107" s="10"/>
      <c r="L1107" s="10"/>
      <c r="M1107" s="11"/>
      <c r="N1107" s="10"/>
      <c r="O1107" s="42"/>
      <c r="P1107" s="10"/>
    </row>
    <row r="1108" spans="1:16" x14ac:dyDescent="0.25">
      <c r="A1108" s="5"/>
      <c r="B1108" s="22"/>
      <c r="C1108" s="22"/>
      <c r="D1108" s="18"/>
      <c r="E1108" s="24"/>
      <c r="F1108" s="13"/>
      <c r="G1108" s="13"/>
      <c r="H1108" s="7"/>
      <c r="I1108" s="13"/>
      <c r="J1108" s="9"/>
      <c r="K1108" s="10"/>
      <c r="L1108" s="10"/>
      <c r="M1108" s="11"/>
      <c r="N1108" s="10"/>
      <c r="O1108" s="42"/>
      <c r="P1108" s="10"/>
    </row>
    <row r="1109" spans="1:16" x14ac:dyDescent="0.25">
      <c r="A1109" s="5"/>
      <c r="B1109" s="22"/>
      <c r="C1109" s="22"/>
      <c r="D1109" s="18"/>
      <c r="E1109" s="24"/>
      <c r="F1109" s="13"/>
      <c r="G1109" s="13"/>
      <c r="H1109" s="7"/>
      <c r="I1109" s="13"/>
      <c r="J1109" s="9"/>
      <c r="K1109" s="10"/>
      <c r="L1109" s="10"/>
      <c r="M1109" s="11"/>
      <c r="N1109" s="10"/>
      <c r="O1109" s="42"/>
      <c r="P1109" s="10"/>
    </row>
    <row r="1110" spans="1:16" x14ac:dyDescent="0.25">
      <c r="A1110" s="5"/>
      <c r="B1110" s="22"/>
      <c r="C1110" s="22"/>
      <c r="D1110" s="18"/>
      <c r="E1110" s="24"/>
      <c r="F1110" s="13"/>
      <c r="G1110" s="13"/>
      <c r="H1110" s="7"/>
      <c r="I1110" s="13"/>
      <c r="J1110" s="9"/>
      <c r="K1110" s="10"/>
      <c r="L1110" s="10"/>
      <c r="M1110" s="11"/>
      <c r="N1110" s="10"/>
      <c r="O1110" s="42"/>
      <c r="P1110" s="10"/>
    </row>
    <row r="1111" spans="1:16" x14ac:dyDescent="0.25">
      <c r="A1111" s="5"/>
      <c r="B1111" s="22"/>
      <c r="C1111" s="22"/>
      <c r="D1111" s="18"/>
      <c r="E1111" s="24"/>
      <c r="F1111" s="13"/>
      <c r="G1111" s="13"/>
      <c r="H1111" s="7"/>
      <c r="I1111" s="13"/>
      <c r="J1111" s="9"/>
      <c r="K1111" s="10"/>
      <c r="L1111" s="10"/>
      <c r="M1111" s="11"/>
      <c r="N1111" s="10"/>
      <c r="O1111" s="42"/>
      <c r="P1111" s="10"/>
    </row>
    <row r="1112" spans="1:16" x14ac:dyDescent="0.25">
      <c r="A1112" s="5"/>
      <c r="B1112" s="22"/>
      <c r="C1112" s="22"/>
      <c r="D1112" s="18"/>
      <c r="E1112" s="24"/>
      <c r="F1112" s="13"/>
      <c r="G1112" s="13"/>
      <c r="H1112" s="7"/>
      <c r="I1112" s="13"/>
      <c r="J1112" s="9"/>
      <c r="K1112" s="10"/>
      <c r="L1112" s="10"/>
      <c r="M1112" s="11"/>
      <c r="N1112" s="10"/>
      <c r="O1112" s="42"/>
      <c r="P1112" s="10"/>
    </row>
    <row r="1113" spans="1:16" x14ac:dyDescent="0.25">
      <c r="A1113" s="5"/>
      <c r="B1113" s="22"/>
      <c r="C1113" s="22"/>
      <c r="D1113" s="18"/>
      <c r="E1113" s="24"/>
      <c r="F1113" s="13"/>
      <c r="G1113" s="13"/>
      <c r="H1113" s="7"/>
      <c r="I1113" s="13"/>
      <c r="J1113" s="9"/>
      <c r="K1113" s="10"/>
      <c r="L1113" s="10"/>
      <c r="M1113" s="11"/>
      <c r="N1113" s="10"/>
      <c r="O1113" s="42"/>
      <c r="P1113" s="10"/>
    </row>
    <row r="1114" spans="1:16" x14ac:dyDescent="0.25">
      <c r="A1114" s="5"/>
      <c r="B1114" s="22"/>
      <c r="C1114" s="22"/>
      <c r="D1114" s="18"/>
      <c r="E1114" s="24"/>
      <c r="F1114" s="13"/>
      <c r="G1114" s="13"/>
      <c r="H1114" s="7"/>
      <c r="I1114" s="13"/>
      <c r="J1114" s="9"/>
      <c r="K1114" s="10"/>
      <c r="L1114" s="10"/>
      <c r="M1114" s="11"/>
      <c r="N1114" s="10"/>
      <c r="O1114" s="42"/>
      <c r="P1114" s="10"/>
    </row>
    <row r="1115" spans="1:16" x14ac:dyDescent="0.25">
      <c r="A1115" s="5"/>
      <c r="B1115" s="22"/>
      <c r="C1115" s="22"/>
      <c r="D1115" s="18"/>
      <c r="E1115" s="24"/>
      <c r="F1115" s="13"/>
      <c r="G1115" s="13"/>
      <c r="H1115" s="7"/>
      <c r="I1115" s="13"/>
      <c r="J1115" s="9"/>
      <c r="K1115" s="10"/>
      <c r="L1115" s="10"/>
      <c r="M1115" s="11"/>
      <c r="N1115" s="10"/>
      <c r="O1115" s="42"/>
      <c r="P1115" s="10"/>
    </row>
    <row r="1116" spans="1:16" x14ac:dyDescent="0.25">
      <c r="A1116" s="5"/>
      <c r="B1116" s="22"/>
      <c r="C1116" s="22"/>
      <c r="D1116" s="18"/>
      <c r="E1116" s="24"/>
      <c r="F1116" s="13"/>
      <c r="G1116" s="13"/>
      <c r="H1116" s="7"/>
      <c r="I1116" s="13"/>
      <c r="J1116" s="9"/>
      <c r="K1116" s="10"/>
      <c r="L1116" s="10"/>
      <c r="M1116" s="11"/>
      <c r="N1116" s="10"/>
      <c r="O1116" s="42"/>
      <c r="P1116" s="10"/>
    </row>
    <row r="1117" spans="1:16" x14ac:dyDescent="0.25">
      <c r="A1117" s="5"/>
      <c r="B1117" s="22"/>
      <c r="C1117" s="22"/>
      <c r="D1117" s="18"/>
      <c r="E1117" s="24"/>
      <c r="F1117" s="13"/>
      <c r="G1117" s="13"/>
      <c r="H1117" s="7"/>
      <c r="I1117" s="13"/>
      <c r="J1117" s="9"/>
      <c r="K1117" s="10"/>
      <c r="L1117" s="10"/>
      <c r="M1117" s="11"/>
      <c r="N1117" s="10"/>
      <c r="O1117" s="42"/>
      <c r="P1117" s="10"/>
    </row>
    <row r="1118" spans="1:16" x14ac:dyDescent="0.25">
      <c r="A1118" s="5"/>
      <c r="B1118" s="22"/>
      <c r="C1118" s="22"/>
      <c r="D1118" s="18"/>
      <c r="E1118" s="24"/>
      <c r="F1118" s="13"/>
      <c r="G1118" s="13"/>
      <c r="H1118" s="7"/>
      <c r="I1118" s="13"/>
      <c r="J1118" s="9"/>
      <c r="K1118" s="10"/>
      <c r="L1118" s="10"/>
      <c r="M1118" s="11"/>
      <c r="N1118" s="10"/>
      <c r="O1118" s="42"/>
      <c r="P1118" s="10"/>
    </row>
    <row r="1119" spans="1:16" x14ac:dyDescent="0.25">
      <c r="A1119" s="5"/>
      <c r="B1119" s="22"/>
      <c r="C1119" s="22"/>
      <c r="D1119" s="18"/>
      <c r="E1119" s="24"/>
      <c r="F1119" s="13"/>
      <c r="G1119" s="13"/>
      <c r="H1119" s="7"/>
      <c r="I1119" s="13"/>
      <c r="J1119" s="9"/>
      <c r="K1119" s="10"/>
      <c r="L1119" s="10"/>
      <c r="M1119" s="11"/>
      <c r="N1119" s="10"/>
      <c r="O1119" s="42"/>
      <c r="P1119" s="10"/>
    </row>
    <row r="1120" spans="1:16" x14ac:dyDescent="0.25">
      <c r="A1120" s="5"/>
      <c r="B1120" s="22"/>
      <c r="C1120" s="22"/>
      <c r="D1120" s="18"/>
      <c r="E1120" s="24"/>
      <c r="F1120" s="13"/>
      <c r="G1120" s="13"/>
      <c r="H1120" s="7"/>
      <c r="I1120" s="13"/>
      <c r="J1120" s="9"/>
      <c r="K1120" s="10"/>
      <c r="L1120" s="10"/>
      <c r="M1120" s="11"/>
      <c r="N1120" s="10"/>
      <c r="O1120" s="42"/>
      <c r="P1120" s="10"/>
    </row>
    <row r="1121" spans="1:16" x14ac:dyDescent="0.25">
      <c r="A1121" s="5"/>
      <c r="B1121" s="22"/>
      <c r="C1121" s="22"/>
      <c r="D1121" s="18"/>
      <c r="E1121" s="24"/>
      <c r="F1121" s="13"/>
      <c r="G1121" s="13"/>
      <c r="H1121" s="7"/>
      <c r="I1121" s="13"/>
      <c r="J1121" s="9"/>
      <c r="K1121" s="10"/>
      <c r="L1121" s="10"/>
      <c r="M1121" s="11"/>
      <c r="N1121" s="10"/>
      <c r="O1121" s="42"/>
      <c r="P1121" s="10"/>
    </row>
    <row r="1122" spans="1:16" x14ac:dyDescent="0.25">
      <c r="A1122" s="5"/>
      <c r="B1122" s="22"/>
      <c r="C1122" s="22"/>
      <c r="D1122" s="18"/>
      <c r="E1122" s="24"/>
      <c r="F1122" s="13"/>
      <c r="G1122" s="13"/>
      <c r="H1122" s="7"/>
      <c r="I1122" s="13"/>
      <c r="J1122" s="9"/>
      <c r="K1122" s="10"/>
      <c r="L1122" s="10"/>
      <c r="M1122" s="11"/>
      <c r="N1122" s="10"/>
      <c r="O1122" s="42"/>
      <c r="P1122" s="10"/>
    </row>
    <row r="1123" spans="1:16" x14ac:dyDescent="0.25">
      <c r="A1123" s="5"/>
      <c r="B1123" s="22"/>
      <c r="C1123" s="22"/>
      <c r="D1123" s="18"/>
      <c r="E1123" s="24"/>
      <c r="F1123" s="13"/>
      <c r="G1123" s="13"/>
      <c r="H1123" s="7"/>
      <c r="I1123" s="13"/>
      <c r="J1123" s="9"/>
      <c r="K1123" s="10"/>
      <c r="L1123" s="10"/>
      <c r="M1123" s="11"/>
      <c r="N1123" s="10"/>
      <c r="O1123" s="42"/>
      <c r="P1123" s="10"/>
    </row>
    <row r="1124" spans="1:16" x14ac:dyDescent="0.25">
      <c r="A1124" s="5"/>
      <c r="B1124" s="22"/>
      <c r="C1124" s="22"/>
      <c r="D1124" s="18"/>
      <c r="E1124" s="24"/>
      <c r="F1124" s="13"/>
      <c r="G1124" s="13"/>
      <c r="H1124" s="7"/>
      <c r="I1124" s="13"/>
      <c r="J1124" s="9"/>
      <c r="K1124" s="10"/>
      <c r="L1124" s="10"/>
      <c r="M1124" s="11"/>
      <c r="N1124" s="10"/>
      <c r="O1124" s="42"/>
      <c r="P1124" s="10"/>
    </row>
    <row r="1125" spans="1:16" x14ac:dyDescent="0.25">
      <c r="A1125" s="5"/>
      <c r="B1125" s="22"/>
      <c r="C1125" s="22"/>
      <c r="D1125" s="18"/>
      <c r="E1125" s="24"/>
      <c r="F1125" s="13"/>
      <c r="G1125" s="13"/>
      <c r="H1125" s="7"/>
      <c r="I1125" s="13"/>
      <c r="J1125" s="9"/>
      <c r="K1125" s="10"/>
      <c r="L1125" s="10"/>
      <c r="M1125" s="11"/>
      <c r="N1125" s="10"/>
      <c r="O1125" s="42"/>
      <c r="P1125" s="10"/>
    </row>
    <row r="1126" spans="1:16" x14ac:dyDescent="0.25">
      <c r="A1126" s="5"/>
      <c r="B1126" s="22"/>
      <c r="C1126" s="22"/>
      <c r="D1126" s="18"/>
      <c r="E1126" s="24"/>
      <c r="F1126" s="13"/>
      <c r="G1126" s="13"/>
      <c r="H1126" s="7"/>
      <c r="I1126" s="13"/>
      <c r="J1126" s="9"/>
      <c r="K1126" s="10"/>
      <c r="L1126" s="10"/>
      <c r="M1126" s="11"/>
      <c r="N1126" s="10"/>
      <c r="O1126" s="42"/>
      <c r="P1126" s="10"/>
    </row>
    <row r="1127" spans="1:16" x14ac:dyDescent="0.25">
      <c r="A1127" s="5"/>
      <c r="B1127" s="22"/>
      <c r="C1127" s="22"/>
      <c r="D1127" s="18"/>
      <c r="E1127" s="24"/>
      <c r="F1127" s="13"/>
      <c r="G1127" s="13"/>
      <c r="H1127" s="7"/>
      <c r="I1127" s="13"/>
      <c r="J1127" s="9"/>
      <c r="K1127" s="10"/>
      <c r="L1127" s="10"/>
      <c r="M1127" s="11"/>
      <c r="N1127" s="10"/>
      <c r="O1127" s="42"/>
      <c r="P1127" s="10"/>
    </row>
    <row r="1128" spans="1:16" x14ac:dyDescent="0.25">
      <c r="A1128" s="5"/>
      <c r="B1128" s="22"/>
      <c r="C1128" s="22"/>
      <c r="D1128" s="18"/>
      <c r="E1128" s="24"/>
      <c r="F1128" s="13"/>
      <c r="G1128" s="13"/>
      <c r="H1128" s="7"/>
      <c r="I1128" s="13"/>
      <c r="J1128" s="9"/>
      <c r="K1128" s="10"/>
      <c r="L1128" s="10"/>
      <c r="M1128" s="11"/>
      <c r="N1128" s="10"/>
      <c r="O1128" s="42"/>
      <c r="P1128" s="10"/>
    </row>
    <row r="1129" spans="1:16" x14ac:dyDescent="0.25">
      <c r="A1129" s="5"/>
      <c r="B1129" s="22"/>
      <c r="C1129" s="22"/>
      <c r="D1129" s="18"/>
      <c r="E1129" s="24"/>
      <c r="F1129" s="13"/>
      <c r="G1129" s="13"/>
      <c r="H1129" s="7"/>
      <c r="I1129" s="13"/>
      <c r="J1129" s="9"/>
      <c r="K1129" s="10"/>
      <c r="L1129" s="10"/>
      <c r="M1129" s="11"/>
      <c r="N1129" s="10"/>
      <c r="O1129" s="42"/>
      <c r="P1129" s="10"/>
    </row>
    <row r="1130" spans="1:16" x14ac:dyDescent="0.25">
      <c r="A1130" s="5"/>
      <c r="B1130" s="22"/>
      <c r="C1130" s="22"/>
      <c r="D1130" s="18"/>
      <c r="E1130" s="24"/>
      <c r="F1130" s="13"/>
      <c r="G1130" s="13"/>
      <c r="H1130" s="7"/>
      <c r="I1130" s="13"/>
      <c r="J1130" s="9"/>
      <c r="K1130" s="10"/>
      <c r="L1130" s="10"/>
      <c r="M1130" s="11"/>
      <c r="N1130" s="10"/>
      <c r="O1130" s="42"/>
      <c r="P1130" s="10"/>
    </row>
    <row r="1131" spans="1:16" x14ac:dyDescent="0.25">
      <c r="A1131" s="5"/>
      <c r="B1131" s="22"/>
      <c r="C1131" s="22"/>
      <c r="D1131" s="18"/>
      <c r="E1131" s="24"/>
      <c r="F1131" s="13"/>
      <c r="G1131" s="13"/>
      <c r="H1131" s="7"/>
      <c r="I1131" s="13"/>
      <c r="J1131" s="9"/>
      <c r="K1131" s="10"/>
      <c r="L1131" s="10"/>
      <c r="M1131" s="11"/>
      <c r="N1131" s="10"/>
      <c r="O1131" s="42"/>
      <c r="P1131" s="10"/>
    </row>
    <row r="1132" spans="1:16" x14ac:dyDescent="0.25">
      <c r="A1132" s="5"/>
      <c r="B1132" s="22"/>
      <c r="C1132" s="22"/>
      <c r="D1132" s="18"/>
      <c r="E1132" s="24"/>
      <c r="F1132" s="13"/>
      <c r="G1132" s="13"/>
      <c r="H1132" s="7"/>
      <c r="I1132" s="13"/>
      <c r="J1132" s="9"/>
      <c r="K1132" s="10"/>
      <c r="L1132" s="10"/>
      <c r="M1132" s="11"/>
      <c r="N1132" s="10"/>
      <c r="O1132" s="42"/>
      <c r="P1132" s="10"/>
    </row>
    <row r="1133" spans="1:16" x14ac:dyDescent="0.25">
      <c r="A1133" s="5"/>
      <c r="B1133" s="22"/>
      <c r="C1133" s="22"/>
      <c r="D1133" s="18"/>
      <c r="E1133" s="24"/>
      <c r="F1133" s="13"/>
      <c r="G1133" s="13"/>
      <c r="H1133" s="7"/>
      <c r="I1133" s="13"/>
      <c r="J1133" s="9"/>
      <c r="K1133" s="10"/>
      <c r="L1133" s="10"/>
      <c r="M1133" s="11"/>
      <c r="N1133" s="10"/>
      <c r="O1133" s="42"/>
      <c r="P1133" s="10"/>
    </row>
    <row r="1134" spans="1:16" x14ac:dyDescent="0.25">
      <c r="A1134" s="5"/>
      <c r="B1134" s="22"/>
      <c r="C1134" s="22"/>
      <c r="D1134" s="18"/>
      <c r="E1134" s="24"/>
      <c r="F1134" s="13"/>
      <c r="G1134" s="13"/>
      <c r="H1134" s="7"/>
      <c r="I1134" s="13"/>
      <c r="J1134" s="9"/>
      <c r="K1134" s="10"/>
      <c r="L1134" s="10"/>
      <c r="M1134" s="11"/>
      <c r="N1134" s="10"/>
      <c r="O1134" s="42"/>
      <c r="P1134" s="10"/>
    </row>
    <row r="1135" spans="1:16" x14ac:dyDescent="0.25">
      <c r="A1135" s="5"/>
      <c r="B1135" s="22"/>
      <c r="C1135" s="22"/>
      <c r="D1135" s="18"/>
      <c r="E1135" s="24"/>
      <c r="F1135" s="13"/>
      <c r="G1135" s="13"/>
      <c r="H1135" s="7"/>
      <c r="I1135" s="13"/>
      <c r="J1135" s="9"/>
      <c r="K1135" s="10"/>
      <c r="L1135" s="10"/>
      <c r="M1135" s="11"/>
      <c r="N1135" s="10"/>
      <c r="O1135" s="42"/>
      <c r="P1135" s="10"/>
    </row>
    <row r="1136" spans="1:16" x14ac:dyDescent="0.25">
      <c r="A1136" s="5"/>
      <c r="B1136" s="22"/>
      <c r="C1136" s="22"/>
      <c r="D1136" s="18"/>
      <c r="E1136" s="24"/>
      <c r="F1136" s="13"/>
      <c r="G1136" s="13"/>
      <c r="H1136" s="7"/>
      <c r="I1136" s="13"/>
      <c r="J1136" s="9"/>
      <c r="K1136" s="10"/>
      <c r="L1136" s="10"/>
      <c r="M1136" s="11"/>
      <c r="N1136" s="10"/>
      <c r="O1136" s="42"/>
      <c r="P1136" s="10"/>
    </row>
    <row r="1137" spans="1:16" x14ac:dyDescent="0.25">
      <c r="A1137" s="5"/>
      <c r="B1137" s="22"/>
      <c r="C1137" s="22"/>
      <c r="D1137" s="18"/>
      <c r="E1137" s="24"/>
      <c r="F1137" s="13"/>
      <c r="G1137" s="13"/>
      <c r="H1137" s="7"/>
      <c r="I1137" s="13"/>
      <c r="J1137" s="9"/>
      <c r="K1137" s="10"/>
      <c r="L1137" s="10"/>
      <c r="M1137" s="11"/>
      <c r="N1137" s="10"/>
      <c r="O1137" s="42"/>
      <c r="P1137" s="10"/>
    </row>
    <row r="1138" spans="1:16" x14ac:dyDescent="0.25">
      <c r="A1138" s="5"/>
      <c r="B1138" s="22"/>
      <c r="C1138" s="22"/>
      <c r="D1138" s="18"/>
      <c r="E1138" s="24"/>
      <c r="F1138" s="13"/>
      <c r="G1138" s="13"/>
      <c r="H1138" s="7"/>
      <c r="I1138" s="13"/>
      <c r="J1138" s="9"/>
      <c r="K1138" s="10"/>
      <c r="L1138" s="10"/>
      <c r="M1138" s="11"/>
      <c r="N1138" s="10"/>
      <c r="O1138" s="42"/>
      <c r="P1138" s="10"/>
    </row>
    <row r="1139" spans="1:16" x14ac:dyDescent="0.25">
      <c r="A1139" s="5"/>
      <c r="B1139" s="22"/>
      <c r="C1139" s="22"/>
      <c r="D1139" s="18"/>
      <c r="E1139" s="24"/>
      <c r="F1139" s="13"/>
      <c r="G1139" s="13"/>
      <c r="H1139" s="7"/>
      <c r="I1139" s="13"/>
      <c r="J1139" s="9"/>
      <c r="K1139" s="10"/>
      <c r="L1139" s="10"/>
      <c r="M1139" s="11"/>
      <c r="N1139" s="10"/>
      <c r="O1139" s="42"/>
      <c r="P1139" s="10"/>
    </row>
    <row r="1140" spans="1:16" x14ac:dyDescent="0.25">
      <c r="A1140" s="5"/>
      <c r="B1140" s="22"/>
      <c r="C1140" s="22"/>
      <c r="D1140" s="18"/>
      <c r="E1140" s="24"/>
      <c r="F1140" s="13"/>
      <c r="G1140" s="13"/>
      <c r="H1140" s="7"/>
      <c r="I1140" s="13"/>
      <c r="J1140" s="9"/>
      <c r="K1140" s="10"/>
      <c r="L1140" s="10"/>
      <c r="M1140" s="11"/>
      <c r="N1140" s="10"/>
      <c r="O1140" s="42"/>
      <c r="P1140" s="10"/>
    </row>
    <row r="1141" spans="1:16" x14ac:dyDescent="0.25">
      <c r="A1141" s="5"/>
      <c r="B1141" s="22"/>
      <c r="C1141" s="22"/>
      <c r="D1141" s="18"/>
      <c r="E1141" s="24"/>
      <c r="F1141" s="13"/>
      <c r="G1141" s="13"/>
      <c r="H1141" s="7"/>
      <c r="I1141" s="13"/>
      <c r="J1141" s="9"/>
      <c r="K1141" s="10"/>
      <c r="L1141" s="10"/>
      <c r="M1141" s="11"/>
      <c r="N1141" s="10"/>
      <c r="O1141" s="42"/>
      <c r="P1141" s="10"/>
    </row>
    <row r="1142" spans="1:16" x14ac:dyDescent="0.25">
      <c r="A1142" s="5"/>
      <c r="B1142" s="22"/>
      <c r="C1142" s="22"/>
      <c r="D1142" s="18"/>
      <c r="E1142" s="24"/>
      <c r="F1142" s="13"/>
      <c r="G1142" s="13"/>
      <c r="H1142" s="7"/>
      <c r="I1142" s="13"/>
      <c r="J1142" s="9"/>
      <c r="K1142" s="10"/>
      <c r="L1142" s="10"/>
      <c r="M1142" s="11"/>
      <c r="N1142" s="10"/>
      <c r="O1142" s="42"/>
      <c r="P1142" s="10"/>
    </row>
    <row r="1143" spans="1:16" x14ac:dyDescent="0.25">
      <c r="A1143" s="5"/>
      <c r="B1143" s="22"/>
      <c r="C1143" s="22"/>
      <c r="D1143" s="18"/>
      <c r="E1143" s="24"/>
      <c r="F1143" s="13"/>
      <c r="G1143" s="13"/>
      <c r="H1143" s="7"/>
      <c r="I1143" s="13"/>
      <c r="J1143" s="9"/>
      <c r="K1143" s="10"/>
      <c r="L1143" s="10"/>
      <c r="M1143" s="11"/>
      <c r="N1143" s="10"/>
      <c r="O1143" s="42"/>
      <c r="P1143" s="10"/>
    </row>
    <row r="1144" spans="1:16" x14ac:dyDescent="0.25">
      <c r="A1144" s="5"/>
      <c r="B1144" s="22"/>
      <c r="C1144" s="22"/>
      <c r="D1144" s="18"/>
      <c r="E1144" s="24"/>
      <c r="F1144" s="13"/>
      <c r="G1144" s="13"/>
      <c r="H1144" s="7"/>
      <c r="I1144" s="13"/>
      <c r="J1144" s="9"/>
      <c r="K1144" s="10"/>
      <c r="L1144" s="10"/>
      <c r="M1144" s="11"/>
      <c r="N1144" s="10"/>
      <c r="O1144" s="42"/>
      <c r="P1144" s="10"/>
    </row>
    <row r="1145" spans="1:16" x14ac:dyDescent="0.25">
      <c r="A1145" s="5"/>
      <c r="B1145" s="22"/>
      <c r="C1145" s="22"/>
      <c r="D1145" s="18"/>
      <c r="E1145" s="24"/>
      <c r="F1145" s="13"/>
      <c r="G1145" s="13"/>
      <c r="H1145" s="7"/>
      <c r="I1145" s="13"/>
      <c r="J1145" s="9"/>
      <c r="K1145" s="10"/>
      <c r="L1145" s="10"/>
      <c r="M1145" s="11"/>
      <c r="N1145" s="10"/>
      <c r="O1145" s="42"/>
      <c r="P1145" s="10"/>
    </row>
    <row r="1146" spans="1:16" x14ac:dyDescent="0.25">
      <c r="A1146" s="5"/>
      <c r="B1146" s="22"/>
      <c r="C1146" s="22"/>
      <c r="D1146" s="18"/>
      <c r="E1146" s="24"/>
      <c r="F1146" s="13"/>
      <c r="G1146" s="13"/>
      <c r="H1146" s="7"/>
      <c r="I1146" s="13"/>
      <c r="J1146" s="9"/>
      <c r="K1146" s="10"/>
      <c r="L1146" s="10"/>
      <c r="M1146" s="11"/>
      <c r="N1146" s="10"/>
      <c r="O1146" s="42"/>
      <c r="P1146" s="10"/>
    </row>
    <row r="1147" spans="1:16" x14ac:dyDescent="0.25">
      <c r="A1147" s="5"/>
      <c r="B1147" s="22"/>
      <c r="C1147" s="22"/>
      <c r="D1147" s="18"/>
      <c r="E1147" s="24"/>
      <c r="F1147" s="13"/>
      <c r="G1147" s="13"/>
      <c r="H1147" s="7"/>
      <c r="I1147" s="13"/>
      <c r="J1147" s="9"/>
      <c r="K1147" s="10"/>
      <c r="L1147" s="10"/>
      <c r="M1147" s="11"/>
      <c r="N1147" s="10"/>
      <c r="O1147" s="42"/>
      <c r="P1147" s="10"/>
    </row>
    <row r="1148" spans="1:16" x14ac:dyDescent="0.25">
      <c r="A1148" s="5"/>
      <c r="B1148" s="22"/>
      <c r="C1148" s="22"/>
      <c r="D1148" s="18"/>
      <c r="E1148" s="24"/>
      <c r="F1148" s="13"/>
      <c r="G1148" s="13"/>
      <c r="H1148" s="7"/>
      <c r="I1148" s="13"/>
      <c r="J1148" s="9"/>
      <c r="K1148" s="10"/>
      <c r="L1148" s="10"/>
      <c r="M1148" s="11"/>
      <c r="N1148" s="10"/>
      <c r="O1148" s="42"/>
      <c r="P1148" s="10"/>
    </row>
    <row r="1149" spans="1:16" x14ac:dyDescent="0.25">
      <c r="A1149" s="5"/>
      <c r="B1149" s="22"/>
      <c r="C1149" s="22"/>
      <c r="D1149" s="18"/>
      <c r="E1149" s="24"/>
      <c r="F1149" s="13"/>
      <c r="G1149" s="13"/>
      <c r="H1149" s="7"/>
      <c r="I1149" s="13"/>
      <c r="J1149" s="9"/>
      <c r="K1149" s="10"/>
      <c r="L1149" s="10"/>
      <c r="M1149" s="11"/>
      <c r="N1149" s="10"/>
      <c r="O1149" s="42"/>
      <c r="P1149" s="10"/>
    </row>
    <row r="1150" spans="1:16" x14ac:dyDescent="0.25">
      <c r="A1150" s="5"/>
      <c r="B1150" s="22"/>
      <c r="C1150" s="22"/>
      <c r="D1150" s="18"/>
      <c r="E1150" s="24"/>
      <c r="F1150" s="13"/>
      <c r="G1150" s="13"/>
      <c r="H1150" s="7"/>
      <c r="I1150" s="13"/>
      <c r="J1150" s="9"/>
      <c r="K1150" s="10"/>
      <c r="L1150" s="10"/>
      <c r="M1150" s="11"/>
      <c r="N1150" s="10"/>
      <c r="O1150" s="42"/>
      <c r="P1150" s="10"/>
    </row>
    <row r="1151" spans="1:16" x14ac:dyDescent="0.25">
      <c r="A1151" s="5"/>
      <c r="B1151" s="22"/>
      <c r="C1151" s="22"/>
      <c r="D1151" s="18"/>
      <c r="E1151" s="24"/>
      <c r="F1151" s="13"/>
      <c r="G1151" s="13"/>
      <c r="H1151" s="7"/>
      <c r="I1151" s="13"/>
      <c r="J1151" s="9"/>
      <c r="K1151" s="10"/>
      <c r="L1151" s="10"/>
      <c r="M1151" s="11"/>
      <c r="N1151" s="10"/>
      <c r="O1151" s="42"/>
      <c r="P1151" s="10"/>
    </row>
    <row r="1152" spans="1:16" x14ac:dyDescent="0.25">
      <c r="A1152" s="5"/>
      <c r="B1152" s="22"/>
      <c r="C1152" s="22"/>
      <c r="D1152" s="18"/>
      <c r="E1152" s="24"/>
      <c r="F1152" s="13"/>
      <c r="G1152" s="13"/>
      <c r="H1152" s="7"/>
      <c r="I1152" s="13"/>
      <c r="J1152" s="9"/>
      <c r="K1152" s="10"/>
      <c r="L1152" s="10"/>
      <c r="M1152" s="11"/>
      <c r="N1152" s="10"/>
      <c r="O1152" s="42"/>
      <c r="P1152" s="10"/>
    </row>
    <row r="1153" spans="1:16" x14ac:dyDescent="0.25">
      <c r="A1153" s="5"/>
      <c r="B1153" s="22"/>
      <c r="C1153" s="22"/>
      <c r="D1153" s="18"/>
      <c r="E1153" s="24"/>
      <c r="F1153" s="13"/>
      <c r="G1153" s="13"/>
      <c r="H1153" s="7"/>
      <c r="I1153" s="13"/>
      <c r="J1153" s="9"/>
      <c r="K1153" s="10"/>
      <c r="L1153" s="10"/>
      <c r="M1153" s="11"/>
      <c r="N1153" s="10"/>
      <c r="O1153" s="42"/>
      <c r="P1153" s="10"/>
    </row>
    <row r="1154" spans="1:16" x14ac:dyDescent="0.25">
      <c r="A1154" s="5"/>
      <c r="B1154" s="22"/>
      <c r="C1154" s="22"/>
      <c r="D1154" s="18"/>
      <c r="E1154" s="24"/>
      <c r="F1154" s="13"/>
      <c r="G1154" s="13"/>
      <c r="H1154" s="7"/>
      <c r="I1154" s="13"/>
      <c r="J1154" s="9"/>
      <c r="K1154" s="10"/>
      <c r="L1154" s="10"/>
      <c r="M1154" s="11"/>
      <c r="N1154" s="10"/>
      <c r="O1154" s="42"/>
      <c r="P1154" s="10"/>
    </row>
    <row r="1155" spans="1:16" x14ac:dyDescent="0.25">
      <c r="A1155" s="5"/>
      <c r="B1155" s="22"/>
      <c r="C1155" s="22"/>
      <c r="D1155" s="18"/>
      <c r="E1155" s="24"/>
      <c r="F1155" s="13"/>
      <c r="G1155" s="13"/>
      <c r="H1155" s="7"/>
      <c r="I1155" s="13"/>
      <c r="J1155" s="9"/>
      <c r="K1155" s="10"/>
      <c r="L1155" s="10"/>
      <c r="M1155" s="11"/>
      <c r="N1155" s="10"/>
      <c r="O1155" s="42"/>
      <c r="P1155" s="10"/>
    </row>
    <row r="1156" spans="1:16" x14ac:dyDescent="0.25">
      <c r="A1156" s="5"/>
      <c r="B1156" s="22"/>
      <c r="C1156" s="22"/>
      <c r="D1156" s="18"/>
      <c r="E1156" s="24"/>
      <c r="F1156" s="13"/>
      <c r="G1156" s="13"/>
      <c r="H1156" s="7"/>
      <c r="I1156" s="13"/>
      <c r="J1156" s="9"/>
      <c r="K1156" s="10"/>
      <c r="L1156" s="10"/>
      <c r="M1156" s="11"/>
      <c r="N1156" s="10"/>
      <c r="O1156" s="42"/>
      <c r="P1156" s="10"/>
    </row>
    <row r="1157" spans="1:16" x14ac:dyDescent="0.25">
      <c r="A1157" s="5"/>
      <c r="B1157" s="22"/>
      <c r="C1157" s="22"/>
      <c r="D1157" s="18"/>
      <c r="E1157" s="24"/>
      <c r="F1157" s="13"/>
      <c r="G1157" s="13"/>
      <c r="H1157" s="7"/>
      <c r="I1157" s="13"/>
      <c r="J1157" s="9"/>
      <c r="K1157" s="10"/>
      <c r="L1157" s="10"/>
      <c r="M1157" s="11"/>
      <c r="N1157" s="10"/>
      <c r="O1157" s="42"/>
      <c r="P1157" s="10"/>
    </row>
    <row r="1158" spans="1:16" x14ac:dyDescent="0.25">
      <c r="A1158" s="5"/>
      <c r="B1158" s="22"/>
      <c r="C1158" s="22"/>
      <c r="D1158" s="18"/>
      <c r="E1158" s="24"/>
      <c r="F1158" s="13"/>
      <c r="G1158" s="13"/>
      <c r="H1158" s="7"/>
      <c r="I1158" s="13"/>
      <c r="J1158" s="9"/>
      <c r="K1158" s="10"/>
      <c r="L1158" s="10"/>
      <c r="M1158" s="11"/>
      <c r="N1158" s="10"/>
      <c r="O1158" s="42"/>
      <c r="P1158" s="10"/>
    </row>
    <row r="1159" spans="1:16" x14ac:dyDescent="0.25">
      <c r="A1159" s="5"/>
      <c r="B1159" s="22"/>
      <c r="C1159" s="22"/>
      <c r="D1159" s="18"/>
      <c r="E1159" s="24"/>
      <c r="F1159" s="13"/>
      <c r="G1159" s="13"/>
      <c r="H1159" s="7"/>
      <c r="I1159" s="13"/>
      <c r="J1159" s="9"/>
      <c r="K1159" s="10"/>
      <c r="L1159" s="10"/>
      <c r="M1159" s="11"/>
      <c r="N1159" s="10"/>
      <c r="O1159" s="42"/>
      <c r="P1159" s="10"/>
    </row>
    <row r="1160" spans="1:16" x14ac:dyDescent="0.25">
      <c r="A1160" s="5"/>
      <c r="B1160" s="22"/>
      <c r="C1160" s="22"/>
      <c r="D1160" s="18"/>
      <c r="E1160" s="24"/>
      <c r="F1160" s="13"/>
      <c r="G1160" s="13"/>
      <c r="H1160" s="7"/>
      <c r="I1160" s="13"/>
      <c r="J1160" s="9"/>
      <c r="K1160" s="10"/>
      <c r="L1160" s="10"/>
      <c r="M1160" s="11"/>
      <c r="N1160" s="10"/>
      <c r="O1160" s="42"/>
      <c r="P1160" s="10"/>
    </row>
    <row r="1161" spans="1:16" x14ac:dyDescent="0.25">
      <c r="A1161" s="5"/>
      <c r="B1161" s="22"/>
      <c r="C1161" s="22"/>
      <c r="D1161" s="18"/>
      <c r="E1161" s="24"/>
      <c r="F1161" s="13"/>
      <c r="G1161" s="13"/>
      <c r="H1161" s="7"/>
      <c r="I1161" s="13"/>
      <c r="J1161" s="9"/>
      <c r="K1161" s="10"/>
      <c r="L1161" s="10"/>
      <c r="M1161" s="11"/>
      <c r="N1161" s="10"/>
      <c r="O1161" s="42"/>
      <c r="P1161" s="10"/>
    </row>
    <row r="1162" spans="1:16" x14ac:dyDescent="0.25">
      <c r="A1162" s="5"/>
      <c r="B1162" s="22"/>
      <c r="C1162" s="22"/>
      <c r="D1162" s="18"/>
      <c r="E1162" s="24"/>
      <c r="F1162" s="13"/>
      <c r="G1162" s="13"/>
      <c r="H1162" s="7"/>
      <c r="I1162" s="13"/>
      <c r="J1162" s="9"/>
      <c r="K1162" s="10"/>
      <c r="L1162" s="10"/>
      <c r="M1162" s="11"/>
      <c r="N1162" s="10"/>
      <c r="O1162" s="42"/>
      <c r="P1162" s="10"/>
    </row>
    <row r="1163" spans="1:16" x14ac:dyDescent="0.25">
      <c r="A1163" s="5"/>
      <c r="B1163" s="22"/>
      <c r="C1163" s="22"/>
      <c r="D1163" s="18"/>
      <c r="E1163" s="24"/>
      <c r="F1163" s="13"/>
      <c r="G1163" s="13"/>
      <c r="H1163" s="7"/>
      <c r="I1163" s="13"/>
      <c r="J1163" s="9"/>
      <c r="K1163" s="10"/>
      <c r="L1163" s="10"/>
      <c r="M1163" s="11"/>
      <c r="N1163" s="10"/>
      <c r="O1163" s="42"/>
      <c r="P1163" s="10"/>
    </row>
    <row r="1164" spans="1:16" x14ac:dyDescent="0.25">
      <c r="A1164" s="5"/>
      <c r="B1164" s="22"/>
      <c r="C1164" s="22"/>
      <c r="D1164" s="18"/>
      <c r="E1164" s="24"/>
      <c r="F1164" s="13"/>
      <c r="G1164" s="13"/>
      <c r="H1164" s="7"/>
      <c r="I1164" s="13"/>
      <c r="J1164" s="9"/>
      <c r="K1164" s="10"/>
      <c r="L1164" s="10"/>
      <c r="M1164" s="11"/>
      <c r="N1164" s="10"/>
      <c r="O1164" s="42"/>
      <c r="P1164" s="10"/>
    </row>
    <row r="1165" spans="1:16" x14ac:dyDescent="0.25">
      <c r="A1165" s="5"/>
      <c r="B1165" s="22"/>
      <c r="C1165" s="22"/>
      <c r="D1165" s="18"/>
      <c r="E1165" s="24"/>
      <c r="F1165" s="13"/>
      <c r="G1165" s="13"/>
      <c r="H1165" s="7"/>
      <c r="I1165" s="13"/>
      <c r="J1165" s="9"/>
      <c r="K1165" s="10"/>
      <c r="L1165" s="10"/>
      <c r="M1165" s="11"/>
      <c r="N1165" s="10"/>
      <c r="O1165" s="42"/>
      <c r="P1165" s="10"/>
    </row>
    <row r="1166" spans="1:16" x14ac:dyDescent="0.25">
      <c r="A1166" s="5"/>
      <c r="B1166" s="22"/>
      <c r="C1166" s="22"/>
      <c r="D1166" s="18"/>
      <c r="E1166" s="24"/>
      <c r="F1166" s="13"/>
      <c r="G1166" s="13"/>
      <c r="H1166" s="7"/>
      <c r="I1166" s="13"/>
      <c r="J1166" s="9"/>
      <c r="K1166" s="10"/>
      <c r="L1166" s="10"/>
      <c r="M1166" s="11"/>
      <c r="N1166" s="10"/>
      <c r="O1166" s="42"/>
      <c r="P1166" s="10"/>
    </row>
    <row r="1167" spans="1:16" x14ac:dyDescent="0.25">
      <c r="A1167" s="5"/>
      <c r="B1167" s="22"/>
      <c r="C1167" s="22"/>
      <c r="D1167" s="18"/>
      <c r="E1167" s="24"/>
      <c r="F1167" s="13"/>
      <c r="G1167" s="13"/>
      <c r="H1167" s="7"/>
      <c r="I1167" s="13"/>
      <c r="J1167" s="9"/>
      <c r="K1167" s="10"/>
      <c r="L1167" s="10"/>
      <c r="M1167" s="11"/>
      <c r="N1167" s="10"/>
      <c r="O1167" s="42"/>
      <c r="P1167" s="10"/>
    </row>
    <row r="1168" spans="1:16" x14ac:dyDescent="0.25">
      <c r="A1168" s="5"/>
      <c r="B1168" s="22"/>
      <c r="C1168" s="22"/>
      <c r="D1168" s="18"/>
      <c r="E1168" s="24"/>
      <c r="F1168" s="13"/>
      <c r="G1168" s="13"/>
      <c r="H1168" s="7"/>
      <c r="I1168" s="13"/>
      <c r="J1168" s="9"/>
      <c r="K1168" s="10"/>
      <c r="L1168" s="10"/>
      <c r="M1168" s="11"/>
      <c r="N1168" s="10"/>
      <c r="O1168" s="42"/>
      <c r="P1168" s="10"/>
    </row>
    <row r="1169" spans="1:16" x14ac:dyDescent="0.25">
      <c r="A1169" s="5"/>
      <c r="B1169" s="22"/>
      <c r="C1169" s="22"/>
      <c r="D1169" s="18"/>
      <c r="E1169" s="24"/>
      <c r="F1169" s="13"/>
      <c r="G1169" s="13"/>
      <c r="H1169" s="7"/>
      <c r="I1169" s="13"/>
      <c r="J1169" s="9"/>
      <c r="K1169" s="10"/>
      <c r="L1169" s="10"/>
      <c r="M1169" s="11"/>
      <c r="N1169" s="10"/>
      <c r="O1169" s="42"/>
      <c r="P1169" s="10"/>
    </row>
    <row r="1170" spans="1:16" x14ac:dyDescent="0.25">
      <c r="A1170" s="5"/>
      <c r="B1170" s="22"/>
      <c r="C1170" s="22"/>
      <c r="D1170" s="18"/>
      <c r="E1170" s="24"/>
      <c r="F1170" s="13"/>
      <c r="G1170" s="13"/>
      <c r="H1170" s="7"/>
      <c r="I1170" s="13"/>
      <c r="J1170" s="9"/>
      <c r="K1170" s="10"/>
      <c r="L1170" s="10"/>
      <c r="M1170" s="11"/>
      <c r="N1170" s="10"/>
      <c r="O1170" s="42"/>
      <c r="P1170" s="10"/>
    </row>
    <row r="1171" spans="1:16" x14ac:dyDescent="0.25">
      <c r="A1171" s="5"/>
      <c r="B1171" s="22"/>
      <c r="C1171" s="22"/>
      <c r="D1171" s="18"/>
      <c r="E1171" s="24"/>
      <c r="F1171" s="13"/>
      <c r="G1171" s="13"/>
      <c r="H1171" s="7"/>
      <c r="I1171" s="13"/>
      <c r="J1171" s="9"/>
      <c r="K1171" s="10"/>
      <c r="L1171" s="10"/>
      <c r="M1171" s="11"/>
      <c r="N1171" s="10"/>
      <c r="O1171" s="42"/>
      <c r="P1171" s="10"/>
    </row>
    <row r="1172" spans="1:16" x14ac:dyDescent="0.25">
      <c r="A1172" s="5"/>
      <c r="B1172" s="22"/>
      <c r="C1172" s="22"/>
      <c r="D1172" s="18"/>
      <c r="E1172" s="24"/>
      <c r="F1172" s="13"/>
      <c r="G1172" s="13"/>
      <c r="H1172" s="7"/>
      <c r="I1172" s="13"/>
      <c r="J1172" s="9"/>
      <c r="K1172" s="10"/>
      <c r="L1172" s="10"/>
      <c r="M1172" s="11"/>
      <c r="N1172" s="10"/>
      <c r="O1172" s="42"/>
      <c r="P1172" s="10"/>
    </row>
    <row r="1173" spans="1:16" x14ac:dyDescent="0.25">
      <c r="A1173" s="5"/>
      <c r="B1173" s="22"/>
      <c r="C1173" s="22"/>
      <c r="D1173" s="18"/>
      <c r="E1173" s="24"/>
      <c r="F1173" s="13"/>
      <c r="G1173" s="13"/>
      <c r="H1173" s="7"/>
      <c r="I1173" s="13"/>
      <c r="J1173" s="9"/>
      <c r="K1173" s="10"/>
      <c r="L1173" s="10"/>
      <c r="M1173" s="11"/>
      <c r="N1173" s="10"/>
      <c r="O1173" s="42"/>
      <c r="P1173" s="10"/>
    </row>
    <row r="1174" spans="1:16" x14ac:dyDescent="0.25">
      <c r="A1174" s="5"/>
      <c r="B1174" s="22"/>
      <c r="C1174" s="22"/>
      <c r="D1174" s="18"/>
      <c r="E1174" s="24"/>
      <c r="F1174" s="13"/>
      <c r="G1174" s="13"/>
      <c r="H1174" s="7"/>
      <c r="I1174" s="13"/>
      <c r="J1174" s="9"/>
      <c r="K1174" s="10"/>
      <c r="L1174" s="10"/>
      <c r="M1174" s="11"/>
      <c r="N1174" s="10"/>
      <c r="O1174" s="42"/>
      <c r="P1174" s="10"/>
    </row>
    <row r="1175" spans="1:16" x14ac:dyDescent="0.25">
      <c r="A1175" s="5"/>
      <c r="B1175" s="22"/>
      <c r="C1175" s="22"/>
      <c r="D1175" s="18"/>
      <c r="E1175" s="24"/>
      <c r="F1175" s="13"/>
      <c r="G1175" s="13"/>
      <c r="H1175" s="7"/>
      <c r="I1175" s="13"/>
      <c r="J1175" s="9"/>
      <c r="K1175" s="10"/>
      <c r="L1175" s="10"/>
      <c r="M1175" s="11"/>
      <c r="N1175" s="10"/>
      <c r="O1175" s="42"/>
      <c r="P1175" s="10"/>
    </row>
    <row r="1176" spans="1:16" x14ac:dyDescent="0.25">
      <c r="A1176" s="5"/>
      <c r="B1176" s="22"/>
      <c r="C1176" s="22"/>
      <c r="D1176" s="18"/>
      <c r="E1176" s="24"/>
      <c r="F1176" s="13"/>
      <c r="G1176" s="13"/>
      <c r="H1176" s="7"/>
      <c r="I1176" s="13"/>
      <c r="J1176" s="9"/>
      <c r="K1176" s="10"/>
      <c r="L1176" s="10"/>
      <c r="M1176" s="11"/>
      <c r="N1176" s="10"/>
      <c r="O1176" s="42"/>
      <c r="P1176" s="10"/>
    </row>
    <row r="1177" spans="1:16" x14ac:dyDescent="0.25">
      <c r="A1177" s="5"/>
      <c r="B1177" s="22"/>
      <c r="C1177" s="22"/>
      <c r="D1177" s="18"/>
      <c r="E1177" s="24"/>
      <c r="F1177" s="13"/>
      <c r="G1177" s="13"/>
      <c r="H1177" s="7"/>
      <c r="I1177" s="13"/>
      <c r="J1177" s="9"/>
      <c r="K1177" s="10"/>
      <c r="L1177" s="10"/>
      <c r="M1177" s="11"/>
      <c r="N1177" s="10"/>
      <c r="O1177" s="42"/>
      <c r="P1177" s="10"/>
    </row>
    <row r="1178" spans="1:16" x14ac:dyDescent="0.25">
      <c r="A1178" s="5"/>
      <c r="B1178" s="22"/>
      <c r="C1178" s="22"/>
      <c r="D1178" s="18"/>
      <c r="E1178" s="24"/>
      <c r="F1178" s="13"/>
      <c r="G1178" s="13"/>
      <c r="H1178" s="7"/>
      <c r="I1178" s="13"/>
      <c r="J1178" s="9"/>
      <c r="K1178" s="10"/>
      <c r="L1178" s="10"/>
      <c r="M1178" s="11"/>
      <c r="N1178" s="10"/>
      <c r="O1178" s="42"/>
      <c r="P1178" s="10"/>
    </row>
    <row r="1179" spans="1:16" x14ac:dyDescent="0.25">
      <c r="A1179" s="5"/>
      <c r="B1179" s="22"/>
      <c r="C1179" s="22"/>
      <c r="D1179" s="18"/>
      <c r="E1179" s="24"/>
      <c r="F1179" s="13"/>
      <c r="G1179" s="13"/>
      <c r="H1179" s="7"/>
      <c r="I1179" s="13"/>
      <c r="J1179" s="9"/>
      <c r="K1179" s="10"/>
      <c r="L1179" s="10"/>
      <c r="M1179" s="11"/>
      <c r="N1179" s="10"/>
      <c r="O1179" s="42"/>
      <c r="P1179" s="10"/>
    </row>
    <row r="1180" spans="1:16" x14ac:dyDescent="0.25">
      <c r="A1180" s="5"/>
      <c r="B1180" s="22"/>
      <c r="C1180" s="22"/>
      <c r="D1180" s="18"/>
      <c r="E1180" s="24"/>
      <c r="F1180" s="13"/>
      <c r="G1180" s="13"/>
      <c r="H1180" s="7"/>
      <c r="I1180" s="13"/>
      <c r="J1180" s="9"/>
      <c r="K1180" s="10"/>
      <c r="L1180" s="10"/>
      <c r="M1180" s="11"/>
      <c r="N1180" s="10"/>
      <c r="O1180" s="42"/>
      <c r="P1180" s="10"/>
    </row>
    <row r="1181" spans="1:16" x14ac:dyDescent="0.25">
      <c r="A1181" s="5"/>
      <c r="B1181" s="22"/>
      <c r="C1181" s="22"/>
      <c r="D1181" s="18"/>
      <c r="E1181" s="24"/>
      <c r="F1181" s="13"/>
      <c r="G1181" s="13"/>
      <c r="H1181" s="7"/>
      <c r="I1181" s="13"/>
      <c r="J1181" s="9"/>
      <c r="K1181" s="10"/>
      <c r="L1181" s="10"/>
      <c r="M1181" s="11"/>
      <c r="N1181" s="10"/>
      <c r="O1181" s="42"/>
      <c r="P1181" s="10"/>
    </row>
    <row r="1182" spans="1:16" x14ac:dyDescent="0.25">
      <c r="A1182" s="5"/>
      <c r="B1182" s="22"/>
      <c r="C1182" s="22"/>
      <c r="D1182" s="18"/>
      <c r="E1182" s="24"/>
      <c r="F1182" s="13"/>
      <c r="G1182" s="13"/>
      <c r="H1182" s="7"/>
      <c r="I1182" s="13"/>
      <c r="J1182" s="9"/>
      <c r="K1182" s="10"/>
      <c r="L1182" s="10"/>
      <c r="M1182" s="11"/>
      <c r="N1182" s="10"/>
      <c r="O1182" s="42"/>
      <c r="P1182" s="10"/>
    </row>
    <row r="1183" spans="1:16" x14ac:dyDescent="0.25">
      <c r="A1183" s="5"/>
      <c r="B1183" s="22"/>
      <c r="C1183" s="22"/>
      <c r="D1183" s="18"/>
      <c r="E1183" s="24"/>
      <c r="F1183" s="13"/>
      <c r="G1183" s="13"/>
      <c r="H1183" s="7"/>
      <c r="I1183" s="13"/>
      <c r="J1183" s="9"/>
      <c r="K1183" s="10"/>
      <c r="L1183" s="10"/>
      <c r="M1183" s="11"/>
      <c r="N1183" s="10"/>
      <c r="O1183" s="42"/>
      <c r="P1183" s="10"/>
    </row>
    <row r="1184" spans="1:16" x14ac:dyDescent="0.25">
      <c r="A1184" s="5"/>
      <c r="B1184" s="22"/>
      <c r="C1184" s="22"/>
      <c r="D1184" s="18"/>
      <c r="E1184" s="24"/>
      <c r="F1184" s="13"/>
      <c r="G1184" s="13"/>
      <c r="H1184" s="7"/>
      <c r="I1184" s="13"/>
      <c r="J1184" s="9"/>
      <c r="K1184" s="10"/>
      <c r="L1184" s="10"/>
      <c r="M1184" s="11"/>
      <c r="N1184" s="10"/>
      <c r="O1184" s="42"/>
      <c r="P1184" s="10"/>
    </row>
    <row r="1185" spans="1:16" x14ac:dyDescent="0.25">
      <c r="A1185" s="5"/>
      <c r="B1185" s="22"/>
      <c r="C1185" s="22"/>
      <c r="D1185" s="18"/>
      <c r="E1185" s="24"/>
      <c r="F1185" s="13"/>
      <c r="G1185" s="13"/>
      <c r="H1185" s="7"/>
      <c r="I1185" s="13"/>
      <c r="J1185" s="9"/>
      <c r="K1185" s="10"/>
      <c r="L1185" s="10"/>
      <c r="M1185" s="11"/>
      <c r="N1185" s="10"/>
      <c r="O1185" s="42"/>
      <c r="P1185" s="10"/>
    </row>
    <row r="1186" spans="1:16" x14ac:dyDescent="0.25">
      <c r="A1186" s="5"/>
      <c r="B1186" s="22"/>
      <c r="C1186" s="22"/>
      <c r="D1186" s="18"/>
      <c r="E1186" s="24"/>
      <c r="F1186" s="13"/>
      <c r="G1186" s="13"/>
      <c r="H1186" s="7"/>
      <c r="I1186" s="13"/>
      <c r="J1186" s="9"/>
      <c r="K1186" s="10"/>
      <c r="L1186" s="10"/>
      <c r="M1186" s="11"/>
      <c r="N1186" s="10"/>
      <c r="O1186" s="42"/>
      <c r="P1186" s="10"/>
    </row>
    <row r="1187" spans="1:16" x14ac:dyDescent="0.25">
      <c r="A1187" s="5"/>
      <c r="B1187" s="22"/>
      <c r="C1187" s="22"/>
      <c r="D1187" s="18"/>
      <c r="E1187" s="24"/>
      <c r="F1187" s="13"/>
      <c r="G1187" s="13"/>
      <c r="H1187" s="7"/>
      <c r="I1187" s="13"/>
      <c r="J1187" s="9"/>
      <c r="K1187" s="10"/>
      <c r="L1187" s="10"/>
      <c r="M1187" s="11"/>
      <c r="N1187" s="10"/>
      <c r="O1187" s="42"/>
      <c r="P1187" s="10"/>
    </row>
    <row r="1188" spans="1:16" x14ac:dyDescent="0.25">
      <c r="A1188" s="5"/>
      <c r="B1188" s="22"/>
      <c r="C1188" s="22"/>
      <c r="D1188" s="18"/>
      <c r="E1188" s="24"/>
      <c r="F1188" s="13"/>
      <c r="G1188" s="13"/>
      <c r="H1188" s="7"/>
      <c r="I1188" s="13"/>
      <c r="J1188" s="9"/>
      <c r="K1188" s="10"/>
      <c r="L1188" s="10"/>
      <c r="M1188" s="11"/>
      <c r="N1188" s="10"/>
      <c r="O1188" s="42"/>
      <c r="P1188" s="10"/>
    </row>
    <row r="1189" spans="1:16" x14ac:dyDescent="0.25">
      <c r="A1189" s="5"/>
      <c r="B1189" s="22"/>
      <c r="C1189" s="22"/>
      <c r="D1189" s="18"/>
      <c r="E1189" s="24"/>
      <c r="F1189" s="13"/>
      <c r="G1189" s="13"/>
      <c r="H1189" s="7"/>
      <c r="I1189" s="13"/>
      <c r="J1189" s="9"/>
      <c r="K1189" s="10"/>
      <c r="L1189" s="10"/>
      <c r="M1189" s="11"/>
      <c r="N1189" s="10"/>
      <c r="O1189" s="42"/>
      <c r="P1189" s="10"/>
    </row>
    <row r="1190" spans="1:16" x14ac:dyDescent="0.25">
      <c r="A1190" s="5"/>
      <c r="B1190" s="22"/>
      <c r="C1190" s="22"/>
      <c r="D1190" s="18"/>
      <c r="E1190" s="24"/>
      <c r="F1190" s="13"/>
      <c r="G1190" s="13"/>
      <c r="H1190" s="7"/>
      <c r="I1190" s="13"/>
      <c r="J1190" s="9"/>
      <c r="K1190" s="10"/>
      <c r="L1190" s="10"/>
      <c r="M1190" s="11"/>
      <c r="N1190" s="10"/>
      <c r="O1190" s="42"/>
      <c r="P1190" s="10"/>
    </row>
    <row r="1191" spans="1:16" x14ac:dyDescent="0.25">
      <c r="A1191" s="5"/>
      <c r="B1191" s="22"/>
      <c r="C1191" s="22"/>
      <c r="D1191" s="18"/>
      <c r="E1191" s="24"/>
      <c r="F1191" s="13"/>
      <c r="G1191" s="13"/>
      <c r="H1191" s="7"/>
      <c r="I1191" s="13"/>
      <c r="J1191" s="9"/>
      <c r="K1191" s="10"/>
      <c r="L1191" s="10"/>
      <c r="M1191" s="11"/>
      <c r="N1191" s="10"/>
      <c r="O1191" s="42"/>
      <c r="P1191" s="10"/>
    </row>
    <row r="1192" spans="1:16" x14ac:dyDescent="0.25">
      <c r="A1192" s="5"/>
      <c r="B1192" s="22"/>
      <c r="C1192" s="22"/>
      <c r="D1192" s="18"/>
      <c r="E1192" s="24"/>
      <c r="F1192" s="13"/>
      <c r="G1192" s="13"/>
      <c r="H1192" s="7"/>
      <c r="I1192" s="13"/>
      <c r="J1192" s="9"/>
      <c r="K1192" s="10"/>
      <c r="L1192" s="10"/>
      <c r="M1192" s="11"/>
      <c r="N1192" s="10"/>
      <c r="O1192" s="42"/>
      <c r="P1192" s="10"/>
    </row>
    <row r="1193" spans="1:16" x14ac:dyDescent="0.25">
      <c r="A1193" s="5"/>
      <c r="B1193" s="22"/>
      <c r="C1193" s="22"/>
      <c r="D1193" s="18"/>
      <c r="E1193" s="24"/>
      <c r="F1193" s="13"/>
      <c r="G1193" s="13"/>
      <c r="H1193" s="7"/>
      <c r="I1193" s="13"/>
      <c r="J1193" s="9"/>
      <c r="K1193" s="10"/>
      <c r="L1193" s="10"/>
      <c r="M1193" s="11"/>
      <c r="N1193" s="10"/>
      <c r="O1193" s="42"/>
      <c r="P1193" s="10"/>
    </row>
    <row r="1194" spans="1:16" x14ac:dyDescent="0.25">
      <c r="A1194" s="5"/>
      <c r="B1194" s="22"/>
      <c r="C1194" s="22"/>
      <c r="D1194" s="18"/>
      <c r="E1194" s="24"/>
      <c r="F1194" s="13"/>
      <c r="G1194" s="13"/>
      <c r="H1194" s="7"/>
      <c r="I1194" s="13"/>
      <c r="J1194" s="9"/>
      <c r="K1194" s="10"/>
      <c r="L1194" s="10"/>
      <c r="M1194" s="11"/>
      <c r="N1194" s="10"/>
      <c r="O1194" s="42"/>
      <c r="P1194" s="10"/>
    </row>
    <row r="1195" spans="1:16" x14ac:dyDescent="0.25">
      <c r="A1195" s="5"/>
      <c r="B1195" s="22"/>
      <c r="C1195" s="22"/>
      <c r="D1195" s="18"/>
      <c r="E1195" s="24"/>
      <c r="F1195" s="13"/>
      <c r="G1195" s="13"/>
      <c r="H1195" s="7"/>
      <c r="I1195" s="13"/>
      <c r="J1195" s="9"/>
      <c r="K1195" s="10"/>
      <c r="L1195" s="10"/>
      <c r="M1195" s="11"/>
      <c r="N1195" s="10"/>
      <c r="O1195" s="42"/>
      <c r="P1195" s="10"/>
    </row>
    <row r="1196" spans="1:16" x14ac:dyDescent="0.25">
      <c r="A1196" s="5"/>
      <c r="B1196" s="22"/>
      <c r="C1196" s="22"/>
      <c r="D1196" s="18"/>
      <c r="E1196" s="24"/>
      <c r="F1196" s="13"/>
      <c r="G1196" s="13"/>
      <c r="H1196" s="7"/>
      <c r="I1196" s="13"/>
      <c r="J1196" s="9"/>
      <c r="K1196" s="10"/>
      <c r="L1196" s="10"/>
      <c r="M1196" s="11"/>
      <c r="N1196" s="10"/>
      <c r="O1196" s="42"/>
      <c r="P1196" s="10"/>
    </row>
    <row r="1197" spans="1:16" x14ac:dyDescent="0.25">
      <c r="A1197" s="5"/>
      <c r="B1197" s="22"/>
      <c r="C1197" s="22"/>
      <c r="D1197" s="18"/>
      <c r="E1197" s="24"/>
      <c r="F1197" s="13"/>
      <c r="G1197" s="13"/>
      <c r="H1197" s="7"/>
      <c r="I1197" s="13"/>
      <c r="J1197" s="9"/>
      <c r="K1197" s="10"/>
      <c r="L1197" s="10"/>
      <c r="M1197" s="11"/>
      <c r="N1197" s="10"/>
      <c r="O1197" s="42"/>
      <c r="P1197" s="10"/>
    </row>
    <row r="1198" spans="1:16" x14ac:dyDescent="0.25">
      <c r="A1198" s="5"/>
      <c r="B1198" s="22"/>
      <c r="C1198" s="22"/>
      <c r="D1198" s="18"/>
      <c r="E1198" s="24"/>
      <c r="F1198" s="13"/>
      <c r="G1198" s="13"/>
      <c r="H1198" s="7"/>
      <c r="I1198" s="13"/>
      <c r="J1198" s="9"/>
      <c r="K1198" s="10"/>
      <c r="L1198" s="10"/>
      <c r="M1198" s="11"/>
      <c r="N1198" s="10"/>
      <c r="O1198" s="42"/>
      <c r="P1198" s="10"/>
    </row>
    <row r="1199" spans="1:16" x14ac:dyDescent="0.25">
      <c r="A1199" s="5"/>
      <c r="B1199" s="22"/>
      <c r="C1199" s="22"/>
      <c r="D1199" s="18"/>
      <c r="E1199" s="24"/>
      <c r="F1199" s="13"/>
      <c r="G1199" s="13"/>
      <c r="H1199" s="7"/>
      <c r="I1199" s="13"/>
      <c r="J1199" s="9"/>
      <c r="K1199" s="10"/>
      <c r="L1199" s="10"/>
      <c r="M1199" s="11"/>
      <c r="N1199" s="10"/>
      <c r="O1199" s="42"/>
      <c r="P1199" s="10"/>
    </row>
    <row r="1200" spans="1:16" x14ac:dyDescent="0.25">
      <c r="A1200" s="5"/>
      <c r="B1200" s="22"/>
      <c r="C1200" s="22"/>
      <c r="D1200" s="18"/>
      <c r="E1200" s="24"/>
      <c r="F1200" s="13"/>
      <c r="G1200" s="13"/>
      <c r="H1200" s="7"/>
      <c r="I1200" s="13"/>
      <c r="J1200" s="9"/>
      <c r="K1200" s="10"/>
      <c r="L1200" s="10"/>
      <c r="M1200" s="11"/>
      <c r="N1200" s="10"/>
      <c r="O1200" s="42"/>
      <c r="P1200" s="10"/>
    </row>
    <row r="1201" spans="1:16" x14ac:dyDescent="0.25">
      <c r="A1201" s="5"/>
      <c r="B1201" s="22"/>
      <c r="C1201" s="22"/>
      <c r="D1201" s="18"/>
      <c r="E1201" s="24"/>
      <c r="F1201" s="13"/>
      <c r="G1201" s="13"/>
      <c r="H1201" s="7"/>
      <c r="I1201" s="13"/>
      <c r="J1201" s="9"/>
      <c r="K1201" s="10"/>
      <c r="L1201" s="10"/>
      <c r="M1201" s="11"/>
      <c r="N1201" s="10"/>
      <c r="O1201" s="42"/>
      <c r="P1201" s="10"/>
    </row>
    <row r="1202" spans="1:16" x14ac:dyDescent="0.25">
      <c r="A1202" s="5"/>
      <c r="B1202" s="22"/>
      <c r="C1202" s="22"/>
      <c r="D1202" s="18"/>
      <c r="E1202" s="24"/>
      <c r="F1202" s="13"/>
      <c r="G1202" s="13"/>
      <c r="H1202" s="7"/>
      <c r="I1202" s="13"/>
      <c r="J1202" s="9"/>
      <c r="K1202" s="10"/>
      <c r="L1202" s="10"/>
      <c r="M1202" s="11"/>
      <c r="N1202" s="10"/>
      <c r="O1202" s="42"/>
      <c r="P1202" s="10"/>
    </row>
    <row r="1203" spans="1:16" x14ac:dyDescent="0.25">
      <c r="A1203" s="5"/>
      <c r="B1203" s="22"/>
      <c r="C1203" s="22"/>
      <c r="D1203" s="18"/>
      <c r="E1203" s="24"/>
      <c r="F1203" s="13"/>
      <c r="G1203" s="13"/>
      <c r="H1203" s="7"/>
      <c r="I1203" s="13"/>
      <c r="J1203" s="9"/>
      <c r="K1203" s="10"/>
      <c r="L1203" s="10"/>
      <c r="M1203" s="11"/>
      <c r="N1203" s="10"/>
      <c r="O1203" s="42"/>
      <c r="P1203" s="10"/>
    </row>
    <row r="1204" spans="1:16" x14ac:dyDescent="0.25">
      <c r="A1204" s="5"/>
      <c r="B1204" s="22"/>
      <c r="C1204" s="22"/>
      <c r="D1204" s="18"/>
      <c r="E1204" s="24"/>
      <c r="F1204" s="13"/>
      <c r="G1204" s="13"/>
      <c r="H1204" s="7"/>
      <c r="I1204" s="13"/>
      <c r="J1204" s="9"/>
      <c r="K1204" s="10"/>
      <c r="L1204" s="10"/>
      <c r="M1204" s="11"/>
      <c r="N1204" s="10"/>
      <c r="O1204" s="42"/>
      <c r="P1204" s="10"/>
    </row>
    <row r="1205" spans="1:16" x14ac:dyDescent="0.25">
      <c r="A1205" s="5"/>
      <c r="B1205" s="22"/>
      <c r="C1205" s="22"/>
      <c r="D1205" s="18"/>
      <c r="E1205" s="24"/>
      <c r="F1205" s="13"/>
      <c r="G1205" s="13"/>
      <c r="H1205" s="7"/>
      <c r="I1205" s="13"/>
      <c r="J1205" s="9"/>
      <c r="K1205" s="10"/>
      <c r="L1205" s="10"/>
      <c r="M1205" s="11"/>
      <c r="N1205" s="10"/>
      <c r="O1205" s="42"/>
      <c r="P1205" s="10"/>
    </row>
  </sheetData>
  <conditionalFormatting sqref="H1:H1205">
    <cfRule type="cellIs" dxfId="31" priority="1" operator="lessThan">
      <formula>0</formula>
    </cfRule>
    <cfRule type="colorScale" priority="2">
      <colorScale>
        <cfvo type="num" val="0"/>
        <cfvo type="num" val="4"/>
        <cfvo type="num" val="7"/>
        <color rgb="FFFF0000"/>
        <color rgb="FFFFEB84"/>
        <color rgb="FF00B050"/>
      </colorScale>
    </cfRule>
  </conditionalFormatting>
  <conditionalFormatting sqref="A863 A871">
    <cfRule type="expression" dxfId="30" priority="3">
      <formula>COUNTIF(A:A,A863)&gt;1</formula>
    </cfRule>
  </conditionalFormatting>
  <conditionalFormatting sqref="A1105:A1205 A871:A1103">
    <cfRule type="duplicateValues" dxfId="29" priority="4"/>
  </conditionalFormatting>
  <conditionalFormatting sqref="A871:A1205">
    <cfRule type="duplicateValues" dxfId="28" priority="5"/>
  </conditionalFormatting>
  <conditionalFormatting sqref="L2:L1205">
    <cfRule type="containsText" dxfId="27" priority="6" operator="containsText" text="Not Submitted">
      <formula>NOT(ISERROR(SEARCH("Not Submitted",L2)))</formula>
    </cfRule>
    <cfRule type="containsText" dxfId="26" priority="7" operator="containsText" text="Rejected">
      <formula>NOT(ISERROR(SEARCH("Rejected",L2)))</formula>
    </cfRule>
    <cfRule type="containsText" dxfId="25" priority="8" operator="containsText" text="Accepted">
      <formula>NOT(ISERROR(SEARCH("Accepted",L2)))</formula>
    </cfRule>
  </conditionalFormatting>
  <conditionalFormatting sqref="J1:J1205 I1:I862">
    <cfRule type="expression" dxfId="24" priority="9">
      <formula>AND(H1&gt;=0,L1="Rejected",TODAY()-I1&gt;14)</formula>
    </cfRule>
    <cfRule type="expression" dxfId="23" priority="10">
      <formula>AND(H1&gt;=0,L1="Rejected",TODAY()-I1&gt;7,TODAY()-I1&lt;=14)</formula>
    </cfRule>
  </conditionalFormatting>
  <conditionalFormatting sqref="P2:P1205">
    <cfRule type="containsText" dxfId="22" priority="11" operator="containsText" text="not yet">
      <formula>NOT(ISERROR(SEARCH("not yet",P2)))</formula>
    </cfRule>
    <cfRule type="notContainsText" dxfId="21" priority="12" operator="notContains" text="not">
      <formula>ISERROR(SEARCH("not",P2))</formula>
    </cfRule>
  </conditionalFormatting>
  <conditionalFormatting sqref="A1:A862">
    <cfRule type="duplicateValues" dxfId="20" priority="13"/>
  </conditionalFormatting>
  <conditionalFormatting sqref="G543">
    <cfRule type="expression" dxfId="19" priority="14">
      <formula>AND(F543&gt;=0,H543="Rejected",TODAY()-G543&gt;14)</formula>
    </cfRule>
    <cfRule type="expression" dxfId="18" priority="15">
      <formula>AND(F543&gt;=0,H543="Rejected",TODAY()-G543&gt;7,TODAY()-G543&lt;=14)</formula>
    </cfRule>
  </conditionalFormatting>
  <conditionalFormatting sqref="M1:M1205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{D98D21E7-ACA4-4295-AFEB-BD79CDD7D8A2}</x14:id>
        </ext>
      </extLst>
    </cfRule>
  </conditionalFormatting>
  <conditionalFormatting sqref="N1:N1205">
    <cfRule type="iconSet" priority="17">
      <iconSet iconSet="3Symbols2">
        <cfvo type="percent" val="0"/>
        <cfvo type="percent" val="33"/>
        <cfvo type="percent" val="67"/>
      </iconSe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98D21E7-ACA4-4295-AFEB-BD79CDD7D8A2}">
            <x14:dataBar gradient="0">
              <x14:cfvo type="autoMin"/>
              <x14:cfvo type="autoMax"/>
              <x14:negativeFillColor rgb="FFFF0000"/>
              <x14:axisColor rgb="FF000000"/>
            </x14:dataBar>
          </x14:cfRule>
          <xm:sqref>M1:M1205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C679CD83-59C3-47C2-A105-6D0E1524A85D}">
  <ds:schemaRefs/>
</ds:datastoreItem>
</file>

<file path=customXml/itemProps2.xml><?xml version="1.0" encoding="utf-8"?>
<ds:datastoreItem xmlns:ds="http://schemas.openxmlformats.org/officeDocument/2006/customXml" ds:itemID="{A55F3C8E-4724-4F75-BE59-7B79D4C7682A}">
  <ds:schemaRefs/>
</ds:datastoreItem>
</file>

<file path=customXml/itemProps3.xml><?xml version="1.0" encoding="utf-8"?>
<ds:datastoreItem xmlns:ds="http://schemas.openxmlformats.org/officeDocument/2006/customXml" ds:itemID="{3C30E8FC-C323-4F17-BDA4-E80FE95C587A}">
  <ds:schemaRefs/>
</ds:datastoreItem>
</file>

<file path=customXml/itemProps4.xml><?xml version="1.0" encoding="utf-8"?>
<ds:datastoreItem xmlns:ds="http://schemas.openxmlformats.org/officeDocument/2006/customXml" ds:itemID="{F1CCB0E0-6382-4D15-AB00-AEF0B5FA28FD}">
  <ds:schemaRefs/>
</ds:datastoreItem>
</file>

<file path=customXml/itemProps5.xml><?xml version="1.0" encoding="utf-8"?>
<ds:datastoreItem xmlns:ds="http://schemas.openxmlformats.org/officeDocument/2006/customXml" ds:itemID="{A0DF4B3F-D124-4EA8-B00B-9CE7CF53099E}">
  <ds:schemaRefs/>
</ds:datastoreItem>
</file>

<file path=customXml/itemProps6.xml><?xml version="1.0" encoding="utf-8"?>
<ds:datastoreItem xmlns:ds="http://schemas.openxmlformats.org/officeDocument/2006/customXml" ds:itemID="{9B0F01D0-47D3-4A71-B3A2-9F2C623FAE2F}">
  <ds:schemaRefs/>
</ds:datastoreItem>
</file>

<file path=customXml/itemProps7.xml><?xml version="1.0" encoding="utf-8"?>
<ds:datastoreItem xmlns:ds="http://schemas.openxmlformats.org/officeDocument/2006/customXml" ds:itemID="{27C9BD19-E5B2-4195-98EE-E127509E17D5}">
  <ds:schemaRefs/>
</ds:datastoreItem>
</file>

<file path=customXml/itemProps8.xml><?xml version="1.0" encoding="utf-8"?>
<ds:datastoreItem xmlns:ds="http://schemas.openxmlformats.org/officeDocument/2006/customXml" ds:itemID="{524AA88C-6E4F-4889-AC70-1D8761E4EB89}">
  <ds:schemaRefs/>
</ds:datastoreItem>
</file>

<file path=customXml/itemProps9.xml><?xml version="1.0" encoding="utf-8"?>
<ds:datastoreItem xmlns:ds="http://schemas.openxmlformats.org/officeDocument/2006/customXml" ds:itemID="{87BA0B13-5DBE-4A7D-8FAB-6F08EB0C152E}">
  <ds:schemaRefs/>
</ds:datastoreItem>
</file>

<file path=customXml/itemProps10.xml><?xml version="1.0" encoding="utf-8"?>
<ds:datastoreItem xmlns:ds="http://schemas.openxmlformats.org/officeDocument/2006/customXml" ds:itemID="{0CBEAFFC-167E-419C-88CA-86A178A50F30}">
  <ds:schemaRefs/>
</ds:datastoreItem>
</file>

<file path=customXml/itemProps11.xml><?xml version="1.0" encoding="utf-8"?>
<ds:datastoreItem xmlns:ds="http://schemas.openxmlformats.org/officeDocument/2006/customXml" ds:itemID="{5E74DEE0-81ED-4F0B-ABF7-0A79C251BB8C}">
  <ds:schemaRefs/>
</ds:datastoreItem>
</file>

<file path=customXml/itemProps12.xml><?xml version="1.0" encoding="utf-8"?>
<ds:datastoreItem xmlns:ds="http://schemas.openxmlformats.org/officeDocument/2006/customXml" ds:itemID="{BA6B344E-1AD0-439A-9EFF-4CDA5ECFEA3C}">
  <ds:schemaRefs/>
</ds:datastoreItem>
</file>

<file path=customXml/itemProps13.xml><?xml version="1.0" encoding="utf-8"?>
<ds:datastoreItem xmlns:ds="http://schemas.openxmlformats.org/officeDocument/2006/customXml" ds:itemID="{5FBA3C79-0403-4917-9766-FF3247E274FB}">
  <ds:schemaRefs/>
</ds:datastoreItem>
</file>

<file path=customXml/itemProps14.xml><?xml version="1.0" encoding="utf-8"?>
<ds:datastoreItem xmlns:ds="http://schemas.openxmlformats.org/officeDocument/2006/customXml" ds:itemID="{5341A4AF-80C9-4A05-B4A3-DF27AC95884D}">
  <ds:schemaRefs/>
</ds:datastoreItem>
</file>

<file path=customXml/itemProps15.xml><?xml version="1.0" encoding="utf-8"?>
<ds:datastoreItem xmlns:ds="http://schemas.openxmlformats.org/officeDocument/2006/customXml" ds:itemID="{D2EADD2C-C2C0-468D-9068-724CCDB8DB48}">
  <ds:schemaRefs/>
</ds:datastoreItem>
</file>

<file path=customXml/itemProps16.xml><?xml version="1.0" encoding="utf-8"?>
<ds:datastoreItem xmlns:ds="http://schemas.openxmlformats.org/officeDocument/2006/customXml" ds:itemID="{798A2EC4-92D8-4795-81E0-3C0B32D123AF}">
  <ds:schemaRefs/>
</ds:datastoreItem>
</file>

<file path=customXml/itemProps17.xml><?xml version="1.0" encoding="utf-8"?>
<ds:datastoreItem xmlns:ds="http://schemas.openxmlformats.org/officeDocument/2006/customXml" ds:itemID="{953ECB66-44B9-4E6F-9544-2FF0A2E5891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Pivot Table</vt:lpstr>
      <vt:lpstr>Data</vt:lpstr>
      <vt:lpstr>Rejected (Ctrl+Shift+R)</vt:lpstr>
      <vt:lpstr>Not Submitted (Ctrl+Shift+R)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win10</dc:creator>
  <dc:description/>
  <cp:lastModifiedBy>win10</cp:lastModifiedBy>
  <cp:revision>1</cp:revision>
  <dcterms:created xsi:type="dcterms:W3CDTF">2023-06-20T08:44:20Z</dcterms:created>
  <dcterms:modified xsi:type="dcterms:W3CDTF">2023-06-26T13:23:03Z</dcterms:modified>
  <dc:language>en-US</dc:language>
</cp:coreProperties>
</file>